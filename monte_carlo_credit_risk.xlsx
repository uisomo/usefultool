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Obligors" sheetId="2" state="visible" r:id="rId2"/>
    <sheet name="Factors" sheetId="3" state="visible" r:id="rId3"/>
    <sheet name="Simulation" sheetId="4" state="visible" r:id="rId4"/>
    <sheet name="Defaults" sheetId="5" state="visible" r:id="rId5"/>
    <sheet name="Losses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1"/>
    </font>
    <font>
      <b val="1"/>
    </font>
    <font>
      <b val="1"/>
      <sz val="9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3" fontId="0" fillId="4" borderId="1" pivotButton="0" quotePrefix="0" xfId="0"/>
    <xf numFmtId="0" fontId="0" fillId="0" borderId="1" pivotButton="0" quotePrefix="0" xfId="0"/>
    <xf numFmtId="10" fontId="0" fillId="4" borderId="1" pivotButton="0" quotePrefix="0" xfId="0"/>
    <xf numFmtId="10" fontId="0" fillId="5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4" fillId="3" borderId="1" pivotButton="0" quotePrefix="0" xfId="0"/>
    <xf numFmtId="164" fontId="0" fillId="0" borderId="1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5" fontId="0" fillId="5" borderId="1" pivotButton="0" quotePrefix="0" xfId="0"/>
    <xf numFmtId="3" fontId="0" fillId="5" borderId="1" pivotButton="0" quotePrefix="0" xfId="0"/>
    <xf numFmtId="2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Portfolio Loss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'Results'!B23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'Results'!$A$24:$A$48</f>
            </numRef>
          </cat>
          <val>
            <numRef>
              <f>'Results'!$B$24:$B$48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Loss Amount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Loss Distribution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'Results'!C23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'Results'!$A$24:$A$48</f>
            </numRef>
          </cat>
          <val>
            <numRef>
              <f>'Results'!$C$24:$C$48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Loss Amount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Probability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1" t="inlineStr">
        <is>
          <t>Monte Carlo Credit Risk Simulation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Number of Simulations</t>
        </is>
      </c>
      <c r="B4" s="4" t="n">
        <v>500</v>
      </c>
      <c r="C4" s="5" t="inlineStr">
        <is>
          <t>Trials (press F9 to re-simulate)</t>
        </is>
      </c>
    </row>
    <row r="5">
      <c r="A5" s="3" t="inlineStr">
        <is>
          <t>Region Factor Weight (w_r)</t>
        </is>
      </c>
      <c r="B5" s="6" t="n">
        <v>0.15</v>
      </c>
      <c r="C5" s="5" t="inlineStr">
        <is>
          <t>Correlation from regional factor</t>
        </is>
      </c>
    </row>
    <row r="6">
      <c r="A6" s="3" t="inlineStr">
        <is>
          <t>Sector Factor Weight (w_s)</t>
        </is>
      </c>
      <c r="B6" s="6" t="n">
        <v>0.1</v>
      </c>
      <c r="C6" s="5" t="inlineStr">
        <is>
          <t>Correlation from sector factor</t>
        </is>
      </c>
    </row>
    <row r="7">
      <c r="A7" s="3" t="inlineStr">
        <is>
          <t>HNWI Factor Weight (w_h)</t>
        </is>
      </c>
      <c r="B7" s="6" t="n">
        <v>0.05</v>
      </c>
      <c r="C7" s="5" t="inlineStr">
        <is>
          <t>Correlation from HNWI factor</t>
        </is>
      </c>
    </row>
    <row r="8">
      <c r="A8" s="3" t="inlineStr">
        <is>
          <t>VaR Confidence Level</t>
        </is>
      </c>
      <c r="B8" s="6" t="n">
        <v>0.99</v>
      </c>
      <c r="C8" s="5" t="inlineStr">
        <is>
          <t>For Value-at-Risk calculation</t>
        </is>
      </c>
    </row>
    <row r="9">
      <c r="A9" s="3" t="inlineStr">
        <is>
          <t>Idiosyncratic Weight (1-w_r-w_s-w_h)</t>
        </is>
      </c>
      <c r="B9" s="7">
        <f>1-B5-B6-B7</f>
        <v/>
      </c>
      <c r="C9" s="5" t="inlineStr">
        <is>
          <t>Remaining weight for idiosyncratic risk</t>
        </is>
      </c>
    </row>
    <row r="11">
      <c r="A11" s="8" t="inlineStr">
        <is>
          <t>How to Use</t>
        </is>
      </c>
    </row>
    <row r="12">
      <c r="A12" t="inlineStr">
        <is>
          <t>1. Review/edit obligor data in the 'Obligors' sheet</t>
        </is>
      </c>
    </row>
    <row r="13">
      <c r="A13" t="inlineStr">
        <is>
          <t>2. Adjust factor weights above to change correlation structure</t>
        </is>
      </c>
    </row>
    <row r="14">
      <c r="A14" t="inlineStr">
        <is>
          <t>3. Press F9 (or Ctrl+Alt+F9) to recalculate = run a new simulation</t>
        </is>
      </c>
    </row>
    <row r="15">
      <c r="A15" t="inlineStr">
        <is>
          <t>4. View results in the 'Results' sheet</t>
        </is>
      </c>
    </row>
    <row r="16">
      <c r="A16" t="inlineStr">
        <is>
          <t>5. The 'Factors' sheet shows systematic factor draws per trial</t>
        </is>
      </c>
    </row>
    <row r="17">
      <c r="A17" t="inlineStr">
        <is>
          <t>6. The 'Simulation' sheet shows the correlated latent variables</t>
        </is>
      </c>
    </row>
    <row r="18">
      <c r="A18" t="inlineStr">
        <is>
          <t>7. The 'Defaults' sheet shows binary default indicators (1=default)</t>
        </is>
      </c>
    </row>
    <row r="19">
      <c r="A19" t="inlineStr">
        <is>
          <t>8. The 'Losses' sheet shows per-obligor loss amounts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8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Region</t>
        </is>
      </c>
      <c r="D1" s="2" t="inlineStr">
        <is>
          <t>Sector</t>
        </is>
      </c>
      <c r="E1" s="2" t="inlineStr">
        <is>
          <t>HNWI</t>
        </is>
      </c>
      <c r="F1" s="2" t="inlineStr">
        <is>
          <t>PD (%)</t>
        </is>
      </c>
      <c r="G1" s="2" t="inlineStr">
        <is>
          <t>EAD (M)</t>
        </is>
      </c>
      <c r="H1" s="2" t="inlineStr">
        <is>
          <t>LGD (%)</t>
        </is>
      </c>
      <c r="I1" s="2" t="inlineStr">
        <is>
          <t>Default Threshold</t>
        </is>
      </c>
    </row>
    <row r="2">
      <c r="A2" s="9" t="inlineStr">
        <is>
          <t>OBL-001</t>
        </is>
      </c>
      <c r="B2" s="9" t="inlineStr">
        <is>
          <t>Alpha Industries</t>
        </is>
      </c>
      <c r="C2" s="9" t="inlineStr">
        <is>
          <t>Asia</t>
        </is>
      </c>
      <c r="D2" s="9" t="inlineStr">
        <is>
          <t>Manufacturing</t>
        </is>
      </c>
      <c r="E2" s="9" t="inlineStr">
        <is>
          <t>No</t>
        </is>
      </c>
      <c r="F2" s="10" t="n">
        <v>0.015</v>
      </c>
      <c r="G2" s="11" t="n">
        <v>120</v>
      </c>
      <c r="H2" s="10" t="n">
        <v>0.45</v>
      </c>
      <c r="I2" s="12">
        <f>NORM.S.INV(F2)</f>
        <v/>
      </c>
    </row>
    <row r="3">
      <c r="A3" s="9" t="inlineStr">
        <is>
          <t>OBL-002</t>
        </is>
      </c>
      <c r="B3" s="9" t="inlineStr">
        <is>
          <t>Beta Financial Group</t>
        </is>
      </c>
      <c r="C3" s="9" t="inlineStr">
        <is>
          <t>Asia</t>
        </is>
      </c>
      <c r="D3" s="9" t="inlineStr">
        <is>
          <t>Finance</t>
        </is>
      </c>
      <c r="E3" s="9" t="inlineStr">
        <is>
          <t>No</t>
        </is>
      </c>
      <c r="F3" s="10" t="n">
        <v>0.008</v>
      </c>
      <c r="G3" s="11" t="n">
        <v>200</v>
      </c>
      <c r="H3" s="10" t="n">
        <v>0.4</v>
      </c>
      <c r="I3" s="12">
        <f>NORM.S.INV(F3)</f>
        <v/>
      </c>
    </row>
    <row r="4">
      <c r="A4" s="9" t="inlineStr">
        <is>
          <t>OBL-003</t>
        </is>
      </c>
      <c r="B4" s="9" t="inlineStr">
        <is>
          <t>Gamma Tech Solutions</t>
        </is>
      </c>
      <c r="C4" s="9" t="inlineStr">
        <is>
          <t>Asia</t>
        </is>
      </c>
      <c r="D4" s="9" t="inlineStr">
        <is>
          <t>Tech</t>
        </is>
      </c>
      <c r="E4" s="9" t="inlineStr">
        <is>
          <t>No</t>
        </is>
      </c>
      <c r="F4" s="10" t="n">
        <v>0.02</v>
      </c>
      <c r="G4" s="11" t="n">
        <v>80</v>
      </c>
      <c r="H4" s="10" t="n">
        <v>0.5</v>
      </c>
      <c r="I4" s="12">
        <f>NORM.S.INV(F4)</f>
        <v/>
      </c>
    </row>
    <row r="5">
      <c r="A5" s="9" t="inlineStr">
        <is>
          <t>OBL-004</t>
        </is>
      </c>
      <c r="B5" s="9" t="inlineStr">
        <is>
          <t>Delta Real Estate</t>
        </is>
      </c>
      <c r="C5" s="9" t="inlineStr">
        <is>
          <t>Asia</t>
        </is>
      </c>
      <c r="D5" s="9" t="inlineStr">
        <is>
          <t>Real Estate</t>
        </is>
      </c>
      <c r="E5" s="9" t="inlineStr">
        <is>
          <t>Yes</t>
        </is>
      </c>
      <c r="F5" s="10" t="n">
        <v>0.03</v>
      </c>
      <c r="G5" s="11" t="n">
        <v>150</v>
      </c>
      <c r="H5" s="10" t="n">
        <v>0.55</v>
      </c>
      <c r="I5" s="12">
        <f>NORM.S.INV(F5)</f>
        <v/>
      </c>
    </row>
    <row r="6">
      <c r="A6" s="9" t="inlineStr">
        <is>
          <t>OBL-005</t>
        </is>
      </c>
      <c r="B6" s="9" t="inlineStr">
        <is>
          <t>Epsilon Holdings</t>
        </is>
      </c>
      <c r="C6" s="9" t="inlineStr">
        <is>
          <t>Asia</t>
        </is>
      </c>
      <c r="D6" s="9" t="inlineStr">
        <is>
          <t>Finance</t>
        </is>
      </c>
      <c r="E6" s="9" t="inlineStr">
        <is>
          <t>Yes</t>
        </is>
      </c>
      <c r="F6" s="10" t="n">
        <v>0.012</v>
      </c>
      <c r="G6" s="11" t="n">
        <v>180</v>
      </c>
      <c r="H6" s="10" t="n">
        <v>0.4</v>
      </c>
      <c r="I6" s="12">
        <f>NORM.S.INV(F6)</f>
        <v/>
      </c>
    </row>
    <row r="7">
      <c r="A7" s="9" t="inlineStr">
        <is>
          <t>OBL-006</t>
        </is>
      </c>
      <c r="B7" s="9" t="inlineStr">
        <is>
          <t>Zeta Automobil AG</t>
        </is>
      </c>
      <c r="C7" s="9" t="inlineStr">
        <is>
          <t>Europe</t>
        </is>
      </c>
      <c r="D7" s="9" t="inlineStr">
        <is>
          <t>Manufacturing</t>
        </is>
      </c>
      <c r="E7" s="9" t="inlineStr">
        <is>
          <t>No</t>
        </is>
      </c>
      <c r="F7" s="10" t="n">
        <v>0.01</v>
      </c>
      <c r="G7" s="11" t="n">
        <v>160</v>
      </c>
      <c r="H7" s="10" t="n">
        <v>0.45</v>
      </c>
      <c r="I7" s="12">
        <f>NORM.S.INV(F7)</f>
        <v/>
      </c>
    </row>
    <row r="8">
      <c r="A8" s="9" t="inlineStr">
        <is>
          <t>OBL-007</t>
        </is>
      </c>
      <c r="B8" s="9" t="inlineStr">
        <is>
          <t>Eta Banque SA</t>
        </is>
      </c>
      <c r="C8" s="9" t="inlineStr">
        <is>
          <t>Europe</t>
        </is>
      </c>
      <c r="D8" s="9" t="inlineStr">
        <is>
          <t>Finance</t>
        </is>
      </c>
      <c r="E8" s="9" t="inlineStr">
        <is>
          <t>No</t>
        </is>
      </c>
      <c r="F8" s="10" t="n">
        <v>0.005</v>
      </c>
      <c r="G8" s="11" t="n">
        <v>250</v>
      </c>
      <c r="H8" s="10" t="n">
        <v>0.35</v>
      </c>
      <c r="I8" s="12">
        <f>NORM.S.INV(F8)</f>
        <v/>
      </c>
    </row>
    <row r="9">
      <c r="A9" s="9" t="inlineStr">
        <is>
          <t>OBL-008</t>
        </is>
      </c>
      <c r="B9" s="9" t="inlineStr">
        <is>
          <t>Theta PropCo Ltd</t>
        </is>
      </c>
      <c r="C9" s="9" t="inlineStr">
        <is>
          <t>Europe</t>
        </is>
      </c>
      <c r="D9" s="9" t="inlineStr">
        <is>
          <t>Real Estate</t>
        </is>
      </c>
      <c r="E9" s="9" t="inlineStr">
        <is>
          <t>No</t>
        </is>
      </c>
      <c r="F9" s="10" t="n">
        <v>0.025</v>
      </c>
      <c r="G9" s="11" t="n">
        <v>100</v>
      </c>
      <c r="H9" s="10" t="n">
        <v>0.55</v>
      </c>
      <c r="I9" s="12">
        <f>NORM.S.INV(F9)</f>
        <v/>
      </c>
    </row>
    <row r="10">
      <c r="A10" s="9" t="inlineStr">
        <is>
          <t>OBL-009</t>
        </is>
      </c>
      <c r="B10" s="9" t="inlineStr">
        <is>
          <t>Iota Digital GmbH</t>
        </is>
      </c>
      <c r="C10" s="9" t="inlineStr">
        <is>
          <t>Europe</t>
        </is>
      </c>
      <c r="D10" s="9" t="inlineStr">
        <is>
          <t>Tech</t>
        </is>
      </c>
      <c r="E10" s="9" t="inlineStr">
        <is>
          <t>Yes</t>
        </is>
      </c>
      <c r="F10" s="10" t="n">
        <v>0.018</v>
      </c>
      <c r="G10" s="11" t="n">
        <v>90</v>
      </c>
      <c r="H10" s="10" t="n">
        <v>0.5</v>
      </c>
      <c r="I10" s="12">
        <f>NORM.S.INV(F10)</f>
        <v/>
      </c>
    </row>
    <row r="11">
      <c r="A11" s="9" t="inlineStr">
        <is>
          <t>OBL-010</t>
        </is>
      </c>
      <c r="B11" s="9" t="inlineStr">
        <is>
          <t>Kappa Energie SA</t>
        </is>
      </c>
      <c r="C11" s="9" t="inlineStr">
        <is>
          <t>Europe</t>
        </is>
      </c>
      <c r="D11" s="9" t="inlineStr">
        <is>
          <t>Manufacturing</t>
        </is>
      </c>
      <c r="E11" s="9" t="inlineStr">
        <is>
          <t>No</t>
        </is>
      </c>
      <c r="F11" s="10" t="n">
        <v>0.006999999999999999</v>
      </c>
      <c r="G11" s="11" t="n">
        <v>140</v>
      </c>
      <c r="H11" s="10" t="n">
        <v>0.45</v>
      </c>
      <c r="I11" s="12">
        <f>NORM.S.INV(F11)</f>
        <v/>
      </c>
    </row>
    <row r="12">
      <c r="A12" s="9" t="inlineStr">
        <is>
          <t>OBL-011</t>
        </is>
      </c>
      <c r="B12" s="9" t="inlineStr">
        <is>
          <t>Lambda Capital Corp</t>
        </is>
      </c>
      <c r="C12" s="9" t="inlineStr">
        <is>
          <t>Americas</t>
        </is>
      </c>
      <c r="D12" s="9" t="inlineStr">
        <is>
          <t>Finance</t>
        </is>
      </c>
      <c r="E12" s="9" t="inlineStr">
        <is>
          <t>No</t>
        </is>
      </c>
      <c r="F12" s="10" t="n">
        <v>0.006</v>
      </c>
      <c r="G12" s="11" t="n">
        <v>220</v>
      </c>
      <c r="H12" s="10" t="n">
        <v>0.38</v>
      </c>
      <c r="I12" s="12">
        <f>NORM.S.INV(F12)</f>
        <v/>
      </c>
    </row>
    <row r="13">
      <c r="A13" s="9" t="inlineStr">
        <is>
          <t>OBL-012</t>
        </is>
      </c>
      <c r="B13" s="9" t="inlineStr">
        <is>
          <t>Mu Semiconductor Inc</t>
        </is>
      </c>
      <c r="C13" s="9" t="inlineStr">
        <is>
          <t>Americas</t>
        </is>
      </c>
      <c r="D13" s="9" t="inlineStr">
        <is>
          <t>Tech</t>
        </is>
      </c>
      <c r="E13" s="9" t="inlineStr">
        <is>
          <t>No</t>
        </is>
      </c>
      <c r="F13" s="10" t="n">
        <v>0.022</v>
      </c>
      <c r="G13" s="11" t="n">
        <v>70</v>
      </c>
      <c r="H13" s="10" t="n">
        <v>0.5</v>
      </c>
      <c r="I13" s="12">
        <f>NORM.S.INV(F13)</f>
        <v/>
      </c>
    </row>
    <row r="14">
      <c r="A14" s="9" t="inlineStr">
        <is>
          <t>OBL-013</t>
        </is>
      </c>
      <c r="B14" s="9" t="inlineStr">
        <is>
          <t>Nu Development LLC</t>
        </is>
      </c>
      <c r="C14" s="9" t="inlineStr">
        <is>
          <t>Americas</t>
        </is>
      </c>
      <c r="D14" s="9" t="inlineStr">
        <is>
          <t>Real Estate</t>
        </is>
      </c>
      <c r="E14" s="9" t="inlineStr">
        <is>
          <t>Yes</t>
        </is>
      </c>
      <c r="F14" s="10" t="n">
        <v>0.035</v>
      </c>
      <c r="G14" s="11" t="n">
        <v>95</v>
      </c>
      <c r="H14" s="10" t="n">
        <v>0.58</v>
      </c>
      <c r="I14" s="12">
        <f>NORM.S.INV(F14)</f>
        <v/>
      </c>
    </row>
    <row r="15">
      <c r="A15" s="9" t="inlineStr">
        <is>
          <t>OBL-014</t>
        </is>
      </c>
      <c r="B15" s="9" t="inlineStr">
        <is>
          <t>Xi Wealth Partners</t>
        </is>
      </c>
      <c r="C15" s="9" t="inlineStr">
        <is>
          <t>Americas</t>
        </is>
      </c>
      <c r="D15" s="9" t="inlineStr">
        <is>
          <t>Finance</t>
        </is>
      </c>
      <c r="E15" s="9" t="inlineStr">
        <is>
          <t>Yes</t>
        </is>
      </c>
      <c r="F15" s="10" t="n">
        <v>0.01</v>
      </c>
      <c r="G15" s="11" t="n">
        <v>170</v>
      </c>
      <c r="H15" s="10" t="n">
        <v>0.4</v>
      </c>
      <c r="I15" s="12">
        <f>NORM.S.INV(F15)</f>
        <v/>
      </c>
    </row>
    <row r="16">
      <c r="A16" s="9" t="inlineStr">
        <is>
          <t>OBL-015</t>
        </is>
      </c>
      <c r="B16" s="9" t="inlineStr">
        <is>
          <t>Omicron MFG Corp</t>
        </is>
      </c>
      <c r="C16" s="9" t="inlineStr">
        <is>
          <t>Americas</t>
        </is>
      </c>
      <c r="D16" s="9" t="inlineStr">
        <is>
          <t>Manufacturing</t>
        </is>
      </c>
      <c r="E16" s="9" t="inlineStr">
        <is>
          <t>Yes</t>
        </is>
      </c>
      <c r="F16" s="10" t="n">
        <v>0.04</v>
      </c>
      <c r="G16" s="11" t="n">
        <v>60</v>
      </c>
      <c r="H16" s="10" t="n">
        <v>0.48</v>
      </c>
      <c r="I16" s="12">
        <f>NORM.S.INV(F16)</f>
        <v/>
      </c>
    </row>
    <row r="18">
      <c r="F18" s="13" t="inlineStr">
        <is>
          <t>Total EAD:</t>
        </is>
      </c>
      <c r="G18" s="14">
        <f>SUM(G2:G16)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SG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8" customWidth="1" min="226" max="226"/>
    <col width="8" customWidth="1" min="227" max="227"/>
    <col width="8" customWidth="1" min="228" max="228"/>
    <col width="8" customWidth="1" min="229" max="229"/>
    <col width="8" customWidth="1" min="230" max="230"/>
    <col width="8" customWidth="1" min="231" max="231"/>
    <col width="8" customWidth="1" min="232" max="232"/>
    <col width="8" customWidth="1" min="233" max="233"/>
    <col width="8" customWidth="1" min="234" max="234"/>
    <col width="8" customWidth="1" min="235" max="235"/>
    <col width="8" customWidth="1" min="236" max="236"/>
    <col width="8" customWidth="1" min="237" max="237"/>
    <col width="8" customWidth="1" min="238" max="238"/>
    <col width="8" customWidth="1" min="239" max="239"/>
    <col width="8" customWidth="1" min="240" max="240"/>
    <col width="8" customWidth="1" min="241" max="241"/>
    <col width="8" customWidth="1" min="242" max="242"/>
    <col width="8" customWidth="1" min="243" max="243"/>
    <col width="8" customWidth="1" min="244" max="244"/>
    <col width="8" customWidth="1" min="245" max="245"/>
    <col width="8" customWidth="1" min="246" max="246"/>
    <col width="8" customWidth="1" min="247" max="247"/>
    <col width="8" customWidth="1" min="248" max="248"/>
    <col width="8" customWidth="1" min="249" max="249"/>
    <col width="8" customWidth="1" min="250" max="250"/>
    <col width="8" customWidth="1" min="251" max="251"/>
    <col width="8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8" customWidth="1" min="280" max="280"/>
    <col width="8" customWidth="1" min="281" max="281"/>
    <col width="8" customWidth="1" min="282" max="282"/>
    <col width="8" customWidth="1" min="283" max="283"/>
    <col width="8" customWidth="1" min="284" max="284"/>
    <col width="8" customWidth="1" min="285" max="285"/>
    <col width="8" customWidth="1" min="286" max="286"/>
    <col width="8" customWidth="1" min="287" max="287"/>
    <col width="8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8" customWidth="1" min="334" max="334"/>
    <col width="8" customWidth="1" min="335" max="335"/>
    <col width="8" customWidth="1" min="336" max="336"/>
    <col width="8" customWidth="1" min="337" max="337"/>
    <col width="8" customWidth="1" min="338" max="338"/>
    <col width="8" customWidth="1" min="339" max="339"/>
    <col width="8" customWidth="1" min="340" max="340"/>
    <col width="8" customWidth="1" min="341" max="341"/>
    <col width="8" customWidth="1" min="342" max="342"/>
    <col width="8" customWidth="1" min="343" max="343"/>
    <col width="8" customWidth="1" min="344" max="344"/>
    <col width="8" customWidth="1" min="345" max="345"/>
    <col width="8" customWidth="1" min="346" max="346"/>
    <col width="8" customWidth="1" min="347" max="347"/>
    <col width="8" customWidth="1" min="348" max="348"/>
    <col width="8" customWidth="1" min="349" max="349"/>
    <col width="8" customWidth="1" min="350" max="350"/>
    <col width="8" customWidth="1" min="351" max="351"/>
    <col width="8" customWidth="1" min="352" max="352"/>
    <col width="8" customWidth="1" min="353" max="353"/>
    <col width="8" customWidth="1" min="354" max="354"/>
    <col width="8" customWidth="1" min="355" max="355"/>
    <col width="8" customWidth="1" min="356" max="356"/>
    <col width="8" customWidth="1" min="357" max="357"/>
    <col width="8" customWidth="1" min="358" max="358"/>
    <col width="8" customWidth="1" min="359" max="359"/>
    <col width="8" customWidth="1" min="360" max="360"/>
    <col width="8" customWidth="1" min="361" max="361"/>
    <col width="8" customWidth="1" min="362" max="362"/>
    <col width="8" customWidth="1" min="363" max="363"/>
    <col width="8" customWidth="1" min="364" max="364"/>
    <col width="8" customWidth="1" min="365" max="365"/>
    <col width="8" customWidth="1" min="366" max="366"/>
    <col width="8" customWidth="1" min="367" max="367"/>
    <col width="8" customWidth="1" min="368" max="368"/>
    <col width="8" customWidth="1" min="369" max="369"/>
    <col width="8" customWidth="1" min="370" max="370"/>
    <col width="8" customWidth="1" min="371" max="371"/>
    <col width="8" customWidth="1" min="372" max="372"/>
    <col width="8" customWidth="1" min="373" max="373"/>
    <col width="8" customWidth="1" min="374" max="374"/>
    <col width="8" customWidth="1" min="375" max="375"/>
    <col width="8" customWidth="1" min="376" max="376"/>
    <col width="8" customWidth="1" min="377" max="377"/>
    <col width="8" customWidth="1" min="378" max="378"/>
    <col width="8" customWidth="1" min="379" max="379"/>
    <col width="8" customWidth="1" min="380" max="380"/>
    <col width="8" customWidth="1" min="381" max="381"/>
    <col width="8" customWidth="1" min="382" max="382"/>
    <col width="8" customWidth="1" min="383" max="383"/>
    <col width="8" customWidth="1" min="384" max="384"/>
    <col width="8" customWidth="1" min="385" max="385"/>
    <col width="8" customWidth="1" min="386" max="386"/>
    <col width="8" customWidth="1" min="387" max="387"/>
    <col width="8" customWidth="1" min="388" max="388"/>
    <col width="8" customWidth="1" min="389" max="389"/>
    <col width="8" customWidth="1" min="390" max="390"/>
    <col width="8" customWidth="1" min="391" max="391"/>
    <col width="8" customWidth="1" min="392" max="392"/>
    <col width="8" customWidth="1" min="393" max="393"/>
    <col width="8" customWidth="1" min="394" max="394"/>
    <col width="8" customWidth="1" min="395" max="395"/>
    <col width="8" customWidth="1" min="396" max="396"/>
    <col width="8" customWidth="1" min="397" max="397"/>
    <col width="8" customWidth="1" min="398" max="398"/>
    <col width="8" customWidth="1" min="399" max="399"/>
    <col width="8" customWidth="1" min="400" max="400"/>
    <col width="8" customWidth="1" min="401" max="401"/>
    <col width="8" customWidth="1" min="402" max="402"/>
    <col width="8" customWidth="1" min="403" max="403"/>
    <col width="8" customWidth="1" min="404" max="404"/>
    <col width="8" customWidth="1" min="405" max="405"/>
    <col width="8" customWidth="1" min="406" max="406"/>
    <col width="8" customWidth="1" min="407" max="407"/>
    <col width="8" customWidth="1" min="408" max="408"/>
    <col width="8" customWidth="1" min="409" max="409"/>
    <col width="8" customWidth="1" min="410" max="410"/>
    <col width="8" customWidth="1" min="411" max="411"/>
    <col width="8" customWidth="1" min="412" max="412"/>
    <col width="8" customWidth="1" min="413" max="413"/>
    <col width="8" customWidth="1" min="414" max="414"/>
    <col width="8" customWidth="1" min="415" max="415"/>
    <col width="8" customWidth="1" min="416" max="416"/>
    <col width="8" customWidth="1" min="417" max="417"/>
    <col width="8" customWidth="1" min="418" max="418"/>
    <col width="8" customWidth="1" min="419" max="419"/>
    <col width="8" customWidth="1" min="420" max="420"/>
    <col width="8" customWidth="1" min="421" max="421"/>
    <col width="8" customWidth="1" min="422" max="422"/>
    <col width="8" customWidth="1" min="423" max="423"/>
    <col width="8" customWidth="1" min="424" max="424"/>
    <col width="8" customWidth="1" min="425" max="425"/>
    <col width="8" customWidth="1" min="426" max="426"/>
    <col width="8" customWidth="1" min="427" max="427"/>
    <col width="8" customWidth="1" min="428" max="428"/>
    <col width="8" customWidth="1" min="429" max="429"/>
    <col width="8" customWidth="1" min="430" max="430"/>
    <col width="8" customWidth="1" min="431" max="431"/>
    <col width="8" customWidth="1" min="432" max="432"/>
    <col width="8" customWidth="1" min="433" max="433"/>
    <col width="8" customWidth="1" min="434" max="434"/>
    <col width="8" customWidth="1" min="435" max="435"/>
    <col width="8" customWidth="1" min="436" max="436"/>
    <col width="8" customWidth="1" min="437" max="437"/>
    <col width="8" customWidth="1" min="438" max="438"/>
    <col width="8" customWidth="1" min="439" max="439"/>
    <col width="8" customWidth="1" min="440" max="440"/>
    <col width="8" customWidth="1" min="441" max="441"/>
    <col width="8" customWidth="1" min="442" max="442"/>
    <col width="8" customWidth="1" min="443" max="443"/>
    <col width="8" customWidth="1" min="444" max="444"/>
    <col width="8" customWidth="1" min="445" max="445"/>
    <col width="8" customWidth="1" min="446" max="446"/>
    <col width="8" customWidth="1" min="447" max="447"/>
    <col width="8" customWidth="1" min="448" max="448"/>
    <col width="8" customWidth="1" min="449" max="449"/>
    <col width="8" customWidth="1" min="450" max="450"/>
    <col width="8" customWidth="1" min="451" max="451"/>
    <col width="8" customWidth="1" min="452" max="452"/>
    <col width="8" customWidth="1" min="453" max="453"/>
    <col width="8" customWidth="1" min="454" max="454"/>
    <col width="8" customWidth="1" min="455" max="455"/>
    <col width="8" customWidth="1" min="456" max="456"/>
    <col width="8" customWidth="1" min="457" max="457"/>
    <col width="8" customWidth="1" min="458" max="458"/>
    <col width="8" customWidth="1" min="459" max="459"/>
    <col width="8" customWidth="1" min="460" max="460"/>
    <col width="8" customWidth="1" min="461" max="461"/>
    <col width="8" customWidth="1" min="462" max="462"/>
    <col width="8" customWidth="1" min="463" max="463"/>
    <col width="8" customWidth="1" min="464" max="464"/>
    <col width="8" customWidth="1" min="465" max="465"/>
    <col width="8" customWidth="1" min="466" max="466"/>
    <col width="8" customWidth="1" min="467" max="467"/>
    <col width="8" customWidth="1" min="468" max="468"/>
    <col width="8" customWidth="1" min="469" max="469"/>
    <col width="8" customWidth="1" min="470" max="470"/>
    <col width="8" customWidth="1" min="471" max="471"/>
    <col width="8" customWidth="1" min="472" max="472"/>
    <col width="8" customWidth="1" min="473" max="473"/>
    <col width="8" customWidth="1" min="474" max="474"/>
    <col width="8" customWidth="1" min="475" max="475"/>
    <col width="8" customWidth="1" min="476" max="476"/>
    <col width="8" customWidth="1" min="477" max="477"/>
    <col width="8" customWidth="1" min="478" max="478"/>
    <col width="8" customWidth="1" min="479" max="479"/>
    <col width="8" customWidth="1" min="480" max="480"/>
    <col width="8" customWidth="1" min="481" max="481"/>
    <col width="8" customWidth="1" min="482" max="482"/>
    <col width="8" customWidth="1" min="483" max="483"/>
    <col width="8" customWidth="1" min="484" max="484"/>
    <col width="8" customWidth="1" min="485" max="485"/>
    <col width="8" customWidth="1" min="486" max="486"/>
    <col width="8" customWidth="1" min="487" max="487"/>
    <col width="8" customWidth="1" min="488" max="488"/>
    <col width="8" customWidth="1" min="489" max="489"/>
    <col width="8" customWidth="1" min="490" max="490"/>
    <col width="8" customWidth="1" min="491" max="491"/>
    <col width="8" customWidth="1" min="492" max="492"/>
    <col width="8" customWidth="1" min="493" max="493"/>
    <col width="8" customWidth="1" min="494" max="494"/>
    <col width="8" customWidth="1" min="495" max="495"/>
    <col width="8" customWidth="1" min="496" max="496"/>
    <col width="8" customWidth="1" min="497" max="497"/>
    <col width="8" customWidth="1" min="498" max="498"/>
    <col width="8" customWidth="1" min="499" max="499"/>
    <col width="8" customWidth="1" min="500" max="500"/>
    <col width="8" customWidth="1" min="501" max="501"/>
  </cols>
  <sheetData>
    <row r="1">
      <c r="A1" s="15" t="inlineStr">
        <is>
          <t>Factor \ Trial</t>
        </is>
      </c>
      <c r="B1" s="16" t="inlineStr">
        <is>
          <t>Trial 1</t>
        </is>
      </c>
      <c r="C1" s="16" t="inlineStr">
        <is>
          <t>Trial 2</t>
        </is>
      </c>
      <c r="D1" s="16" t="inlineStr">
        <is>
          <t>Trial 3</t>
        </is>
      </c>
      <c r="E1" s="16" t="inlineStr">
        <is>
          <t>Trial 4</t>
        </is>
      </c>
      <c r="F1" s="16" t="inlineStr">
        <is>
          <t>Trial 5</t>
        </is>
      </c>
      <c r="G1" s="16" t="inlineStr">
        <is>
          <t>Trial 6</t>
        </is>
      </c>
      <c r="H1" s="16" t="inlineStr">
        <is>
          <t>Trial 7</t>
        </is>
      </c>
      <c r="I1" s="16" t="inlineStr">
        <is>
          <t>Trial 8</t>
        </is>
      </c>
      <c r="J1" s="16" t="inlineStr">
        <is>
          <t>Trial 9</t>
        </is>
      </c>
      <c r="K1" s="16" t="inlineStr">
        <is>
          <t>Trial 10</t>
        </is>
      </c>
      <c r="L1" s="16" t="inlineStr">
        <is>
          <t>Trial 11</t>
        </is>
      </c>
      <c r="M1" s="16" t="inlineStr">
        <is>
          <t>Trial 12</t>
        </is>
      </c>
      <c r="N1" s="16" t="inlineStr">
        <is>
          <t>Trial 13</t>
        </is>
      </c>
      <c r="O1" s="16" t="inlineStr">
        <is>
          <t>Trial 14</t>
        </is>
      </c>
      <c r="P1" s="16" t="inlineStr">
        <is>
          <t>Trial 15</t>
        </is>
      </c>
      <c r="Q1" s="16" t="inlineStr">
        <is>
          <t>Trial 16</t>
        </is>
      </c>
      <c r="R1" s="16" t="inlineStr">
        <is>
          <t>Trial 17</t>
        </is>
      </c>
      <c r="S1" s="16" t="inlineStr">
        <is>
          <t>Trial 18</t>
        </is>
      </c>
      <c r="T1" s="16" t="inlineStr">
        <is>
          <t>Trial 19</t>
        </is>
      </c>
      <c r="U1" s="16" t="inlineStr">
        <is>
          <t>Trial 20</t>
        </is>
      </c>
      <c r="V1" s="16" t="inlineStr">
        <is>
          <t>Trial 21</t>
        </is>
      </c>
      <c r="W1" s="16" t="inlineStr">
        <is>
          <t>Trial 22</t>
        </is>
      </c>
      <c r="X1" s="16" t="inlineStr">
        <is>
          <t>Trial 23</t>
        </is>
      </c>
      <c r="Y1" s="16" t="inlineStr">
        <is>
          <t>Trial 24</t>
        </is>
      </c>
      <c r="Z1" s="16" t="inlineStr">
        <is>
          <t>Trial 25</t>
        </is>
      </c>
      <c r="AA1" s="16" t="inlineStr">
        <is>
          <t>Trial 26</t>
        </is>
      </c>
      <c r="AB1" s="16" t="inlineStr">
        <is>
          <t>Trial 27</t>
        </is>
      </c>
      <c r="AC1" s="16" t="inlineStr">
        <is>
          <t>Trial 28</t>
        </is>
      </c>
      <c r="AD1" s="16" t="inlineStr">
        <is>
          <t>Trial 29</t>
        </is>
      </c>
      <c r="AE1" s="16" t="inlineStr">
        <is>
          <t>Trial 30</t>
        </is>
      </c>
      <c r="AF1" s="16" t="inlineStr">
        <is>
          <t>Trial 31</t>
        </is>
      </c>
      <c r="AG1" s="16" t="inlineStr">
        <is>
          <t>Trial 32</t>
        </is>
      </c>
      <c r="AH1" s="16" t="inlineStr">
        <is>
          <t>Trial 33</t>
        </is>
      </c>
      <c r="AI1" s="16" t="inlineStr">
        <is>
          <t>Trial 34</t>
        </is>
      </c>
      <c r="AJ1" s="16" t="inlineStr">
        <is>
          <t>Trial 35</t>
        </is>
      </c>
      <c r="AK1" s="16" t="inlineStr">
        <is>
          <t>Trial 36</t>
        </is>
      </c>
      <c r="AL1" s="16" t="inlineStr">
        <is>
          <t>Trial 37</t>
        </is>
      </c>
      <c r="AM1" s="16" t="inlineStr">
        <is>
          <t>Trial 38</t>
        </is>
      </c>
      <c r="AN1" s="16" t="inlineStr">
        <is>
          <t>Trial 39</t>
        </is>
      </c>
      <c r="AO1" s="16" t="inlineStr">
        <is>
          <t>Trial 40</t>
        </is>
      </c>
      <c r="AP1" s="16" t="inlineStr">
        <is>
          <t>Trial 41</t>
        </is>
      </c>
      <c r="AQ1" s="16" t="inlineStr">
        <is>
          <t>Trial 42</t>
        </is>
      </c>
      <c r="AR1" s="16" t="inlineStr">
        <is>
          <t>Trial 43</t>
        </is>
      </c>
      <c r="AS1" s="16" t="inlineStr">
        <is>
          <t>Trial 44</t>
        </is>
      </c>
      <c r="AT1" s="16" t="inlineStr">
        <is>
          <t>Trial 45</t>
        </is>
      </c>
      <c r="AU1" s="16" t="inlineStr">
        <is>
          <t>Trial 46</t>
        </is>
      </c>
      <c r="AV1" s="16" t="inlineStr">
        <is>
          <t>Trial 47</t>
        </is>
      </c>
      <c r="AW1" s="16" t="inlineStr">
        <is>
          <t>Trial 48</t>
        </is>
      </c>
      <c r="AX1" s="16" t="inlineStr">
        <is>
          <t>Trial 49</t>
        </is>
      </c>
      <c r="AY1" s="16" t="inlineStr">
        <is>
          <t>Trial 50</t>
        </is>
      </c>
      <c r="AZ1" s="16" t="inlineStr">
        <is>
          <t>Trial 51</t>
        </is>
      </c>
      <c r="BA1" s="16" t="inlineStr">
        <is>
          <t>Trial 52</t>
        </is>
      </c>
      <c r="BB1" s="16" t="inlineStr">
        <is>
          <t>Trial 53</t>
        </is>
      </c>
      <c r="BC1" s="16" t="inlineStr">
        <is>
          <t>Trial 54</t>
        </is>
      </c>
      <c r="BD1" s="16" t="inlineStr">
        <is>
          <t>Trial 55</t>
        </is>
      </c>
      <c r="BE1" s="16" t="inlineStr">
        <is>
          <t>Trial 56</t>
        </is>
      </c>
      <c r="BF1" s="16" t="inlineStr">
        <is>
          <t>Trial 57</t>
        </is>
      </c>
      <c r="BG1" s="16" t="inlineStr">
        <is>
          <t>Trial 58</t>
        </is>
      </c>
      <c r="BH1" s="16" t="inlineStr">
        <is>
          <t>Trial 59</t>
        </is>
      </c>
      <c r="BI1" s="16" t="inlineStr">
        <is>
          <t>Trial 60</t>
        </is>
      </c>
      <c r="BJ1" s="16" t="inlineStr">
        <is>
          <t>Trial 61</t>
        </is>
      </c>
      <c r="BK1" s="16" t="inlineStr">
        <is>
          <t>Trial 62</t>
        </is>
      </c>
      <c r="BL1" s="16" t="inlineStr">
        <is>
          <t>Trial 63</t>
        </is>
      </c>
      <c r="BM1" s="16" t="inlineStr">
        <is>
          <t>Trial 64</t>
        </is>
      </c>
      <c r="BN1" s="16" t="inlineStr">
        <is>
          <t>Trial 65</t>
        </is>
      </c>
      <c r="BO1" s="16" t="inlineStr">
        <is>
          <t>Trial 66</t>
        </is>
      </c>
      <c r="BP1" s="16" t="inlineStr">
        <is>
          <t>Trial 67</t>
        </is>
      </c>
      <c r="BQ1" s="16" t="inlineStr">
        <is>
          <t>Trial 68</t>
        </is>
      </c>
      <c r="BR1" s="16" t="inlineStr">
        <is>
          <t>Trial 69</t>
        </is>
      </c>
      <c r="BS1" s="16" t="inlineStr">
        <is>
          <t>Trial 70</t>
        </is>
      </c>
      <c r="BT1" s="16" t="inlineStr">
        <is>
          <t>Trial 71</t>
        </is>
      </c>
      <c r="BU1" s="16" t="inlineStr">
        <is>
          <t>Trial 72</t>
        </is>
      </c>
      <c r="BV1" s="16" t="inlineStr">
        <is>
          <t>Trial 73</t>
        </is>
      </c>
      <c r="BW1" s="16" t="inlineStr">
        <is>
          <t>Trial 74</t>
        </is>
      </c>
      <c r="BX1" s="16" t="inlineStr">
        <is>
          <t>Trial 75</t>
        </is>
      </c>
      <c r="BY1" s="16" t="inlineStr">
        <is>
          <t>Trial 76</t>
        </is>
      </c>
      <c r="BZ1" s="16" t="inlineStr">
        <is>
          <t>Trial 77</t>
        </is>
      </c>
      <c r="CA1" s="16" t="inlineStr">
        <is>
          <t>Trial 78</t>
        </is>
      </c>
      <c r="CB1" s="16" t="inlineStr">
        <is>
          <t>Trial 79</t>
        </is>
      </c>
      <c r="CC1" s="16" t="inlineStr">
        <is>
          <t>Trial 80</t>
        </is>
      </c>
      <c r="CD1" s="16" t="inlineStr">
        <is>
          <t>Trial 81</t>
        </is>
      </c>
      <c r="CE1" s="16" t="inlineStr">
        <is>
          <t>Trial 82</t>
        </is>
      </c>
      <c r="CF1" s="16" t="inlineStr">
        <is>
          <t>Trial 83</t>
        </is>
      </c>
      <c r="CG1" s="16" t="inlineStr">
        <is>
          <t>Trial 84</t>
        </is>
      </c>
      <c r="CH1" s="16" t="inlineStr">
        <is>
          <t>Trial 85</t>
        </is>
      </c>
      <c r="CI1" s="16" t="inlineStr">
        <is>
          <t>Trial 86</t>
        </is>
      </c>
      <c r="CJ1" s="16" t="inlineStr">
        <is>
          <t>Trial 87</t>
        </is>
      </c>
      <c r="CK1" s="16" t="inlineStr">
        <is>
          <t>Trial 88</t>
        </is>
      </c>
      <c r="CL1" s="16" t="inlineStr">
        <is>
          <t>Trial 89</t>
        </is>
      </c>
      <c r="CM1" s="16" t="inlineStr">
        <is>
          <t>Trial 90</t>
        </is>
      </c>
      <c r="CN1" s="16" t="inlineStr">
        <is>
          <t>Trial 91</t>
        </is>
      </c>
      <c r="CO1" s="16" t="inlineStr">
        <is>
          <t>Trial 92</t>
        </is>
      </c>
      <c r="CP1" s="16" t="inlineStr">
        <is>
          <t>Trial 93</t>
        </is>
      </c>
      <c r="CQ1" s="16" t="inlineStr">
        <is>
          <t>Trial 94</t>
        </is>
      </c>
      <c r="CR1" s="16" t="inlineStr">
        <is>
          <t>Trial 95</t>
        </is>
      </c>
      <c r="CS1" s="16" t="inlineStr">
        <is>
          <t>Trial 96</t>
        </is>
      </c>
      <c r="CT1" s="16" t="inlineStr">
        <is>
          <t>Trial 97</t>
        </is>
      </c>
      <c r="CU1" s="16" t="inlineStr">
        <is>
          <t>Trial 98</t>
        </is>
      </c>
      <c r="CV1" s="16" t="inlineStr">
        <is>
          <t>Trial 99</t>
        </is>
      </c>
      <c r="CW1" s="16" t="inlineStr">
        <is>
          <t>Trial 100</t>
        </is>
      </c>
      <c r="CX1" s="16" t="inlineStr">
        <is>
          <t>Trial 101</t>
        </is>
      </c>
      <c r="CY1" s="16" t="inlineStr">
        <is>
          <t>Trial 102</t>
        </is>
      </c>
      <c r="CZ1" s="16" t="inlineStr">
        <is>
          <t>Trial 103</t>
        </is>
      </c>
      <c r="DA1" s="16" t="inlineStr">
        <is>
          <t>Trial 104</t>
        </is>
      </c>
      <c r="DB1" s="16" t="inlineStr">
        <is>
          <t>Trial 105</t>
        </is>
      </c>
      <c r="DC1" s="16" t="inlineStr">
        <is>
          <t>Trial 106</t>
        </is>
      </c>
      <c r="DD1" s="16" t="inlineStr">
        <is>
          <t>Trial 107</t>
        </is>
      </c>
      <c r="DE1" s="16" t="inlineStr">
        <is>
          <t>Trial 108</t>
        </is>
      </c>
      <c r="DF1" s="16" t="inlineStr">
        <is>
          <t>Trial 109</t>
        </is>
      </c>
      <c r="DG1" s="16" t="inlineStr">
        <is>
          <t>Trial 110</t>
        </is>
      </c>
      <c r="DH1" s="16" t="inlineStr">
        <is>
          <t>Trial 111</t>
        </is>
      </c>
      <c r="DI1" s="16" t="inlineStr">
        <is>
          <t>Trial 112</t>
        </is>
      </c>
      <c r="DJ1" s="16" t="inlineStr">
        <is>
          <t>Trial 113</t>
        </is>
      </c>
      <c r="DK1" s="16" t="inlineStr">
        <is>
          <t>Trial 114</t>
        </is>
      </c>
      <c r="DL1" s="16" t="inlineStr">
        <is>
          <t>Trial 115</t>
        </is>
      </c>
      <c r="DM1" s="16" t="inlineStr">
        <is>
          <t>Trial 116</t>
        </is>
      </c>
      <c r="DN1" s="16" t="inlineStr">
        <is>
          <t>Trial 117</t>
        </is>
      </c>
      <c r="DO1" s="16" t="inlineStr">
        <is>
          <t>Trial 118</t>
        </is>
      </c>
      <c r="DP1" s="16" t="inlineStr">
        <is>
          <t>Trial 119</t>
        </is>
      </c>
      <c r="DQ1" s="16" t="inlineStr">
        <is>
          <t>Trial 120</t>
        </is>
      </c>
      <c r="DR1" s="16" t="inlineStr">
        <is>
          <t>Trial 121</t>
        </is>
      </c>
      <c r="DS1" s="16" t="inlineStr">
        <is>
          <t>Trial 122</t>
        </is>
      </c>
      <c r="DT1" s="16" t="inlineStr">
        <is>
          <t>Trial 123</t>
        </is>
      </c>
      <c r="DU1" s="16" t="inlineStr">
        <is>
          <t>Trial 124</t>
        </is>
      </c>
      <c r="DV1" s="16" t="inlineStr">
        <is>
          <t>Trial 125</t>
        </is>
      </c>
      <c r="DW1" s="16" t="inlineStr">
        <is>
          <t>Trial 126</t>
        </is>
      </c>
      <c r="DX1" s="16" t="inlineStr">
        <is>
          <t>Trial 127</t>
        </is>
      </c>
      <c r="DY1" s="16" t="inlineStr">
        <is>
          <t>Trial 128</t>
        </is>
      </c>
      <c r="DZ1" s="16" t="inlineStr">
        <is>
          <t>Trial 129</t>
        </is>
      </c>
      <c r="EA1" s="16" t="inlineStr">
        <is>
          <t>Trial 130</t>
        </is>
      </c>
      <c r="EB1" s="16" t="inlineStr">
        <is>
          <t>Trial 131</t>
        </is>
      </c>
      <c r="EC1" s="16" t="inlineStr">
        <is>
          <t>Trial 132</t>
        </is>
      </c>
      <c r="ED1" s="16" t="inlineStr">
        <is>
          <t>Trial 133</t>
        </is>
      </c>
      <c r="EE1" s="16" t="inlineStr">
        <is>
          <t>Trial 134</t>
        </is>
      </c>
      <c r="EF1" s="16" t="inlineStr">
        <is>
          <t>Trial 135</t>
        </is>
      </c>
      <c r="EG1" s="16" t="inlineStr">
        <is>
          <t>Trial 136</t>
        </is>
      </c>
      <c r="EH1" s="16" t="inlineStr">
        <is>
          <t>Trial 137</t>
        </is>
      </c>
      <c r="EI1" s="16" t="inlineStr">
        <is>
          <t>Trial 138</t>
        </is>
      </c>
      <c r="EJ1" s="16" t="inlineStr">
        <is>
          <t>Trial 139</t>
        </is>
      </c>
      <c r="EK1" s="16" t="inlineStr">
        <is>
          <t>Trial 140</t>
        </is>
      </c>
      <c r="EL1" s="16" t="inlineStr">
        <is>
          <t>Trial 141</t>
        </is>
      </c>
      <c r="EM1" s="16" t="inlineStr">
        <is>
          <t>Trial 142</t>
        </is>
      </c>
      <c r="EN1" s="16" t="inlineStr">
        <is>
          <t>Trial 143</t>
        </is>
      </c>
      <c r="EO1" s="16" t="inlineStr">
        <is>
          <t>Trial 144</t>
        </is>
      </c>
      <c r="EP1" s="16" t="inlineStr">
        <is>
          <t>Trial 145</t>
        </is>
      </c>
      <c r="EQ1" s="16" t="inlineStr">
        <is>
          <t>Trial 146</t>
        </is>
      </c>
      <c r="ER1" s="16" t="inlineStr">
        <is>
          <t>Trial 147</t>
        </is>
      </c>
      <c r="ES1" s="16" t="inlineStr">
        <is>
          <t>Trial 148</t>
        </is>
      </c>
      <c r="ET1" s="16" t="inlineStr">
        <is>
          <t>Trial 149</t>
        </is>
      </c>
      <c r="EU1" s="16" t="inlineStr">
        <is>
          <t>Trial 150</t>
        </is>
      </c>
      <c r="EV1" s="16" t="inlineStr">
        <is>
          <t>Trial 151</t>
        </is>
      </c>
      <c r="EW1" s="16" t="inlineStr">
        <is>
          <t>Trial 152</t>
        </is>
      </c>
      <c r="EX1" s="16" t="inlineStr">
        <is>
          <t>Trial 153</t>
        </is>
      </c>
      <c r="EY1" s="16" t="inlineStr">
        <is>
          <t>Trial 154</t>
        </is>
      </c>
      <c r="EZ1" s="16" t="inlineStr">
        <is>
          <t>Trial 155</t>
        </is>
      </c>
      <c r="FA1" s="16" t="inlineStr">
        <is>
          <t>Trial 156</t>
        </is>
      </c>
      <c r="FB1" s="16" t="inlineStr">
        <is>
          <t>Trial 157</t>
        </is>
      </c>
      <c r="FC1" s="16" t="inlineStr">
        <is>
          <t>Trial 158</t>
        </is>
      </c>
      <c r="FD1" s="16" t="inlineStr">
        <is>
          <t>Trial 159</t>
        </is>
      </c>
      <c r="FE1" s="16" t="inlineStr">
        <is>
          <t>Trial 160</t>
        </is>
      </c>
      <c r="FF1" s="16" t="inlineStr">
        <is>
          <t>Trial 161</t>
        </is>
      </c>
      <c r="FG1" s="16" t="inlineStr">
        <is>
          <t>Trial 162</t>
        </is>
      </c>
      <c r="FH1" s="16" t="inlineStr">
        <is>
          <t>Trial 163</t>
        </is>
      </c>
      <c r="FI1" s="16" t="inlineStr">
        <is>
          <t>Trial 164</t>
        </is>
      </c>
      <c r="FJ1" s="16" t="inlineStr">
        <is>
          <t>Trial 165</t>
        </is>
      </c>
      <c r="FK1" s="16" t="inlineStr">
        <is>
          <t>Trial 166</t>
        </is>
      </c>
      <c r="FL1" s="16" t="inlineStr">
        <is>
          <t>Trial 167</t>
        </is>
      </c>
      <c r="FM1" s="16" t="inlineStr">
        <is>
          <t>Trial 168</t>
        </is>
      </c>
      <c r="FN1" s="16" t="inlineStr">
        <is>
          <t>Trial 169</t>
        </is>
      </c>
      <c r="FO1" s="16" t="inlineStr">
        <is>
          <t>Trial 170</t>
        </is>
      </c>
      <c r="FP1" s="16" t="inlineStr">
        <is>
          <t>Trial 171</t>
        </is>
      </c>
      <c r="FQ1" s="16" t="inlineStr">
        <is>
          <t>Trial 172</t>
        </is>
      </c>
      <c r="FR1" s="16" t="inlineStr">
        <is>
          <t>Trial 173</t>
        </is>
      </c>
      <c r="FS1" s="16" t="inlineStr">
        <is>
          <t>Trial 174</t>
        </is>
      </c>
      <c r="FT1" s="16" t="inlineStr">
        <is>
          <t>Trial 175</t>
        </is>
      </c>
      <c r="FU1" s="16" t="inlineStr">
        <is>
          <t>Trial 176</t>
        </is>
      </c>
      <c r="FV1" s="16" t="inlineStr">
        <is>
          <t>Trial 177</t>
        </is>
      </c>
      <c r="FW1" s="16" t="inlineStr">
        <is>
          <t>Trial 178</t>
        </is>
      </c>
      <c r="FX1" s="16" t="inlineStr">
        <is>
          <t>Trial 179</t>
        </is>
      </c>
      <c r="FY1" s="16" t="inlineStr">
        <is>
          <t>Trial 180</t>
        </is>
      </c>
      <c r="FZ1" s="16" t="inlineStr">
        <is>
          <t>Trial 181</t>
        </is>
      </c>
      <c r="GA1" s="16" t="inlineStr">
        <is>
          <t>Trial 182</t>
        </is>
      </c>
      <c r="GB1" s="16" t="inlineStr">
        <is>
          <t>Trial 183</t>
        </is>
      </c>
      <c r="GC1" s="16" t="inlineStr">
        <is>
          <t>Trial 184</t>
        </is>
      </c>
      <c r="GD1" s="16" t="inlineStr">
        <is>
          <t>Trial 185</t>
        </is>
      </c>
      <c r="GE1" s="16" t="inlineStr">
        <is>
          <t>Trial 186</t>
        </is>
      </c>
      <c r="GF1" s="16" t="inlineStr">
        <is>
          <t>Trial 187</t>
        </is>
      </c>
      <c r="GG1" s="16" t="inlineStr">
        <is>
          <t>Trial 188</t>
        </is>
      </c>
      <c r="GH1" s="16" t="inlineStr">
        <is>
          <t>Trial 189</t>
        </is>
      </c>
      <c r="GI1" s="16" t="inlineStr">
        <is>
          <t>Trial 190</t>
        </is>
      </c>
      <c r="GJ1" s="16" t="inlineStr">
        <is>
          <t>Trial 191</t>
        </is>
      </c>
      <c r="GK1" s="16" t="inlineStr">
        <is>
          <t>Trial 192</t>
        </is>
      </c>
      <c r="GL1" s="16" t="inlineStr">
        <is>
          <t>Trial 193</t>
        </is>
      </c>
      <c r="GM1" s="16" t="inlineStr">
        <is>
          <t>Trial 194</t>
        </is>
      </c>
      <c r="GN1" s="16" t="inlineStr">
        <is>
          <t>Trial 195</t>
        </is>
      </c>
      <c r="GO1" s="16" t="inlineStr">
        <is>
          <t>Trial 196</t>
        </is>
      </c>
      <c r="GP1" s="16" t="inlineStr">
        <is>
          <t>Trial 197</t>
        </is>
      </c>
      <c r="GQ1" s="16" t="inlineStr">
        <is>
          <t>Trial 198</t>
        </is>
      </c>
      <c r="GR1" s="16" t="inlineStr">
        <is>
          <t>Trial 199</t>
        </is>
      </c>
      <c r="GS1" s="16" t="inlineStr">
        <is>
          <t>Trial 200</t>
        </is>
      </c>
      <c r="GT1" s="16" t="inlineStr">
        <is>
          <t>Trial 201</t>
        </is>
      </c>
      <c r="GU1" s="16" t="inlineStr">
        <is>
          <t>Trial 202</t>
        </is>
      </c>
      <c r="GV1" s="16" t="inlineStr">
        <is>
          <t>Trial 203</t>
        </is>
      </c>
      <c r="GW1" s="16" t="inlineStr">
        <is>
          <t>Trial 204</t>
        </is>
      </c>
      <c r="GX1" s="16" t="inlineStr">
        <is>
          <t>Trial 205</t>
        </is>
      </c>
      <c r="GY1" s="16" t="inlineStr">
        <is>
          <t>Trial 206</t>
        </is>
      </c>
      <c r="GZ1" s="16" t="inlineStr">
        <is>
          <t>Trial 207</t>
        </is>
      </c>
      <c r="HA1" s="16" t="inlineStr">
        <is>
          <t>Trial 208</t>
        </is>
      </c>
      <c r="HB1" s="16" t="inlineStr">
        <is>
          <t>Trial 209</t>
        </is>
      </c>
      <c r="HC1" s="16" t="inlineStr">
        <is>
          <t>Trial 210</t>
        </is>
      </c>
      <c r="HD1" s="16" t="inlineStr">
        <is>
          <t>Trial 211</t>
        </is>
      </c>
      <c r="HE1" s="16" t="inlineStr">
        <is>
          <t>Trial 212</t>
        </is>
      </c>
      <c r="HF1" s="16" t="inlineStr">
        <is>
          <t>Trial 213</t>
        </is>
      </c>
      <c r="HG1" s="16" t="inlineStr">
        <is>
          <t>Trial 214</t>
        </is>
      </c>
      <c r="HH1" s="16" t="inlineStr">
        <is>
          <t>Trial 215</t>
        </is>
      </c>
      <c r="HI1" s="16" t="inlineStr">
        <is>
          <t>Trial 216</t>
        </is>
      </c>
      <c r="HJ1" s="16" t="inlineStr">
        <is>
          <t>Trial 217</t>
        </is>
      </c>
      <c r="HK1" s="16" t="inlineStr">
        <is>
          <t>Trial 218</t>
        </is>
      </c>
      <c r="HL1" s="16" t="inlineStr">
        <is>
          <t>Trial 219</t>
        </is>
      </c>
      <c r="HM1" s="16" t="inlineStr">
        <is>
          <t>Trial 220</t>
        </is>
      </c>
      <c r="HN1" s="16" t="inlineStr">
        <is>
          <t>Trial 221</t>
        </is>
      </c>
      <c r="HO1" s="16" t="inlineStr">
        <is>
          <t>Trial 222</t>
        </is>
      </c>
      <c r="HP1" s="16" t="inlineStr">
        <is>
          <t>Trial 223</t>
        </is>
      </c>
      <c r="HQ1" s="16" t="inlineStr">
        <is>
          <t>Trial 224</t>
        </is>
      </c>
      <c r="HR1" s="16" t="inlineStr">
        <is>
          <t>Trial 225</t>
        </is>
      </c>
      <c r="HS1" s="16" t="inlineStr">
        <is>
          <t>Trial 226</t>
        </is>
      </c>
      <c r="HT1" s="16" t="inlineStr">
        <is>
          <t>Trial 227</t>
        </is>
      </c>
      <c r="HU1" s="16" t="inlineStr">
        <is>
          <t>Trial 228</t>
        </is>
      </c>
      <c r="HV1" s="16" t="inlineStr">
        <is>
          <t>Trial 229</t>
        </is>
      </c>
      <c r="HW1" s="16" t="inlineStr">
        <is>
          <t>Trial 230</t>
        </is>
      </c>
      <c r="HX1" s="16" t="inlineStr">
        <is>
          <t>Trial 231</t>
        </is>
      </c>
      <c r="HY1" s="16" t="inlineStr">
        <is>
          <t>Trial 232</t>
        </is>
      </c>
      <c r="HZ1" s="16" t="inlineStr">
        <is>
          <t>Trial 233</t>
        </is>
      </c>
      <c r="IA1" s="16" t="inlineStr">
        <is>
          <t>Trial 234</t>
        </is>
      </c>
      <c r="IB1" s="16" t="inlineStr">
        <is>
          <t>Trial 235</t>
        </is>
      </c>
      <c r="IC1" s="16" t="inlineStr">
        <is>
          <t>Trial 236</t>
        </is>
      </c>
      <c r="ID1" s="16" t="inlineStr">
        <is>
          <t>Trial 237</t>
        </is>
      </c>
      <c r="IE1" s="16" t="inlineStr">
        <is>
          <t>Trial 238</t>
        </is>
      </c>
      <c r="IF1" s="16" t="inlineStr">
        <is>
          <t>Trial 239</t>
        </is>
      </c>
      <c r="IG1" s="16" t="inlineStr">
        <is>
          <t>Trial 240</t>
        </is>
      </c>
      <c r="IH1" s="16" t="inlineStr">
        <is>
          <t>Trial 241</t>
        </is>
      </c>
      <c r="II1" s="16" t="inlineStr">
        <is>
          <t>Trial 242</t>
        </is>
      </c>
      <c r="IJ1" s="16" t="inlineStr">
        <is>
          <t>Trial 243</t>
        </is>
      </c>
      <c r="IK1" s="16" t="inlineStr">
        <is>
          <t>Trial 244</t>
        </is>
      </c>
      <c r="IL1" s="16" t="inlineStr">
        <is>
          <t>Trial 245</t>
        </is>
      </c>
      <c r="IM1" s="16" t="inlineStr">
        <is>
          <t>Trial 246</t>
        </is>
      </c>
      <c r="IN1" s="16" t="inlineStr">
        <is>
          <t>Trial 247</t>
        </is>
      </c>
      <c r="IO1" s="16" t="inlineStr">
        <is>
          <t>Trial 248</t>
        </is>
      </c>
      <c r="IP1" s="16" t="inlineStr">
        <is>
          <t>Trial 249</t>
        </is>
      </c>
      <c r="IQ1" s="16" t="inlineStr">
        <is>
          <t>Trial 250</t>
        </is>
      </c>
      <c r="IR1" s="16" t="inlineStr">
        <is>
          <t>Trial 251</t>
        </is>
      </c>
      <c r="IS1" s="16" t="inlineStr">
        <is>
          <t>Trial 252</t>
        </is>
      </c>
      <c r="IT1" s="16" t="inlineStr">
        <is>
          <t>Trial 253</t>
        </is>
      </c>
      <c r="IU1" s="16" t="inlineStr">
        <is>
          <t>Trial 254</t>
        </is>
      </c>
      <c r="IV1" s="16" t="inlineStr">
        <is>
          <t>Trial 255</t>
        </is>
      </c>
      <c r="IW1" s="16" t="inlineStr">
        <is>
          <t>Trial 256</t>
        </is>
      </c>
      <c r="IX1" s="16" t="inlineStr">
        <is>
          <t>Trial 257</t>
        </is>
      </c>
      <c r="IY1" s="16" t="inlineStr">
        <is>
          <t>Trial 258</t>
        </is>
      </c>
      <c r="IZ1" s="16" t="inlineStr">
        <is>
          <t>Trial 259</t>
        </is>
      </c>
      <c r="JA1" s="16" t="inlineStr">
        <is>
          <t>Trial 260</t>
        </is>
      </c>
      <c r="JB1" s="16" t="inlineStr">
        <is>
          <t>Trial 261</t>
        </is>
      </c>
      <c r="JC1" s="16" t="inlineStr">
        <is>
          <t>Trial 262</t>
        </is>
      </c>
      <c r="JD1" s="16" t="inlineStr">
        <is>
          <t>Trial 263</t>
        </is>
      </c>
      <c r="JE1" s="16" t="inlineStr">
        <is>
          <t>Trial 264</t>
        </is>
      </c>
      <c r="JF1" s="16" t="inlineStr">
        <is>
          <t>Trial 265</t>
        </is>
      </c>
      <c r="JG1" s="16" t="inlineStr">
        <is>
          <t>Trial 266</t>
        </is>
      </c>
      <c r="JH1" s="16" t="inlineStr">
        <is>
          <t>Trial 267</t>
        </is>
      </c>
      <c r="JI1" s="16" t="inlineStr">
        <is>
          <t>Trial 268</t>
        </is>
      </c>
      <c r="JJ1" s="16" t="inlineStr">
        <is>
          <t>Trial 269</t>
        </is>
      </c>
      <c r="JK1" s="16" t="inlineStr">
        <is>
          <t>Trial 270</t>
        </is>
      </c>
      <c r="JL1" s="16" t="inlineStr">
        <is>
          <t>Trial 271</t>
        </is>
      </c>
      <c r="JM1" s="16" t="inlineStr">
        <is>
          <t>Trial 272</t>
        </is>
      </c>
      <c r="JN1" s="16" t="inlineStr">
        <is>
          <t>Trial 273</t>
        </is>
      </c>
      <c r="JO1" s="16" t="inlineStr">
        <is>
          <t>Trial 274</t>
        </is>
      </c>
      <c r="JP1" s="16" t="inlineStr">
        <is>
          <t>Trial 275</t>
        </is>
      </c>
      <c r="JQ1" s="16" t="inlineStr">
        <is>
          <t>Trial 276</t>
        </is>
      </c>
      <c r="JR1" s="16" t="inlineStr">
        <is>
          <t>Trial 277</t>
        </is>
      </c>
      <c r="JS1" s="16" t="inlineStr">
        <is>
          <t>Trial 278</t>
        </is>
      </c>
      <c r="JT1" s="16" t="inlineStr">
        <is>
          <t>Trial 279</t>
        </is>
      </c>
      <c r="JU1" s="16" t="inlineStr">
        <is>
          <t>Trial 280</t>
        </is>
      </c>
      <c r="JV1" s="16" t="inlineStr">
        <is>
          <t>Trial 281</t>
        </is>
      </c>
      <c r="JW1" s="16" t="inlineStr">
        <is>
          <t>Trial 282</t>
        </is>
      </c>
      <c r="JX1" s="16" t="inlineStr">
        <is>
          <t>Trial 283</t>
        </is>
      </c>
      <c r="JY1" s="16" t="inlineStr">
        <is>
          <t>Trial 284</t>
        </is>
      </c>
      <c r="JZ1" s="16" t="inlineStr">
        <is>
          <t>Trial 285</t>
        </is>
      </c>
      <c r="KA1" s="16" t="inlineStr">
        <is>
          <t>Trial 286</t>
        </is>
      </c>
      <c r="KB1" s="16" t="inlineStr">
        <is>
          <t>Trial 287</t>
        </is>
      </c>
      <c r="KC1" s="16" t="inlineStr">
        <is>
          <t>Trial 288</t>
        </is>
      </c>
      <c r="KD1" s="16" t="inlineStr">
        <is>
          <t>Trial 289</t>
        </is>
      </c>
      <c r="KE1" s="16" t="inlineStr">
        <is>
          <t>Trial 290</t>
        </is>
      </c>
      <c r="KF1" s="16" t="inlineStr">
        <is>
          <t>Trial 291</t>
        </is>
      </c>
      <c r="KG1" s="16" t="inlineStr">
        <is>
          <t>Trial 292</t>
        </is>
      </c>
      <c r="KH1" s="16" t="inlineStr">
        <is>
          <t>Trial 293</t>
        </is>
      </c>
      <c r="KI1" s="16" t="inlineStr">
        <is>
          <t>Trial 294</t>
        </is>
      </c>
      <c r="KJ1" s="16" t="inlineStr">
        <is>
          <t>Trial 295</t>
        </is>
      </c>
      <c r="KK1" s="16" t="inlineStr">
        <is>
          <t>Trial 296</t>
        </is>
      </c>
      <c r="KL1" s="16" t="inlineStr">
        <is>
          <t>Trial 297</t>
        </is>
      </c>
      <c r="KM1" s="16" t="inlineStr">
        <is>
          <t>Trial 298</t>
        </is>
      </c>
      <c r="KN1" s="16" t="inlineStr">
        <is>
          <t>Trial 299</t>
        </is>
      </c>
      <c r="KO1" s="16" t="inlineStr">
        <is>
          <t>Trial 300</t>
        </is>
      </c>
      <c r="KP1" s="16" t="inlineStr">
        <is>
          <t>Trial 301</t>
        </is>
      </c>
      <c r="KQ1" s="16" t="inlineStr">
        <is>
          <t>Trial 302</t>
        </is>
      </c>
      <c r="KR1" s="16" t="inlineStr">
        <is>
          <t>Trial 303</t>
        </is>
      </c>
      <c r="KS1" s="16" t="inlineStr">
        <is>
          <t>Trial 304</t>
        </is>
      </c>
      <c r="KT1" s="16" t="inlineStr">
        <is>
          <t>Trial 305</t>
        </is>
      </c>
      <c r="KU1" s="16" t="inlineStr">
        <is>
          <t>Trial 306</t>
        </is>
      </c>
      <c r="KV1" s="16" t="inlineStr">
        <is>
          <t>Trial 307</t>
        </is>
      </c>
      <c r="KW1" s="16" t="inlineStr">
        <is>
          <t>Trial 308</t>
        </is>
      </c>
      <c r="KX1" s="16" t="inlineStr">
        <is>
          <t>Trial 309</t>
        </is>
      </c>
      <c r="KY1" s="16" t="inlineStr">
        <is>
          <t>Trial 310</t>
        </is>
      </c>
      <c r="KZ1" s="16" t="inlineStr">
        <is>
          <t>Trial 311</t>
        </is>
      </c>
      <c r="LA1" s="16" t="inlineStr">
        <is>
          <t>Trial 312</t>
        </is>
      </c>
      <c r="LB1" s="16" t="inlineStr">
        <is>
          <t>Trial 313</t>
        </is>
      </c>
      <c r="LC1" s="16" t="inlineStr">
        <is>
          <t>Trial 314</t>
        </is>
      </c>
      <c r="LD1" s="16" t="inlineStr">
        <is>
          <t>Trial 315</t>
        </is>
      </c>
      <c r="LE1" s="16" t="inlineStr">
        <is>
          <t>Trial 316</t>
        </is>
      </c>
      <c r="LF1" s="16" t="inlineStr">
        <is>
          <t>Trial 317</t>
        </is>
      </c>
      <c r="LG1" s="16" t="inlineStr">
        <is>
          <t>Trial 318</t>
        </is>
      </c>
      <c r="LH1" s="16" t="inlineStr">
        <is>
          <t>Trial 319</t>
        </is>
      </c>
      <c r="LI1" s="16" t="inlineStr">
        <is>
          <t>Trial 320</t>
        </is>
      </c>
      <c r="LJ1" s="16" t="inlineStr">
        <is>
          <t>Trial 321</t>
        </is>
      </c>
      <c r="LK1" s="16" t="inlineStr">
        <is>
          <t>Trial 322</t>
        </is>
      </c>
      <c r="LL1" s="16" t="inlineStr">
        <is>
          <t>Trial 323</t>
        </is>
      </c>
      <c r="LM1" s="16" t="inlineStr">
        <is>
          <t>Trial 324</t>
        </is>
      </c>
      <c r="LN1" s="16" t="inlineStr">
        <is>
          <t>Trial 325</t>
        </is>
      </c>
      <c r="LO1" s="16" t="inlineStr">
        <is>
          <t>Trial 326</t>
        </is>
      </c>
      <c r="LP1" s="16" t="inlineStr">
        <is>
          <t>Trial 327</t>
        </is>
      </c>
      <c r="LQ1" s="16" t="inlineStr">
        <is>
          <t>Trial 328</t>
        </is>
      </c>
      <c r="LR1" s="16" t="inlineStr">
        <is>
          <t>Trial 329</t>
        </is>
      </c>
      <c r="LS1" s="16" t="inlineStr">
        <is>
          <t>Trial 330</t>
        </is>
      </c>
      <c r="LT1" s="16" t="inlineStr">
        <is>
          <t>Trial 331</t>
        </is>
      </c>
      <c r="LU1" s="16" t="inlineStr">
        <is>
          <t>Trial 332</t>
        </is>
      </c>
      <c r="LV1" s="16" t="inlineStr">
        <is>
          <t>Trial 333</t>
        </is>
      </c>
      <c r="LW1" s="16" t="inlineStr">
        <is>
          <t>Trial 334</t>
        </is>
      </c>
      <c r="LX1" s="16" t="inlineStr">
        <is>
          <t>Trial 335</t>
        </is>
      </c>
      <c r="LY1" s="16" t="inlineStr">
        <is>
          <t>Trial 336</t>
        </is>
      </c>
      <c r="LZ1" s="16" t="inlineStr">
        <is>
          <t>Trial 337</t>
        </is>
      </c>
      <c r="MA1" s="16" t="inlineStr">
        <is>
          <t>Trial 338</t>
        </is>
      </c>
      <c r="MB1" s="16" t="inlineStr">
        <is>
          <t>Trial 339</t>
        </is>
      </c>
      <c r="MC1" s="16" t="inlineStr">
        <is>
          <t>Trial 340</t>
        </is>
      </c>
      <c r="MD1" s="16" t="inlineStr">
        <is>
          <t>Trial 341</t>
        </is>
      </c>
      <c r="ME1" s="16" t="inlineStr">
        <is>
          <t>Trial 342</t>
        </is>
      </c>
      <c r="MF1" s="16" t="inlineStr">
        <is>
          <t>Trial 343</t>
        </is>
      </c>
      <c r="MG1" s="16" t="inlineStr">
        <is>
          <t>Trial 344</t>
        </is>
      </c>
      <c r="MH1" s="16" t="inlineStr">
        <is>
          <t>Trial 345</t>
        </is>
      </c>
      <c r="MI1" s="16" t="inlineStr">
        <is>
          <t>Trial 346</t>
        </is>
      </c>
      <c r="MJ1" s="16" t="inlineStr">
        <is>
          <t>Trial 347</t>
        </is>
      </c>
      <c r="MK1" s="16" t="inlineStr">
        <is>
          <t>Trial 348</t>
        </is>
      </c>
      <c r="ML1" s="16" t="inlineStr">
        <is>
          <t>Trial 349</t>
        </is>
      </c>
      <c r="MM1" s="16" t="inlineStr">
        <is>
          <t>Trial 350</t>
        </is>
      </c>
      <c r="MN1" s="16" t="inlineStr">
        <is>
          <t>Trial 351</t>
        </is>
      </c>
      <c r="MO1" s="16" t="inlineStr">
        <is>
          <t>Trial 352</t>
        </is>
      </c>
      <c r="MP1" s="16" t="inlineStr">
        <is>
          <t>Trial 353</t>
        </is>
      </c>
      <c r="MQ1" s="16" t="inlineStr">
        <is>
          <t>Trial 354</t>
        </is>
      </c>
      <c r="MR1" s="16" t="inlineStr">
        <is>
          <t>Trial 355</t>
        </is>
      </c>
      <c r="MS1" s="16" t="inlineStr">
        <is>
          <t>Trial 356</t>
        </is>
      </c>
      <c r="MT1" s="16" t="inlineStr">
        <is>
          <t>Trial 357</t>
        </is>
      </c>
      <c r="MU1" s="16" t="inlineStr">
        <is>
          <t>Trial 358</t>
        </is>
      </c>
      <c r="MV1" s="16" t="inlineStr">
        <is>
          <t>Trial 359</t>
        </is>
      </c>
      <c r="MW1" s="16" t="inlineStr">
        <is>
          <t>Trial 360</t>
        </is>
      </c>
      <c r="MX1" s="16" t="inlineStr">
        <is>
          <t>Trial 361</t>
        </is>
      </c>
      <c r="MY1" s="16" t="inlineStr">
        <is>
          <t>Trial 362</t>
        </is>
      </c>
      <c r="MZ1" s="16" t="inlineStr">
        <is>
          <t>Trial 363</t>
        </is>
      </c>
      <c r="NA1" s="16" t="inlineStr">
        <is>
          <t>Trial 364</t>
        </is>
      </c>
      <c r="NB1" s="16" t="inlineStr">
        <is>
          <t>Trial 365</t>
        </is>
      </c>
      <c r="NC1" s="16" t="inlineStr">
        <is>
          <t>Trial 366</t>
        </is>
      </c>
      <c r="ND1" s="16" t="inlineStr">
        <is>
          <t>Trial 367</t>
        </is>
      </c>
      <c r="NE1" s="16" t="inlineStr">
        <is>
          <t>Trial 368</t>
        </is>
      </c>
      <c r="NF1" s="16" t="inlineStr">
        <is>
          <t>Trial 369</t>
        </is>
      </c>
      <c r="NG1" s="16" t="inlineStr">
        <is>
          <t>Trial 370</t>
        </is>
      </c>
      <c r="NH1" s="16" t="inlineStr">
        <is>
          <t>Trial 371</t>
        </is>
      </c>
      <c r="NI1" s="16" t="inlineStr">
        <is>
          <t>Trial 372</t>
        </is>
      </c>
      <c r="NJ1" s="16" t="inlineStr">
        <is>
          <t>Trial 373</t>
        </is>
      </c>
      <c r="NK1" s="16" t="inlineStr">
        <is>
          <t>Trial 374</t>
        </is>
      </c>
      <c r="NL1" s="16" t="inlineStr">
        <is>
          <t>Trial 375</t>
        </is>
      </c>
      <c r="NM1" s="16" t="inlineStr">
        <is>
          <t>Trial 376</t>
        </is>
      </c>
      <c r="NN1" s="16" t="inlineStr">
        <is>
          <t>Trial 377</t>
        </is>
      </c>
      <c r="NO1" s="16" t="inlineStr">
        <is>
          <t>Trial 378</t>
        </is>
      </c>
      <c r="NP1" s="16" t="inlineStr">
        <is>
          <t>Trial 379</t>
        </is>
      </c>
      <c r="NQ1" s="16" t="inlineStr">
        <is>
          <t>Trial 380</t>
        </is>
      </c>
      <c r="NR1" s="16" t="inlineStr">
        <is>
          <t>Trial 381</t>
        </is>
      </c>
      <c r="NS1" s="16" t="inlineStr">
        <is>
          <t>Trial 382</t>
        </is>
      </c>
      <c r="NT1" s="16" t="inlineStr">
        <is>
          <t>Trial 383</t>
        </is>
      </c>
      <c r="NU1" s="16" t="inlineStr">
        <is>
          <t>Trial 384</t>
        </is>
      </c>
      <c r="NV1" s="16" t="inlineStr">
        <is>
          <t>Trial 385</t>
        </is>
      </c>
      <c r="NW1" s="16" t="inlineStr">
        <is>
          <t>Trial 386</t>
        </is>
      </c>
      <c r="NX1" s="16" t="inlineStr">
        <is>
          <t>Trial 387</t>
        </is>
      </c>
      <c r="NY1" s="16" t="inlineStr">
        <is>
          <t>Trial 388</t>
        </is>
      </c>
      <c r="NZ1" s="16" t="inlineStr">
        <is>
          <t>Trial 389</t>
        </is>
      </c>
      <c r="OA1" s="16" t="inlineStr">
        <is>
          <t>Trial 390</t>
        </is>
      </c>
      <c r="OB1" s="16" t="inlineStr">
        <is>
          <t>Trial 391</t>
        </is>
      </c>
      <c r="OC1" s="16" t="inlineStr">
        <is>
          <t>Trial 392</t>
        </is>
      </c>
      <c r="OD1" s="16" t="inlineStr">
        <is>
          <t>Trial 393</t>
        </is>
      </c>
      <c r="OE1" s="16" t="inlineStr">
        <is>
          <t>Trial 394</t>
        </is>
      </c>
      <c r="OF1" s="16" t="inlineStr">
        <is>
          <t>Trial 395</t>
        </is>
      </c>
      <c r="OG1" s="16" t="inlineStr">
        <is>
          <t>Trial 396</t>
        </is>
      </c>
      <c r="OH1" s="16" t="inlineStr">
        <is>
          <t>Trial 397</t>
        </is>
      </c>
      <c r="OI1" s="16" t="inlineStr">
        <is>
          <t>Trial 398</t>
        </is>
      </c>
      <c r="OJ1" s="16" t="inlineStr">
        <is>
          <t>Trial 399</t>
        </is>
      </c>
      <c r="OK1" s="16" t="inlineStr">
        <is>
          <t>Trial 400</t>
        </is>
      </c>
      <c r="OL1" s="16" t="inlineStr">
        <is>
          <t>Trial 401</t>
        </is>
      </c>
      <c r="OM1" s="16" t="inlineStr">
        <is>
          <t>Trial 402</t>
        </is>
      </c>
      <c r="ON1" s="16" t="inlineStr">
        <is>
          <t>Trial 403</t>
        </is>
      </c>
      <c r="OO1" s="16" t="inlineStr">
        <is>
          <t>Trial 404</t>
        </is>
      </c>
      <c r="OP1" s="16" t="inlineStr">
        <is>
          <t>Trial 405</t>
        </is>
      </c>
      <c r="OQ1" s="16" t="inlineStr">
        <is>
          <t>Trial 406</t>
        </is>
      </c>
      <c r="OR1" s="16" t="inlineStr">
        <is>
          <t>Trial 407</t>
        </is>
      </c>
      <c r="OS1" s="16" t="inlineStr">
        <is>
          <t>Trial 408</t>
        </is>
      </c>
      <c r="OT1" s="16" t="inlineStr">
        <is>
          <t>Trial 409</t>
        </is>
      </c>
      <c r="OU1" s="16" t="inlineStr">
        <is>
          <t>Trial 410</t>
        </is>
      </c>
      <c r="OV1" s="16" t="inlineStr">
        <is>
          <t>Trial 411</t>
        </is>
      </c>
      <c r="OW1" s="16" t="inlineStr">
        <is>
          <t>Trial 412</t>
        </is>
      </c>
      <c r="OX1" s="16" t="inlineStr">
        <is>
          <t>Trial 413</t>
        </is>
      </c>
      <c r="OY1" s="16" t="inlineStr">
        <is>
          <t>Trial 414</t>
        </is>
      </c>
      <c r="OZ1" s="16" t="inlineStr">
        <is>
          <t>Trial 415</t>
        </is>
      </c>
      <c r="PA1" s="16" t="inlineStr">
        <is>
          <t>Trial 416</t>
        </is>
      </c>
      <c r="PB1" s="16" t="inlineStr">
        <is>
          <t>Trial 417</t>
        </is>
      </c>
      <c r="PC1" s="16" t="inlineStr">
        <is>
          <t>Trial 418</t>
        </is>
      </c>
      <c r="PD1" s="16" t="inlineStr">
        <is>
          <t>Trial 419</t>
        </is>
      </c>
      <c r="PE1" s="16" t="inlineStr">
        <is>
          <t>Trial 420</t>
        </is>
      </c>
      <c r="PF1" s="16" t="inlineStr">
        <is>
          <t>Trial 421</t>
        </is>
      </c>
      <c r="PG1" s="16" t="inlineStr">
        <is>
          <t>Trial 422</t>
        </is>
      </c>
      <c r="PH1" s="16" t="inlineStr">
        <is>
          <t>Trial 423</t>
        </is>
      </c>
      <c r="PI1" s="16" t="inlineStr">
        <is>
          <t>Trial 424</t>
        </is>
      </c>
      <c r="PJ1" s="16" t="inlineStr">
        <is>
          <t>Trial 425</t>
        </is>
      </c>
      <c r="PK1" s="16" t="inlineStr">
        <is>
          <t>Trial 426</t>
        </is>
      </c>
      <c r="PL1" s="16" t="inlineStr">
        <is>
          <t>Trial 427</t>
        </is>
      </c>
      <c r="PM1" s="16" t="inlineStr">
        <is>
          <t>Trial 428</t>
        </is>
      </c>
      <c r="PN1" s="16" t="inlineStr">
        <is>
          <t>Trial 429</t>
        </is>
      </c>
      <c r="PO1" s="16" t="inlineStr">
        <is>
          <t>Trial 430</t>
        </is>
      </c>
      <c r="PP1" s="16" t="inlineStr">
        <is>
          <t>Trial 431</t>
        </is>
      </c>
      <c r="PQ1" s="16" t="inlineStr">
        <is>
          <t>Trial 432</t>
        </is>
      </c>
      <c r="PR1" s="16" t="inlineStr">
        <is>
          <t>Trial 433</t>
        </is>
      </c>
      <c r="PS1" s="16" t="inlineStr">
        <is>
          <t>Trial 434</t>
        </is>
      </c>
      <c r="PT1" s="16" t="inlineStr">
        <is>
          <t>Trial 435</t>
        </is>
      </c>
      <c r="PU1" s="16" t="inlineStr">
        <is>
          <t>Trial 436</t>
        </is>
      </c>
      <c r="PV1" s="16" t="inlineStr">
        <is>
          <t>Trial 437</t>
        </is>
      </c>
      <c r="PW1" s="16" t="inlineStr">
        <is>
          <t>Trial 438</t>
        </is>
      </c>
      <c r="PX1" s="16" t="inlineStr">
        <is>
          <t>Trial 439</t>
        </is>
      </c>
      <c r="PY1" s="16" t="inlineStr">
        <is>
          <t>Trial 440</t>
        </is>
      </c>
      <c r="PZ1" s="16" t="inlineStr">
        <is>
          <t>Trial 441</t>
        </is>
      </c>
      <c r="QA1" s="16" t="inlineStr">
        <is>
          <t>Trial 442</t>
        </is>
      </c>
      <c r="QB1" s="16" t="inlineStr">
        <is>
          <t>Trial 443</t>
        </is>
      </c>
      <c r="QC1" s="16" t="inlineStr">
        <is>
          <t>Trial 444</t>
        </is>
      </c>
      <c r="QD1" s="16" t="inlineStr">
        <is>
          <t>Trial 445</t>
        </is>
      </c>
      <c r="QE1" s="16" t="inlineStr">
        <is>
          <t>Trial 446</t>
        </is>
      </c>
      <c r="QF1" s="16" t="inlineStr">
        <is>
          <t>Trial 447</t>
        </is>
      </c>
      <c r="QG1" s="16" t="inlineStr">
        <is>
          <t>Trial 448</t>
        </is>
      </c>
      <c r="QH1" s="16" t="inlineStr">
        <is>
          <t>Trial 449</t>
        </is>
      </c>
      <c r="QI1" s="16" t="inlineStr">
        <is>
          <t>Trial 450</t>
        </is>
      </c>
      <c r="QJ1" s="16" t="inlineStr">
        <is>
          <t>Trial 451</t>
        </is>
      </c>
      <c r="QK1" s="16" t="inlineStr">
        <is>
          <t>Trial 452</t>
        </is>
      </c>
      <c r="QL1" s="16" t="inlineStr">
        <is>
          <t>Trial 453</t>
        </is>
      </c>
      <c r="QM1" s="16" t="inlineStr">
        <is>
          <t>Trial 454</t>
        </is>
      </c>
      <c r="QN1" s="16" t="inlineStr">
        <is>
          <t>Trial 455</t>
        </is>
      </c>
      <c r="QO1" s="16" t="inlineStr">
        <is>
          <t>Trial 456</t>
        </is>
      </c>
      <c r="QP1" s="16" t="inlineStr">
        <is>
          <t>Trial 457</t>
        </is>
      </c>
      <c r="QQ1" s="16" t="inlineStr">
        <is>
          <t>Trial 458</t>
        </is>
      </c>
      <c r="QR1" s="16" t="inlineStr">
        <is>
          <t>Trial 459</t>
        </is>
      </c>
      <c r="QS1" s="16" t="inlineStr">
        <is>
          <t>Trial 460</t>
        </is>
      </c>
      <c r="QT1" s="16" t="inlineStr">
        <is>
          <t>Trial 461</t>
        </is>
      </c>
      <c r="QU1" s="16" t="inlineStr">
        <is>
          <t>Trial 462</t>
        </is>
      </c>
      <c r="QV1" s="16" t="inlineStr">
        <is>
          <t>Trial 463</t>
        </is>
      </c>
      <c r="QW1" s="16" t="inlineStr">
        <is>
          <t>Trial 464</t>
        </is>
      </c>
      <c r="QX1" s="16" t="inlineStr">
        <is>
          <t>Trial 465</t>
        </is>
      </c>
      <c r="QY1" s="16" t="inlineStr">
        <is>
          <t>Trial 466</t>
        </is>
      </c>
      <c r="QZ1" s="16" t="inlineStr">
        <is>
          <t>Trial 467</t>
        </is>
      </c>
      <c r="RA1" s="16" t="inlineStr">
        <is>
          <t>Trial 468</t>
        </is>
      </c>
      <c r="RB1" s="16" t="inlineStr">
        <is>
          <t>Trial 469</t>
        </is>
      </c>
      <c r="RC1" s="16" t="inlineStr">
        <is>
          <t>Trial 470</t>
        </is>
      </c>
      <c r="RD1" s="16" t="inlineStr">
        <is>
          <t>Trial 471</t>
        </is>
      </c>
      <c r="RE1" s="16" t="inlineStr">
        <is>
          <t>Trial 472</t>
        </is>
      </c>
      <c r="RF1" s="16" t="inlineStr">
        <is>
          <t>Trial 473</t>
        </is>
      </c>
      <c r="RG1" s="16" t="inlineStr">
        <is>
          <t>Trial 474</t>
        </is>
      </c>
      <c r="RH1" s="16" t="inlineStr">
        <is>
          <t>Trial 475</t>
        </is>
      </c>
      <c r="RI1" s="16" t="inlineStr">
        <is>
          <t>Trial 476</t>
        </is>
      </c>
      <c r="RJ1" s="16" t="inlineStr">
        <is>
          <t>Trial 477</t>
        </is>
      </c>
      <c r="RK1" s="16" t="inlineStr">
        <is>
          <t>Trial 478</t>
        </is>
      </c>
      <c r="RL1" s="16" t="inlineStr">
        <is>
          <t>Trial 479</t>
        </is>
      </c>
      <c r="RM1" s="16" t="inlineStr">
        <is>
          <t>Trial 480</t>
        </is>
      </c>
      <c r="RN1" s="16" t="inlineStr">
        <is>
          <t>Trial 481</t>
        </is>
      </c>
      <c r="RO1" s="16" t="inlineStr">
        <is>
          <t>Trial 482</t>
        </is>
      </c>
      <c r="RP1" s="16" t="inlineStr">
        <is>
          <t>Trial 483</t>
        </is>
      </c>
      <c r="RQ1" s="16" t="inlineStr">
        <is>
          <t>Trial 484</t>
        </is>
      </c>
      <c r="RR1" s="16" t="inlineStr">
        <is>
          <t>Trial 485</t>
        </is>
      </c>
      <c r="RS1" s="16" t="inlineStr">
        <is>
          <t>Trial 486</t>
        </is>
      </c>
      <c r="RT1" s="16" t="inlineStr">
        <is>
          <t>Trial 487</t>
        </is>
      </c>
      <c r="RU1" s="16" t="inlineStr">
        <is>
          <t>Trial 488</t>
        </is>
      </c>
      <c r="RV1" s="16" t="inlineStr">
        <is>
          <t>Trial 489</t>
        </is>
      </c>
      <c r="RW1" s="16" t="inlineStr">
        <is>
          <t>Trial 490</t>
        </is>
      </c>
      <c r="RX1" s="16" t="inlineStr">
        <is>
          <t>Trial 491</t>
        </is>
      </c>
      <c r="RY1" s="16" t="inlineStr">
        <is>
          <t>Trial 492</t>
        </is>
      </c>
      <c r="RZ1" s="16" t="inlineStr">
        <is>
          <t>Trial 493</t>
        </is>
      </c>
      <c r="SA1" s="16" t="inlineStr">
        <is>
          <t>Trial 494</t>
        </is>
      </c>
      <c r="SB1" s="16" t="inlineStr">
        <is>
          <t>Trial 495</t>
        </is>
      </c>
      <c r="SC1" s="16" t="inlineStr">
        <is>
          <t>Trial 496</t>
        </is>
      </c>
      <c r="SD1" s="16" t="inlineStr">
        <is>
          <t>Trial 497</t>
        </is>
      </c>
      <c r="SE1" s="16" t="inlineStr">
        <is>
          <t>Trial 498</t>
        </is>
      </c>
      <c r="SF1" s="16" t="inlineStr">
        <is>
          <t>Trial 499</t>
        </is>
      </c>
      <c r="SG1" s="16" t="inlineStr">
        <is>
          <t>Trial 500</t>
        </is>
      </c>
    </row>
    <row r="2">
      <c r="A2" s="17" t="inlineStr">
        <is>
          <t>Region: Asia</t>
        </is>
      </c>
      <c r="B2" s="18">
        <f>NORM.S.INV(RAND())</f>
        <v/>
      </c>
      <c r="C2" s="18">
        <f>NORM.S.INV(RAND())</f>
        <v/>
      </c>
      <c r="D2" s="18">
        <f>NORM.S.INV(RAND())</f>
        <v/>
      </c>
      <c r="E2" s="18">
        <f>NORM.S.INV(RAND())</f>
        <v/>
      </c>
      <c r="F2" s="18">
        <f>NORM.S.INV(RAND())</f>
        <v/>
      </c>
      <c r="G2" s="18">
        <f>NORM.S.INV(RAND())</f>
        <v/>
      </c>
      <c r="H2" s="18">
        <f>NORM.S.INV(RAND())</f>
        <v/>
      </c>
      <c r="I2" s="18">
        <f>NORM.S.INV(RAND())</f>
        <v/>
      </c>
      <c r="J2" s="18">
        <f>NORM.S.INV(RAND())</f>
        <v/>
      </c>
      <c r="K2" s="18">
        <f>NORM.S.INV(RAND())</f>
        <v/>
      </c>
      <c r="L2" s="18">
        <f>NORM.S.INV(RAND())</f>
        <v/>
      </c>
      <c r="M2" s="18">
        <f>NORM.S.INV(RAND())</f>
        <v/>
      </c>
      <c r="N2" s="18">
        <f>NORM.S.INV(RAND())</f>
        <v/>
      </c>
      <c r="O2" s="18">
        <f>NORM.S.INV(RAND())</f>
        <v/>
      </c>
      <c r="P2" s="18">
        <f>NORM.S.INV(RAND())</f>
        <v/>
      </c>
      <c r="Q2" s="18">
        <f>NORM.S.INV(RAND())</f>
        <v/>
      </c>
      <c r="R2" s="18">
        <f>NORM.S.INV(RAND())</f>
        <v/>
      </c>
      <c r="S2" s="18">
        <f>NORM.S.INV(RAND())</f>
        <v/>
      </c>
      <c r="T2" s="18">
        <f>NORM.S.INV(RAND())</f>
        <v/>
      </c>
      <c r="U2" s="18">
        <f>NORM.S.INV(RAND())</f>
        <v/>
      </c>
      <c r="V2" s="18">
        <f>NORM.S.INV(RAND())</f>
        <v/>
      </c>
      <c r="W2" s="18">
        <f>NORM.S.INV(RAND())</f>
        <v/>
      </c>
      <c r="X2" s="18">
        <f>NORM.S.INV(RAND())</f>
        <v/>
      </c>
      <c r="Y2" s="18">
        <f>NORM.S.INV(RAND())</f>
        <v/>
      </c>
      <c r="Z2" s="18">
        <f>NORM.S.INV(RAND())</f>
        <v/>
      </c>
      <c r="AA2" s="18">
        <f>NORM.S.INV(RAND())</f>
        <v/>
      </c>
      <c r="AB2" s="18">
        <f>NORM.S.INV(RAND())</f>
        <v/>
      </c>
      <c r="AC2" s="18">
        <f>NORM.S.INV(RAND())</f>
        <v/>
      </c>
      <c r="AD2" s="18">
        <f>NORM.S.INV(RAND())</f>
        <v/>
      </c>
      <c r="AE2" s="18">
        <f>NORM.S.INV(RAND())</f>
        <v/>
      </c>
      <c r="AF2" s="18">
        <f>NORM.S.INV(RAND())</f>
        <v/>
      </c>
      <c r="AG2" s="18">
        <f>NORM.S.INV(RAND())</f>
        <v/>
      </c>
      <c r="AH2" s="18">
        <f>NORM.S.INV(RAND())</f>
        <v/>
      </c>
      <c r="AI2" s="18">
        <f>NORM.S.INV(RAND())</f>
        <v/>
      </c>
      <c r="AJ2" s="18">
        <f>NORM.S.INV(RAND())</f>
        <v/>
      </c>
      <c r="AK2" s="18">
        <f>NORM.S.INV(RAND())</f>
        <v/>
      </c>
      <c r="AL2" s="18">
        <f>NORM.S.INV(RAND())</f>
        <v/>
      </c>
      <c r="AM2" s="18">
        <f>NORM.S.INV(RAND())</f>
        <v/>
      </c>
      <c r="AN2" s="18">
        <f>NORM.S.INV(RAND())</f>
        <v/>
      </c>
      <c r="AO2" s="18">
        <f>NORM.S.INV(RAND())</f>
        <v/>
      </c>
      <c r="AP2" s="18">
        <f>NORM.S.INV(RAND())</f>
        <v/>
      </c>
      <c r="AQ2" s="18">
        <f>NORM.S.INV(RAND())</f>
        <v/>
      </c>
      <c r="AR2" s="18">
        <f>NORM.S.INV(RAND())</f>
        <v/>
      </c>
      <c r="AS2" s="18">
        <f>NORM.S.INV(RAND())</f>
        <v/>
      </c>
      <c r="AT2" s="18">
        <f>NORM.S.INV(RAND())</f>
        <v/>
      </c>
      <c r="AU2" s="18">
        <f>NORM.S.INV(RAND())</f>
        <v/>
      </c>
      <c r="AV2" s="18">
        <f>NORM.S.INV(RAND())</f>
        <v/>
      </c>
      <c r="AW2" s="18">
        <f>NORM.S.INV(RAND())</f>
        <v/>
      </c>
      <c r="AX2" s="18">
        <f>NORM.S.INV(RAND())</f>
        <v/>
      </c>
      <c r="AY2" s="18">
        <f>NORM.S.INV(RAND())</f>
        <v/>
      </c>
      <c r="AZ2" s="18">
        <f>NORM.S.INV(RAND())</f>
        <v/>
      </c>
      <c r="BA2" s="18">
        <f>NORM.S.INV(RAND())</f>
        <v/>
      </c>
      <c r="BB2" s="18">
        <f>NORM.S.INV(RAND())</f>
        <v/>
      </c>
      <c r="BC2" s="18">
        <f>NORM.S.INV(RAND())</f>
        <v/>
      </c>
      <c r="BD2" s="18">
        <f>NORM.S.INV(RAND())</f>
        <v/>
      </c>
      <c r="BE2" s="18">
        <f>NORM.S.INV(RAND())</f>
        <v/>
      </c>
      <c r="BF2" s="18">
        <f>NORM.S.INV(RAND())</f>
        <v/>
      </c>
      <c r="BG2" s="18">
        <f>NORM.S.INV(RAND())</f>
        <v/>
      </c>
      <c r="BH2" s="18">
        <f>NORM.S.INV(RAND())</f>
        <v/>
      </c>
      <c r="BI2" s="18">
        <f>NORM.S.INV(RAND())</f>
        <v/>
      </c>
      <c r="BJ2" s="18">
        <f>NORM.S.INV(RAND())</f>
        <v/>
      </c>
      <c r="BK2" s="18">
        <f>NORM.S.INV(RAND())</f>
        <v/>
      </c>
      <c r="BL2" s="18">
        <f>NORM.S.INV(RAND())</f>
        <v/>
      </c>
      <c r="BM2" s="18">
        <f>NORM.S.INV(RAND())</f>
        <v/>
      </c>
      <c r="BN2" s="18">
        <f>NORM.S.INV(RAND())</f>
        <v/>
      </c>
      <c r="BO2" s="18">
        <f>NORM.S.INV(RAND())</f>
        <v/>
      </c>
      <c r="BP2" s="18">
        <f>NORM.S.INV(RAND())</f>
        <v/>
      </c>
      <c r="BQ2" s="18">
        <f>NORM.S.INV(RAND())</f>
        <v/>
      </c>
      <c r="BR2" s="18">
        <f>NORM.S.INV(RAND())</f>
        <v/>
      </c>
      <c r="BS2" s="18">
        <f>NORM.S.INV(RAND())</f>
        <v/>
      </c>
      <c r="BT2" s="18">
        <f>NORM.S.INV(RAND())</f>
        <v/>
      </c>
      <c r="BU2" s="18">
        <f>NORM.S.INV(RAND())</f>
        <v/>
      </c>
      <c r="BV2" s="18">
        <f>NORM.S.INV(RAND())</f>
        <v/>
      </c>
      <c r="BW2" s="18">
        <f>NORM.S.INV(RAND())</f>
        <v/>
      </c>
      <c r="BX2" s="18">
        <f>NORM.S.INV(RAND())</f>
        <v/>
      </c>
      <c r="BY2" s="18">
        <f>NORM.S.INV(RAND())</f>
        <v/>
      </c>
      <c r="BZ2" s="18">
        <f>NORM.S.INV(RAND())</f>
        <v/>
      </c>
      <c r="CA2" s="18">
        <f>NORM.S.INV(RAND())</f>
        <v/>
      </c>
      <c r="CB2" s="18">
        <f>NORM.S.INV(RAND())</f>
        <v/>
      </c>
      <c r="CC2" s="18">
        <f>NORM.S.INV(RAND())</f>
        <v/>
      </c>
      <c r="CD2" s="18">
        <f>NORM.S.INV(RAND())</f>
        <v/>
      </c>
      <c r="CE2" s="18">
        <f>NORM.S.INV(RAND())</f>
        <v/>
      </c>
      <c r="CF2" s="18">
        <f>NORM.S.INV(RAND())</f>
        <v/>
      </c>
      <c r="CG2" s="18">
        <f>NORM.S.INV(RAND())</f>
        <v/>
      </c>
      <c r="CH2" s="18">
        <f>NORM.S.INV(RAND())</f>
        <v/>
      </c>
      <c r="CI2" s="18">
        <f>NORM.S.INV(RAND())</f>
        <v/>
      </c>
      <c r="CJ2" s="18">
        <f>NORM.S.INV(RAND())</f>
        <v/>
      </c>
      <c r="CK2" s="18">
        <f>NORM.S.INV(RAND())</f>
        <v/>
      </c>
      <c r="CL2" s="18">
        <f>NORM.S.INV(RAND())</f>
        <v/>
      </c>
      <c r="CM2" s="18">
        <f>NORM.S.INV(RAND())</f>
        <v/>
      </c>
      <c r="CN2" s="18">
        <f>NORM.S.INV(RAND())</f>
        <v/>
      </c>
      <c r="CO2" s="18">
        <f>NORM.S.INV(RAND())</f>
        <v/>
      </c>
      <c r="CP2" s="18">
        <f>NORM.S.INV(RAND())</f>
        <v/>
      </c>
      <c r="CQ2" s="18">
        <f>NORM.S.INV(RAND())</f>
        <v/>
      </c>
      <c r="CR2" s="18">
        <f>NORM.S.INV(RAND())</f>
        <v/>
      </c>
      <c r="CS2" s="18">
        <f>NORM.S.INV(RAND())</f>
        <v/>
      </c>
      <c r="CT2" s="18">
        <f>NORM.S.INV(RAND())</f>
        <v/>
      </c>
      <c r="CU2" s="18">
        <f>NORM.S.INV(RAND())</f>
        <v/>
      </c>
      <c r="CV2" s="18">
        <f>NORM.S.INV(RAND())</f>
        <v/>
      </c>
      <c r="CW2" s="18">
        <f>NORM.S.INV(RAND())</f>
        <v/>
      </c>
      <c r="CX2" s="18">
        <f>NORM.S.INV(RAND())</f>
        <v/>
      </c>
      <c r="CY2" s="18">
        <f>NORM.S.INV(RAND())</f>
        <v/>
      </c>
      <c r="CZ2" s="18">
        <f>NORM.S.INV(RAND())</f>
        <v/>
      </c>
      <c r="DA2" s="18">
        <f>NORM.S.INV(RAND())</f>
        <v/>
      </c>
      <c r="DB2" s="18">
        <f>NORM.S.INV(RAND())</f>
        <v/>
      </c>
      <c r="DC2" s="18">
        <f>NORM.S.INV(RAND())</f>
        <v/>
      </c>
      <c r="DD2" s="18">
        <f>NORM.S.INV(RAND())</f>
        <v/>
      </c>
      <c r="DE2" s="18">
        <f>NORM.S.INV(RAND())</f>
        <v/>
      </c>
      <c r="DF2" s="18">
        <f>NORM.S.INV(RAND())</f>
        <v/>
      </c>
      <c r="DG2" s="18">
        <f>NORM.S.INV(RAND())</f>
        <v/>
      </c>
      <c r="DH2" s="18">
        <f>NORM.S.INV(RAND())</f>
        <v/>
      </c>
      <c r="DI2" s="18">
        <f>NORM.S.INV(RAND())</f>
        <v/>
      </c>
      <c r="DJ2" s="18">
        <f>NORM.S.INV(RAND())</f>
        <v/>
      </c>
      <c r="DK2" s="18">
        <f>NORM.S.INV(RAND())</f>
        <v/>
      </c>
      <c r="DL2" s="18">
        <f>NORM.S.INV(RAND())</f>
        <v/>
      </c>
      <c r="DM2" s="18">
        <f>NORM.S.INV(RAND())</f>
        <v/>
      </c>
      <c r="DN2" s="18">
        <f>NORM.S.INV(RAND())</f>
        <v/>
      </c>
      <c r="DO2" s="18">
        <f>NORM.S.INV(RAND())</f>
        <v/>
      </c>
      <c r="DP2" s="18">
        <f>NORM.S.INV(RAND())</f>
        <v/>
      </c>
      <c r="DQ2" s="18">
        <f>NORM.S.INV(RAND())</f>
        <v/>
      </c>
      <c r="DR2" s="18">
        <f>NORM.S.INV(RAND())</f>
        <v/>
      </c>
      <c r="DS2" s="18">
        <f>NORM.S.INV(RAND())</f>
        <v/>
      </c>
      <c r="DT2" s="18">
        <f>NORM.S.INV(RAND())</f>
        <v/>
      </c>
      <c r="DU2" s="18">
        <f>NORM.S.INV(RAND())</f>
        <v/>
      </c>
      <c r="DV2" s="18">
        <f>NORM.S.INV(RAND())</f>
        <v/>
      </c>
      <c r="DW2" s="18">
        <f>NORM.S.INV(RAND())</f>
        <v/>
      </c>
      <c r="DX2" s="18">
        <f>NORM.S.INV(RAND())</f>
        <v/>
      </c>
      <c r="DY2" s="18">
        <f>NORM.S.INV(RAND())</f>
        <v/>
      </c>
      <c r="DZ2" s="18">
        <f>NORM.S.INV(RAND())</f>
        <v/>
      </c>
      <c r="EA2" s="18">
        <f>NORM.S.INV(RAND())</f>
        <v/>
      </c>
      <c r="EB2" s="18">
        <f>NORM.S.INV(RAND())</f>
        <v/>
      </c>
      <c r="EC2" s="18">
        <f>NORM.S.INV(RAND())</f>
        <v/>
      </c>
      <c r="ED2" s="18">
        <f>NORM.S.INV(RAND())</f>
        <v/>
      </c>
      <c r="EE2" s="18">
        <f>NORM.S.INV(RAND())</f>
        <v/>
      </c>
      <c r="EF2" s="18">
        <f>NORM.S.INV(RAND())</f>
        <v/>
      </c>
      <c r="EG2" s="18">
        <f>NORM.S.INV(RAND())</f>
        <v/>
      </c>
      <c r="EH2" s="18">
        <f>NORM.S.INV(RAND())</f>
        <v/>
      </c>
      <c r="EI2" s="18">
        <f>NORM.S.INV(RAND())</f>
        <v/>
      </c>
      <c r="EJ2" s="18">
        <f>NORM.S.INV(RAND())</f>
        <v/>
      </c>
      <c r="EK2" s="18">
        <f>NORM.S.INV(RAND())</f>
        <v/>
      </c>
      <c r="EL2" s="18">
        <f>NORM.S.INV(RAND())</f>
        <v/>
      </c>
      <c r="EM2" s="18">
        <f>NORM.S.INV(RAND())</f>
        <v/>
      </c>
      <c r="EN2" s="18">
        <f>NORM.S.INV(RAND())</f>
        <v/>
      </c>
      <c r="EO2" s="18">
        <f>NORM.S.INV(RAND())</f>
        <v/>
      </c>
      <c r="EP2" s="18">
        <f>NORM.S.INV(RAND())</f>
        <v/>
      </c>
      <c r="EQ2" s="18">
        <f>NORM.S.INV(RAND())</f>
        <v/>
      </c>
      <c r="ER2" s="18">
        <f>NORM.S.INV(RAND())</f>
        <v/>
      </c>
      <c r="ES2" s="18">
        <f>NORM.S.INV(RAND())</f>
        <v/>
      </c>
      <c r="ET2" s="18">
        <f>NORM.S.INV(RAND())</f>
        <v/>
      </c>
      <c r="EU2" s="18">
        <f>NORM.S.INV(RAND())</f>
        <v/>
      </c>
      <c r="EV2" s="18">
        <f>NORM.S.INV(RAND())</f>
        <v/>
      </c>
      <c r="EW2" s="18">
        <f>NORM.S.INV(RAND())</f>
        <v/>
      </c>
      <c r="EX2" s="18">
        <f>NORM.S.INV(RAND())</f>
        <v/>
      </c>
      <c r="EY2" s="18">
        <f>NORM.S.INV(RAND())</f>
        <v/>
      </c>
      <c r="EZ2" s="18">
        <f>NORM.S.INV(RAND())</f>
        <v/>
      </c>
      <c r="FA2" s="18">
        <f>NORM.S.INV(RAND())</f>
        <v/>
      </c>
      <c r="FB2" s="18">
        <f>NORM.S.INV(RAND())</f>
        <v/>
      </c>
      <c r="FC2" s="18">
        <f>NORM.S.INV(RAND())</f>
        <v/>
      </c>
      <c r="FD2" s="18">
        <f>NORM.S.INV(RAND())</f>
        <v/>
      </c>
      <c r="FE2" s="18">
        <f>NORM.S.INV(RAND())</f>
        <v/>
      </c>
      <c r="FF2" s="18">
        <f>NORM.S.INV(RAND())</f>
        <v/>
      </c>
      <c r="FG2" s="18">
        <f>NORM.S.INV(RAND())</f>
        <v/>
      </c>
      <c r="FH2" s="18">
        <f>NORM.S.INV(RAND())</f>
        <v/>
      </c>
      <c r="FI2" s="18">
        <f>NORM.S.INV(RAND())</f>
        <v/>
      </c>
      <c r="FJ2" s="18">
        <f>NORM.S.INV(RAND())</f>
        <v/>
      </c>
      <c r="FK2" s="18">
        <f>NORM.S.INV(RAND())</f>
        <v/>
      </c>
      <c r="FL2" s="18">
        <f>NORM.S.INV(RAND())</f>
        <v/>
      </c>
      <c r="FM2" s="18">
        <f>NORM.S.INV(RAND())</f>
        <v/>
      </c>
      <c r="FN2" s="18">
        <f>NORM.S.INV(RAND())</f>
        <v/>
      </c>
      <c r="FO2" s="18">
        <f>NORM.S.INV(RAND())</f>
        <v/>
      </c>
      <c r="FP2" s="18">
        <f>NORM.S.INV(RAND())</f>
        <v/>
      </c>
      <c r="FQ2" s="18">
        <f>NORM.S.INV(RAND())</f>
        <v/>
      </c>
      <c r="FR2" s="18">
        <f>NORM.S.INV(RAND())</f>
        <v/>
      </c>
      <c r="FS2" s="18">
        <f>NORM.S.INV(RAND())</f>
        <v/>
      </c>
      <c r="FT2" s="18">
        <f>NORM.S.INV(RAND())</f>
        <v/>
      </c>
      <c r="FU2" s="18">
        <f>NORM.S.INV(RAND())</f>
        <v/>
      </c>
      <c r="FV2" s="18">
        <f>NORM.S.INV(RAND())</f>
        <v/>
      </c>
      <c r="FW2" s="18">
        <f>NORM.S.INV(RAND())</f>
        <v/>
      </c>
      <c r="FX2" s="18">
        <f>NORM.S.INV(RAND())</f>
        <v/>
      </c>
      <c r="FY2" s="18">
        <f>NORM.S.INV(RAND())</f>
        <v/>
      </c>
      <c r="FZ2" s="18">
        <f>NORM.S.INV(RAND())</f>
        <v/>
      </c>
      <c r="GA2" s="18">
        <f>NORM.S.INV(RAND())</f>
        <v/>
      </c>
      <c r="GB2" s="18">
        <f>NORM.S.INV(RAND())</f>
        <v/>
      </c>
      <c r="GC2" s="18">
        <f>NORM.S.INV(RAND())</f>
        <v/>
      </c>
      <c r="GD2" s="18">
        <f>NORM.S.INV(RAND())</f>
        <v/>
      </c>
      <c r="GE2" s="18">
        <f>NORM.S.INV(RAND())</f>
        <v/>
      </c>
      <c r="GF2" s="18">
        <f>NORM.S.INV(RAND())</f>
        <v/>
      </c>
      <c r="GG2" s="18">
        <f>NORM.S.INV(RAND())</f>
        <v/>
      </c>
      <c r="GH2" s="18">
        <f>NORM.S.INV(RAND())</f>
        <v/>
      </c>
      <c r="GI2" s="18">
        <f>NORM.S.INV(RAND())</f>
        <v/>
      </c>
      <c r="GJ2" s="18">
        <f>NORM.S.INV(RAND())</f>
        <v/>
      </c>
      <c r="GK2" s="18">
        <f>NORM.S.INV(RAND())</f>
        <v/>
      </c>
      <c r="GL2" s="18">
        <f>NORM.S.INV(RAND())</f>
        <v/>
      </c>
      <c r="GM2" s="18">
        <f>NORM.S.INV(RAND())</f>
        <v/>
      </c>
      <c r="GN2" s="18">
        <f>NORM.S.INV(RAND())</f>
        <v/>
      </c>
      <c r="GO2" s="18">
        <f>NORM.S.INV(RAND())</f>
        <v/>
      </c>
      <c r="GP2" s="18">
        <f>NORM.S.INV(RAND())</f>
        <v/>
      </c>
      <c r="GQ2" s="18">
        <f>NORM.S.INV(RAND())</f>
        <v/>
      </c>
      <c r="GR2" s="18">
        <f>NORM.S.INV(RAND())</f>
        <v/>
      </c>
      <c r="GS2" s="18">
        <f>NORM.S.INV(RAND())</f>
        <v/>
      </c>
      <c r="GT2" s="18">
        <f>NORM.S.INV(RAND())</f>
        <v/>
      </c>
      <c r="GU2" s="18">
        <f>NORM.S.INV(RAND())</f>
        <v/>
      </c>
      <c r="GV2" s="18">
        <f>NORM.S.INV(RAND())</f>
        <v/>
      </c>
      <c r="GW2" s="18">
        <f>NORM.S.INV(RAND())</f>
        <v/>
      </c>
      <c r="GX2" s="18">
        <f>NORM.S.INV(RAND())</f>
        <v/>
      </c>
      <c r="GY2" s="18">
        <f>NORM.S.INV(RAND())</f>
        <v/>
      </c>
      <c r="GZ2" s="18">
        <f>NORM.S.INV(RAND())</f>
        <v/>
      </c>
      <c r="HA2" s="18">
        <f>NORM.S.INV(RAND())</f>
        <v/>
      </c>
      <c r="HB2" s="18">
        <f>NORM.S.INV(RAND())</f>
        <v/>
      </c>
      <c r="HC2" s="18">
        <f>NORM.S.INV(RAND())</f>
        <v/>
      </c>
      <c r="HD2" s="18">
        <f>NORM.S.INV(RAND())</f>
        <v/>
      </c>
      <c r="HE2" s="18">
        <f>NORM.S.INV(RAND())</f>
        <v/>
      </c>
      <c r="HF2" s="18">
        <f>NORM.S.INV(RAND())</f>
        <v/>
      </c>
      <c r="HG2" s="18">
        <f>NORM.S.INV(RAND())</f>
        <v/>
      </c>
      <c r="HH2" s="18">
        <f>NORM.S.INV(RAND())</f>
        <v/>
      </c>
      <c r="HI2" s="18">
        <f>NORM.S.INV(RAND())</f>
        <v/>
      </c>
      <c r="HJ2" s="18">
        <f>NORM.S.INV(RAND())</f>
        <v/>
      </c>
      <c r="HK2" s="18">
        <f>NORM.S.INV(RAND())</f>
        <v/>
      </c>
      <c r="HL2" s="18">
        <f>NORM.S.INV(RAND())</f>
        <v/>
      </c>
      <c r="HM2" s="18">
        <f>NORM.S.INV(RAND())</f>
        <v/>
      </c>
      <c r="HN2" s="18">
        <f>NORM.S.INV(RAND())</f>
        <v/>
      </c>
      <c r="HO2" s="18">
        <f>NORM.S.INV(RAND())</f>
        <v/>
      </c>
      <c r="HP2" s="18">
        <f>NORM.S.INV(RAND())</f>
        <v/>
      </c>
      <c r="HQ2" s="18">
        <f>NORM.S.INV(RAND())</f>
        <v/>
      </c>
      <c r="HR2" s="18">
        <f>NORM.S.INV(RAND())</f>
        <v/>
      </c>
      <c r="HS2" s="18">
        <f>NORM.S.INV(RAND())</f>
        <v/>
      </c>
      <c r="HT2" s="18">
        <f>NORM.S.INV(RAND())</f>
        <v/>
      </c>
      <c r="HU2" s="18">
        <f>NORM.S.INV(RAND())</f>
        <v/>
      </c>
      <c r="HV2" s="18">
        <f>NORM.S.INV(RAND())</f>
        <v/>
      </c>
      <c r="HW2" s="18">
        <f>NORM.S.INV(RAND())</f>
        <v/>
      </c>
      <c r="HX2" s="18">
        <f>NORM.S.INV(RAND())</f>
        <v/>
      </c>
      <c r="HY2" s="18">
        <f>NORM.S.INV(RAND())</f>
        <v/>
      </c>
      <c r="HZ2" s="18">
        <f>NORM.S.INV(RAND())</f>
        <v/>
      </c>
      <c r="IA2" s="18">
        <f>NORM.S.INV(RAND())</f>
        <v/>
      </c>
      <c r="IB2" s="18">
        <f>NORM.S.INV(RAND())</f>
        <v/>
      </c>
      <c r="IC2" s="18">
        <f>NORM.S.INV(RAND())</f>
        <v/>
      </c>
      <c r="ID2" s="18">
        <f>NORM.S.INV(RAND())</f>
        <v/>
      </c>
      <c r="IE2" s="18">
        <f>NORM.S.INV(RAND())</f>
        <v/>
      </c>
      <c r="IF2" s="18">
        <f>NORM.S.INV(RAND())</f>
        <v/>
      </c>
      <c r="IG2" s="18">
        <f>NORM.S.INV(RAND())</f>
        <v/>
      </c>
      <c r="IH2" s="18">
        <f>NORM.S.INV(RAND())</f>
        <v/>
      </c>
      <c r="II2" s="18">
        <f>NORM.S.INV(RAND())</f>
        <v/>
      </c>
      <c r="IJ2" s="18">
        <f>NORM.S.INV(RAND())</f>
        <v/>
      </c>
      <c r="IK2" s="18">
        <f>NORM.S.INV(RAND())</f>
        <v/>
      </c>
      <c r="IL2" s="18">
        <f>NORM.S.INV(RAND())</f>
        <v/>
      </c>
      <c r="IM2" s="18">
        <f>NORM.S.INV(RAND())</f>
        <v/>
      </c>
      <c r="IN2" s="18">
        <f>NORM.S.INV(RAND())</f>
        <v/>
      </c>
      <c r="IO2" s="18">
        <f>NORM.S.INV(RAND())</f>
        <v/>
      </c>
      <c r="IP2" s="18">
        <f>NORM.S.INV(RAND())</f>
        <v/>
      </c>
      <c r="IQ2" s="18">
        <f>NORM.S.INV(RAND())</f>
        <v/>
      </c>
      <c r="IR2" s="18">
        <f>NORM.S.INV(RAND())</f>
        <v/>
      </c>
      <c r="IS2" s="18">
        <f>NORM.S.INV(RAND())</f>
        <v/>
      </c>
      <c r="IT2" s="18">
        <f>NORM.S.INV(RAND())</f>
        <v/>
      </c>
      <c r="IU2" s="18">
        <f>NORM.S.INV(RAND())</f>
        <v/>
      </c>
      <c r="IV2" s="18">
        <f>NORM.S.INV(RAND())</f>
        <v/>
      </c>
      <c r="IW2" s="18">
        <f>NORM.S.INV(RAND())</f>
        <v/>
      </c>
      <c r="IX2" s="18">
        <f>NORM.S.INV(RAND())</f>
        <v/>
      </c>
      <c r="IY2" s="18">
        <f>NORM.S.INV(RAND())</f>
        <v/>
      </c>
      <c r="IZ2" s="18">
        <f>NORM.S.INV(RAND())</f>
        <v/>
      </c>
      <c r="JA2" s="18">
        <f>NORM.S.INV(RAND())</f>
        <v/>
      </c>
      <c r="JB2" s="18">
        <f>NORM.S.INV(RAND())</f>
        <v/>
      </c>
      <c r="JC2" s="18">
        <f>NORM.S.INV(RAND())</f>
        <v/>
      </c>
      <c r="JD2" s="18">
        <f>NORM.S.INV(RAND())</f>
        <v/>
      </c>
      <c r="JE2" s="18">
        <f>NORM.S.INV(RAND())</f>
        <v/>
      </c>
      <c r="JF2" s="18">
        <f>NORM.S.INV(RAND())</f>
        <v/>
      </c>
      <c r="JG2" s="18">
        <f>NORM.S.INV(RAND())</f>
        <v/>
      </c>
      <c r="JH2" s="18">
        <f>NORM.S.INV(RAND())</f>
        <v/>
      </c>
      <c r="JI2" s="18">
        <f>NORM.S.INV(RAND())</f>
        <v/>
      </c>
      <c r="JJ2" s="18">
        <f>NORM.S.INV(RAND())</f>
        <v/>
      </c>
      <c r="JK2" s="18">
        <f>NORM.S.INV(RAND())</f>
        <v/>
      </c>
      <c r="JL2" s="18">
        <f>NORM.S.INV(RAND())</f>
        <v/>
      </c>
      <c r="JM2" s="18">
        <f>NORM.S.INV(RAND())</f>
        <v/>
      </c>
      <c r="JN2" s="18">
        <f>NORM.S.INV(RAND())</f>
        <v/>
      </c>
      <c r="JO2" s="18">
        <f>NORM.S.INV(RAND())</f>
        <v/>
      </c>
      <c r="JP2" s="18">
        <f>NORM.S.INV(RAND())</f>
        <v/>
      </c>
      <c r="JQ2" s="18">
        <f>NORM.S.INV(RAND())</f>
        <v/>
      </c>
      <c r="JR2" s="18">
        <f>NORM.S.INV(RAND())</f>
        <v/>
      </c>
      <c r="JS2" s="18">
        <f>NORM.S.INV(RAND())</f>
        <v/>
      </c>
      <c r="JT2" s="18">
        <f>NORM.S.INV(RAND())</f>
        <v/>
      </c>
      <c r="JU2" s="18">
        <f>NORM.S.INV(RAND())</f>
        <v/>
      </c>
      <c r="JV2" s="18">
        <f>NORM.S.INV(RAND())</f>
        <v/>
      </c>
      <c r="JW2" s="18">
        <f>NORM.S.INV(RAND())</f>
        <v/>
      </c>
      <c r="JX2" s="18">
        <f>NORM.S.INV(RAND())</f>
        <v/>
      </c>
      <c r="JY2" s="18">
        <f>NORM.S.INV(RAND())</f>
        <v/>
      </c>
      <c r="JZ2" s="18">
        <f>NORM.S.INV(RAND())</f>
        <v/>
      </c>
      <c r="KA2" s="18">
        <f>NORM.S.INV(RAND())</f>
        <v/>
      </c>
      <c r="KB2" s="18">
        <f>NORM.S.INV(RAND())</f>
        <v/>
      </c>
      <c r="KC2" s="18">
        <f>NORM.S.INV(RAND())</f>
        <v/>
      </c>
      <c r="KD2" s="18">
        <f>NORM.S.INV(RAND())</f>
        <v/>
      </c>
      <c r="KE2" s="18">
        <f>NORM.S.INV(RAND())</f>
        <v/>
      </c>
      <c r="KF2" s="18">
        <f>NORM.S.INV(RAND())</f>
        <v/>
      </c>
      <c r="KG2" s="18">
        <f>NORM.S.INV(RAND())</f>
        <v/>
      </c>
      <c r="KH2" s="18">
        <f>NORM.S.INV(RAND())</f>
        <v/>
      </c>
      <c r="KI2" s="18">
        <f>NORM.S.INV(RAND())</f>
        <v/>
      </c>
      <c r="KJ2" s="18">
        <f>NORM.S.INV(RAND())</f>
        <v/>
      </c>
      <c r="KK2" s="18">
        <f>NORM.S.INV(RAND())</f>
        <v/>
      </c>
      <c r="KL2" s="18">
        <f>NORM.S.INV(RAND())</f>
        <v/>
      </c>
      <c r="KM2" s="18">
        <f>NORM.S.INV(RAND())</f>
        <v/>
      </c>
      <c r="KN2" s="18">
        <f>NORM.S.INV(RAND())</f>
        <v/>
      </c>
      <c r="KO2" s="18">
        <f>NORM.S.INV(RAND())</f>
        <v/>
      </c>
      <c r="KP2" s="18">
        <f>NORM.S.INV(RAND())</f>
        <v/>
      </c>
      <c r="KQ2" s="18">
        <f>NORM.S.INV(RAND())</f>
        <v/>
      </c>
      <c r="KR2" s="18">
        <f>NORM.S.INV(RAND())</f>
        <v/>
      </c>
      <c r="KS2" s="18">
        <f>NORM.S.INV(RAND())</f>
        <v/>
      </c>
      <c r="KT2" s="18">
        <f>NORM.S.INV(RAND())</f>
        <v/>
      </c>
      <c r="KU2" s="18">
        <f>NORM.S.INV(RAND())</f>
        <v/>
      </c>
      <c r="KV2" s="18">
        <f>NORM.S.INV(RAND())</f>
        <v/>
      </c>
      <c r="KW2" s="18">
        <f>NORM.S.INV(RAND())</f>
        <v/>
      </c>
      <c r="KX2" s="18">
        <f>NORM.S.INV(RAND())</f>
        <v/>
      </c>
      <c r="KY2" s="18">
        <f>NORM.S.INV(RAND())</f>
        <v/>
      </c>
      <c r="KZ2" s="18">
        <f>NORM.S.INV(RAND())</f>
        <v/>
      </c>
      <c r="LA2" s="18">
        <f>NORM.S.INV(RAND())</f>
        <v/>
      </c>
      <c r="LB2" s="18">
        <f>NORM.S.INV(RAND())</f>
        <v/>
      </c>
      <c r="LC2" s="18">
        <f>NORM.S.INV(RAND())</f>
        <v/>
      </c>
      <c r="LD2" s="18">
        <f>NORM.S.INV(RAND())</f>
        <v/>
      </c>
      <c r="LE2" s="18">
        <f>NORM.S.INV(RAND())</f>
        <v/>
      </c>
      <c r="LF2" s="18">
        <f>NORM.S.INV(RAND())</f>
        <v/>
      </c>
      <c r="LG2" s="18">
        <f>NORM.S.INV(RAND())</f>
        <v/>
      </c>
      <c r="LH2" s="18">
        <f>NORM.S.INV(RAND())</f>
        <v/>
      </c>
      <c r="LI2" s="18">
        <f>NORM.S.INV(RAND())</f>
        <v/>
      </c>
      <c r="LJ2" s="18">
        <f>NORM.S.INV(RAND())</f>
        <v/>
      </c>
      <c r="LK2" s="18">
        <f>NORM.S.INV(RAND())</f>
        <v/>
      </c>
      <c r="LL2" s="18">
        <f>NORM.S.INV(RAND())</f>
        <v/>
      </c>
      <c r="LM2" s="18">
        <f>NORM.S.INV(RAND())</f>
        <v/>
      </c>
      <c r="LN2" s="18">
        <f>NORM.S.INV(RAND())</f>
        <v/>
      </c>
      <c r="LO2" s="18">
        <f>NORM.S.INV(RAND())</f>
        <v/>
      </c>
      <c r="LP2" s="18">
        <f>NORM.S.INV(RAND())</f>
        <v/>
      </c>
      <c r="LQ2" s="18">
        <f>NORM.S.INV(RAND())</f>
        <v/>
      </c>
      <c r="LR2" s="18">
        <f>NORM.S.INV(RAND())</f>
        <v/>
      </c>
      <c r="LS2" s="18">
        <f>NORM.S.INV(RAND())</f>
        <v/>
      </c>
      <c r="LT2" s="18">
        <f>NORM.S.INV(RAND())</f>
        <v/>
      </c>
      <c r="LU2" s="18">
        <f>NORM.S.INV(RAND())</f>
        <v/>
      </c>
      <c r="LV2" s="18">
        <f>NORM.S.INV(RAND())</f>
        <v/>
      </c>
      <c r="LW2" s="18">
        <f>NORM.S.INV(RAND())</f>
        <v/>
      </c>
      <c r="LX2" s="18">
        <f>NORM.S.INV(RAND())</f>
        <v/>
      </c>
      <c r="LY2" s="18">
        <f>NORM.S.INV(RAND())</f>
        <v/>
      </c>
      <c r="LZ2" s="18">
        <f>NORM.S.INV(RAND())</f>
        <v/>
      </c>
      <c r="MA2" s="18">
        <f>NORM.S.INV(RAND())</f>
        <v/>
      </c>
      <c r="MB2" s="18">
        <f>NORM.S.INV(RAND())</f>
        <v/>
      </c>
      <c r="MC2" s="18">
        <f>NORM.S.INV(RAND())</f>
        <v/>
      </c>
      <c r="MD2" s="18">
        <f>NORM.S.INV(RAND())</f>
        <v/>
      </c>
      <c r="ME2" s="18">
        <f>NORM.S.INV(RAND())</f>
        <v/>
      </c>
      <c r="MF2" s="18">
        <f>NORM.S.INV(RAND())</f>
        <v/>
      </c>
      <c r="MG2" s="18">
        <f>NORM.S.INV(RAND())</f>
        <v/>
      </c>
      <c r="MH2" s="18">
        <f>NORM.S.INV(RAND())</f>
        <v/>
      </c>
      <c r="MI2" s="18">
        <f>NORM.S.INV(RAND())</f>
        <v/>
      </c>
      <c r="MJ2" s="18">
        <f>NORM.S.INV(RAND())</f>
        <v/>
      </c>
      <c r="MK2" s="18">
        <f>NORM.S.INV(RAND())</f>
        <v/>
      </c>
      <c r="ML2" s="18">
        <f>NORM.S.INV(RAND())</f>
        <v/>
      </c>
      <c r="MM2" s="18">
        <f>NORM.S.INV(RAND())</f>
        <v/>
      </c>
      <c r="MN2" s="18">
        <f>NORM.S.INV(RAND())</f>
        <v/>
      </c>
      <c r="MO2" s="18">
        <f>NORM.S.INV(RAND())</f>
        <v/>
      </c>
      <c r="MP2" s="18">
        <f>NORM.S.INV(RAND())</f>
        <v/>
      </c>
      <c r="MQ2" s="18">
        <f>NORM.S.INV(RAND())</f>
        <v/>
      </c>
      <c r="MR2" s="18">
        <f>NORM.S.INV(RAND())</f>
        <v/>
      </c>
      <c r="MS2" s="18">
        <f>NORM.S.INV(RAND())</f>
        <v/>
      </c>
      <c r="MT2" s="18">
        <f>NORM.S.INV(RAND())</f>
        <v/>
      </c>
      <c r="MU2" s="18">
        <f>NORM.S.INV(RAND())</f>
        <v/>
      </c>
      <c r="MV2" s="18">
        <f>NORM.S.INV(RAND())</f>
        <v/>
      </c>
      <c r="MW2" s="18">
        <f>NORM.S.INV(RAND())</f>
        <v/>
      </c>
      <c r="MX2" s="18">
        <f>NORM.S.INV(RAND())</f>
        <v/>
      </c>
      <c r="MY2" s="18">
        <f>NORM.S.INV(RAND())</f>
        <v/>
      </c>
      <c r="MZ2" s="18">
        <f>NORM.S.INV(RAND())</f>
        <v/>
      </c>
      <c r="NA2" s="18">
        <f>NORM.S.INV(RAND())</f>
        <v/>
      </c>
      <c r="NB2" s="18">
        <f>NORM.S.INV(RAND())</f>
        <v/>
      </c>
      <c r="NC2" s="18">
        <f>NORM.S.INV(RAND())</f>
        <v/>
      </c>
      <c r="ND2" s="18">
        <f>NORM.S.INV(RAND())</f>
        <v/>
      </c>
      <c r="NE2" s="18">
        <f>NORM.S.INV(RAND())</f>
        <v/>
      </c>
      <c r="NF2" s="18">
        <f>NORM.S.INV(RAND())</f>
        <v/>
      </c>
      <c r="NG2" s="18">
        <f>NORM.S.INV(RAND())</f>
        <v/>
      </c>
      <c r="NH2" s="18">
        <f>NORM.S.INV(RAND())</f>
        <v/>
      </c>
      <c r="NI2" s="18">
        <f>NORM.S.INV(RAND())</f>
        <v/>
      </c>
      <c r="NJ2" s="18">
        <f>NORM.S.INV(RAND())</f>
        <v/>
      </c>
      <c r="NK2" s="18">
        <f>NORM.S.INV(RAND())</f>
        <v/>
      </c>
      <c r="NL2" s="18">
        <f>NORM.S.INV(RAND())</f>
        <v/>
      </c>
      <c r="NM2" s="18">
        <f>NORM.S.INV(RAND())</f>
        <v/>
      </c>
      <c r="NN2" s="18">
        <f>NORM.S.INV(RAND())</f>
        <v/>
      </c>
      <c r="NO2" s="18">
        <f>NORM.S.INV(RAND())</f>
        <v/>
      </c>
      <c r="NP2" s="18">
        <f>NORM.S.INV(RAND())</f>
        <v/>
      </c>
      <c r="NQ2" s="18">
        <f>NORM.S.INV(RAND())</f>
        <v/>
      </c>
      <c r="NR2" s="18">
        <f>NORM.S.INV(RAND())</f>
        <v/>
      </c>
      <c r="NS2" s="18">
        <f>NORM.S.INV(RAND())</f>
        <v/>
      </c>
      <c r="NT2" s="18">
        <f>NORM.S.INV(RAND())</f>
        <v/>
      </c>
      <c r="NU2" s="18">
        <f>NORM.S.INV(RAND())</f>
        <v/>
      </c>
      <c r="NV2" s="18">
        <f>NORM.S.INV(RAND())</f>
        <v/>
      </c>
      <c r="NW2" s="18">
        <f>NORM.S.INV(RAND())</f>
        <v/>
      </c>
      <c r="NX2" s="18">
        <f>NORM.S.INV(RAND())</f>
        <v/>
      </c>
      <c r="NY2" s="18">
        <f>NORM.S.INV(RAND())</f>
        <v/>
      </c>
      <c r="NZ2" s="18">
        <f>NORM.S.INV(RAND())</f>
        <v/>
      </c>
      <c r="OA2" s="18">
        <f>NORM.S.INV(RAND())</f>
        <v/>
      </c>
      <c r="OB2" s="18">
        <f>NORM.S.INV(RAND())</f>
        <v/>
      </c>
      <c r="OC2" s="18">
        <f>NORM.S.INV(RAND())</f>
        <v/>
      </c>
      <c r="OD2" s="18">
        <f>NORM.S.INV(RAND())</f>
        <v/>
      </c>
      <c r="OE2" s="18">
        <f>NORM.S.INV(RAND())</f>
        <v/>
      </c>
      <c r="OF2" s="18">
        <f>NORM.S.INV(RAND())</f>
        <v/>
      </c>
      <c r="OG2" s="18">
        <f>NORM.S.INV(RAND())</f>
        <v/>
      </c>
      <c r="OH2" s="18">
        <f>NORM.S.INV(RAND())</f>
        <v/>
      </c>
      <c r="OI2" s="18">
        <f>NORM.S.INV(RAND())</f>
        <v/>
      </c>
      <c r="OJ2" s="18">
        <f>NORM.S.INV(RAND())</f>
        <v/>
      </c>
      <c r="OK2" s="18">
        <f>NORM.S.INV(RAND())</f>
        <v/>
      </c>
      <c r="OL2" s="18">
        <f>NORM.S.INV(RAND())</f>
        <v/>
      </c>
      <c r="OM2" s="18">
        <f>NORM.S.INV(RAND())</f>
        <v/>
      </c>
      <c r="ON2" s="18">
        <f>NORM.S.INV(RAND())</f>
        <v/>
      </c>
      <c r="OO2" s="18">
        <f>NORM.S.INV(RAND())</f>
        <v/>
      </c>
      <c r="OP2" s="18">
        <f>NORM.S.INV(RAND())</f>
        <v/>
      </c>
      <c r="OQ2" s="18">
        <f>NORM.S.INV(RAND())</f>
        <v/>
      </c>
      <c r="OR2" s="18">
        <f>NORM.S.INV(RAND())</f>
        <v/>
      </c>
      <c r="OS2" s="18">
        <f>NORM.S.INV(RAND())</f>
        <v/>
      </c>
      <c r="OT2" s="18">
        <f>NORM.S.INV(RAND())</f>
        <v/>
      </c>
      <c r="OU2" s="18">
        <f>NORM.S.INV(RAND())</f>
        <v/>
      </c>
      <c r="OV2" s="18">
        <f>NORM.S.INV(RAND())</f>
        <v/>
      </c>
      <c r="OW2" s="18">
        <f>NORM.S.INV(RAND())</f>
        <v/>
      </c>
      <c r="OX2" s="18">
        <f>NORM.S.INV(RAND())</f>
        <v/>
      </c>
      <c r="OY2" s="18">
        <f>NORM.S.INV(RAND())</f>
        <v/>
      </c>
      <c r="OZ2" s="18">
        <f>NORM.S.INV(RAND())</f>
        <v/>
      </c>
      <c r="PA2" s="18">
        <f>NORM.S.INV(RAND())</f>
        <v/>
      </c>
      <c r="PB2" s="18">
        <f>NORM.S.INV(RAND())</f>
        <v/>
      </c>
      <c r="PC2" s="18">
        <f>NORM.S.INV(RAND())</f>
        <v/>
      </c>
      <c r="PD2" s="18">
        <f>NORM.S.INV(RAND())</f>
        <v/>
      </c>
      <c r="PE2" s="18">
        <f>NORM.S.INV(RAND())</f>
        <v/>
      </c>
      <c r="PF2" s="18">
        <f>NORM.S.INV(RAND())</f>
        <v/>
      </c>
      <c r="PG2" s="18">
        <f>NORM.S.INV(RAND())</f>
        <v/>
      </c>
      <c r="PH2" s="18">
        <f>NORM.S.INV(RAND())</f>
        <v/>
      </c>
      <c r="PI2" s="18">
        <f>NORM.S.INV(RAND())</f>
        <v/>
      </c>
      <c r="PJ2" s="18">
        <f>NORM.S.INV(RAND())</f>
        <v/>
      </c>
      <c r="PK2" s="18">
        <f>NORM.S.INV(RAND())</f>
        <v/>
      </c>
      <c r="PL2" s="18">
        <f>NORM.S.INV(RAND())</f>
        <v/>
      </c>
      <c r="PM2" s="18">
        <f>NORM.S.INV(RAND())</f>
        <v/>
      </c>
      <c r="PN2" s="18">
        <f>NORM.S.INV(RAND())</f>
        <v/>
      </c>
      <c r="PO2" s="18">
        <f>NORM.S.INV(RAND())</f>
        <v/>
      </c>
      <c r="PP2" s="18">
        <f>NORM.S.INV(RAND())</f>
        <v/>
      </c>
      <c r="PQ2" s="18">
        <f>NORM.S.INV(RAND())</f>
        <v/>
      </c>
      <c r="PR2" s="18">
        <f>NORM.S.INV(RAND())</f>
        <v/>
      </c>
      <c r="PS2" s="18">
        <f>NORM.S.INV(RAND())</f>
        <v/>
      </c>
      <c r="PT2" s="18">
        <f>NORM.S.INV(RAND())</f>
        <v/>
      </c>
      <c r="PU2" s="18">
        <f>NORM.S.INV(RAND())</f>
        <v/>
      </c>
      <c r="PV2" s="18">
        <f>NORM.S.INV(RAND())</f>
        <v/>
      </c>
      <c r="PW2" s="18">
        <f>NORM.S.INV(RAND())</f>
        <v/>
      </c>
      <c r="PX2" s="18">
        <f>NORM.S.INV(RAND())</f>
        <v/>
      </c>
      <c r="PY2" s="18">
        <f>NORM.S.INV(RAND())</f>
        <v/>
      </c>
      <c r="PZ2" s="18">
        <f>NORM.S.INV(RAND())</f>
        <v/>
      </c>
      <c r="QA2" s="18">
        <f>NORM.S.INV(RAND())</f>
        <v/>
      </c>
      <c r="QB2" s="18">
        <f>NORM.S.INV(RAND())</f>
        <v/>
      </c>
      <c r="QC2" s="18">
        <f>NORM.S.INV(RAND())</f>
        <v/>
      </c>
      <c r="QD2" s="18">
        <f>NORM.S.INV(RAND())</f>
        <v/>
      </c>
      <c r="QE2" s="18">
        <f>NORM.S.INV(RAND())</f>
        <v/>
      </c>
      <c r="QF2" s="18">
        <f>NORM.S.INV(RAND())</f>
        <v/>
      </c>
      <c r="QG2" s="18">
        <f>NORM.S.INV(RAND())</f>
        <v/>
      </c>
      <c r="QH2" s="18">
        <f>NORM.S.INV(RAND())</f>
        <v/>
      </c>
      <c r="QI2" s="18">
        <f>NORM.S.INV(RAND())</f>
        <v/>
      </c>
      <c r="QJ2" s="18">
        <f>NORM.S.INV(RAND())</f>
        <v/>
      </c>
      <c r="QK2" s="18">
        <f>NORM.S.INV(RAND())</f>
        <v/>
      </c>
      <c r="QL2" s="18">
        <f>NORM.S.INV(RAND())</f>
        <v/>
      </c>
      <c r="QM2" s="18">
        <f>NORM.S.INV(RAND())</f>
        <v/>
      </c>
      <c r="QN2" s="18">
        <f>NORM.S.INV(RAND())</f>
        <v/>
      </c>
      <c r="QO2" s="18">
        <f>NORM.S.INV(RAND())</f>
        <v/>
      </c>
      <c r="QP2" s="18">
        <f>NORM.S.INV(RAND())</f>
        <v/>
      </c>
      <c r="QQ2" s="18">
        <f>NORM.S.INV(RAND())</f>
        <v/>
      </c>
      <c r="QR2" s="18">
        <f>NORM.S.INV(RAND())</f>
        <v/>
      </c>
      <c r="QS2" s="18">
        <f>NORM.S.INV(RAND())</f>
        <v/>
      </c>
      <c r="QT2" s="18">
        <f>NORM.S.INV(RAND())</f>
        <v/>
      </c>
      <c r="QU2" s="18">
        <f>NORM.S.INV(RAND())</f>
        <v/>
      </c>
      <c r="QV2" s="18">
        <f>NORM.S.INV(RAND())</f>
        <v/>
      </c>
      <c r="QW2" s="18">
        <f>NORM.S.INV(RAND())</f>
        <v/>
      </c>
      <c r="QX2" s="18">
        <f>NORM.S.INV(RAND())</f>
        <v/>
      </c>
      <c r="QY2" s="18">
        <f>NORM.S.INV(RAND())</f>
        <v/>
      </c>
      <c r="QZ2" s="18">
        <f>NORM.S.INV(RAND())</f>
        <v/>
      </c>
      <c r="RA2" s="18">
        <f>NORM.S.INV(RAND())</f>
        <v/>
      </c>
      <c r="RB2" s="18">
        <f>NORM.S.INV(RAND())</f>
        <v/>
      </c>
      <c r="RC2" s="18">
        <f>NORM.S.INV(RAND())</f>
        <v/>
      </c>
      <c r="RD2" s="18">
        <f>NORM.S.INV(RAND())</f>
        <v/>
      </c>
      <c r="RE2" s="18">
        <f>NORM.S.INV(RAND())</f>
        <v/>
      </c>
      <c r="RF2" s="18">
        <f>NORM.S.INV(RAND())</f>
        <v/>
      </c>
      <c r="RG2" s="18">
        <f>NORM.S.INV(RAND())</f>
        <v/>
      </c>
      <c r="RH2" s="18">
        <f>NORM.S.INV(RAND())</f>
        <v/>
      </c>
      <c r="RI2" s="18">
        <f>NORM.S.INV(RAND())</f>
        <v/>
      </c>
      <c r="RJ2" s="18">
        <f>NORM.S.INV(RAND())</f>
        <v/>
      </c>
      <c r="RK2" s="18">
        <f>NORM.S.INV(RAND())</f>
        <v/>
      </c>
      <c r="RL2" s="18">
        <f>NORM.S.INV(RAND())</f>
        <v/>
      </c>
      <c r="RM2" s="18">
        <f>NORM.S.INV(RAND())</f>
        <v/>
      </c>
      <c r="RN2" s="18">
        <f>NORM.S.INV(RAND())</f>
        <v/>
      </c>
      <c r="RO2" s="18">
        <f>NORM.S.INV(RAND())</f>
        <v/>
      </c>
      <c r="RP2" s="18">
        <f>NORM.S.INV(RAND())</f>
        <v/>
      </c>
      <c r="RQ2" s="18">
        <f>NORM.S.INV(RAND())</f>
        <v/>
      </c>
      <c r="RR2" s="18">
        <f>NORM.S.INV(RAND())</f>
        <v/>
      </c>
      <c r="RS2" s="18">
        <f>NORM.S.INV(RAND())</f>
        <v/>
      </c>
      <c r="RT2" s="18">
        <f>NORM.S.INV(RAND())</f>
        <v/>
      </c>
      <c r="RU2" s="18">
        <f>NORM.S.INV(RAND())</f>
        <v/>
      </c>
      <c r="RV2" s="18">
        <f>NORM.S.INV(RAND())</f>
        <v/>
      </c>
      <c r="RW2" s="18">
        <f>NORM.S.INV(RAND())</f>
        <v/>
      </c>
      <c r="RX2" s="18">
        <f>NORM.S.INV(RAND())</f>
        <v/>
      </c>
      <c r="RY2" s="18">
        <f>NORM.S.INV(RAND())</f>
        <v/>
      </c>
      <c r="RZ2" s="18">
        <f>NORM.S.INV(RAND())</f>
        <v/>
      </c>
      <c r="SA2" s="18">
        <f>NORM.S.INV(RAND())</f>
        <v/>
      </c>
      <c r="SB2" s="18">
        <f>NORM.S.INV(RAND())</f>
        <v/>
      </c>
      <c r="SC2" s="18">
        <f>NORM.S.INV(RAND())</f>
        <v/>
      </c>
      <c r="SD2" s="18">
        <f>NORM.S.INV(RAND())</f>
        <v/>
      </c>
      <c r="SE2" s="18">
        <f>NORM.S.INV(RAND())</f>
        <v/>
      </c>
      <c r="SF2" s="18">
        <f>NORM.S.INV(RAND())</f>
        <v/>
      </c>
      <c r="SG2" s="18">
        <f>NORM.S.INV(RAND())</f>
        <v/>
      </c>
    </row>
    <row r="3">
      <c r="A3" s="17" t="inlineStr">
        <is>
          <t>Region: Europe</t>
        </is>
      </c>
      <c r="B3" s="18">
        <f>NORM.S.INV(RAND())</f>
        <v/>
      </c>
      <c r="C3" s="18">
        <f>NORM.S.INV(RAND())</f>
        <v/>
      </c>
      <c r="D3" s="18">
        <f>NORM.S.INV(RAND())</f>
        <v/>
      </c>
      <c r="E3" s="18">
        <f>NORM.S.INV(RAND())</f>
        <v/>
      </c>
      <c r="F3" s="18">
        <f>NORM.S.INV(RAND())</f>
        <v/>
      </c>
      <c r="G3" s="18">
        <f>NORM.S.INV(RAND())</f>
        <v/>
      </c>
      <c r="H3" s="18">
        <f>NORM.S.INV(RAND())</f>
        <v/>
      </c>
      <c r="I3" s="18">
        <f>NORM.S.INV(RAND())</f>
        <v/>
      </c>
      <c r="J3" s="18">
        <f>NORM.S.INV(RAND())</f>
        <v/>
      </c>
      <c r="K3" s="18">
        <f>NORM.S.INV(RAND())</f>
        <v/>
      </c>
      <c r="L3" s="18">
        <f>NORM.S.INV(RAND())</f>
        <v/>
      </c>
      <c r="M3" s="18">
        <f>NORM.S.INV(RAND())</f>
        <v/>
      </c>
      <c r="N3" s="18">
        <f>NORM.S.INV(RAND())</f>
        <v/>
      </c>
      <c r="O3" s="18">
        <f>NORM.S.INV(RAND())</f>
        <v/>
      </c>
      <c r="P3" s="18">
        <f>NORM.S.INV(RAND())</f>
        <v/>
      </c>
      <c r="Q3" s="18">
        <f>NORM.S.INV(RAND())</f>
        <v/>
      </c>
      <c r="R3" s="18">
        <f>NORM.S.INV(RAND())</f>
        <v/>
      </c>
      <c r="S3" s="18">
        <f>NORM.S.INV(RAND())</f>
        <v/>
      </c>
      <c r="T3" s="18">
        <f>NORM.S.INV(RAND())</f>
        <v/>
      </c>
      <c r="U3" s="18">
        <f>NORM.S.INV(RAND())</f>
        <v/>
      </c>
      <c r="V3" s="18">
        <f>NORM.S.INV(RAND())</f>
        <v/>
      </c>
      <c r="W3" s="18">
        <f>NORM.S.INV(RAND())</f>
        <v/>
      </c>
      <c r="X3" s="18">
        <f>NORM.S.INV(RAND())</f>
        <v/>
      </c>
      <c r="Y3" s="18">
        <f>NORM.S.INV(RAND())</f>
        <v/>
      </c>
      <c r="Z3" s="18">
        <f>NORM.S.INV(RAND())</f>
        <v/>
      </c>
      <c r="AA3" s="18">
        <f>NORM.S.INV(RAND())</f>
        <v/>
      </c>
      <c r="AB3" s="18">
        <f>NORM.S.INV(RAND())</f>
        <v/>
      </c>
      <c r="AC3" s="18">
        <f>NORM.S.INV(RAND())</f>
        <v/>
      </c>
      <c r="AD3" s="18">
        <f>NORM.S.INV(RAND())</f>
        <v/>
      </c>
      <c r="AE3" s="18">
        <f>NORM.S.INV(RAND())</f>
        <v/>
      </c>
      <c r="AF3" s="18">
        <f>NORM.S.INV(RAND())</f>
        <v/>
      </c>
      <c r="AG3" s="18">
        <f>NORM.S.INV(RAND())</f>
        <v/>
      </c>
      <c r="AH3" s="18">
        <f>NORM.S.INV(RAND())</f>
        <v/>
      </c>
      <c r="AI3" s="18">
        <f>NORM.S.INV(RAND())</f>
        <v/>
      </c>
      <c r="AJ3" s="18">
        <f>NORM.S.INV(RAND())</f>
        <v/>
      </c>
      <c r="AK3" s="18">
        <f>NORM.S.INV(RAND())</f>
        <v/>
      </c>
      <c r="AL3" s="18">
        <f>NORM.S.INV(RAND())</f>
        <v/>
      </c>
      <c r="AM3" s="18">
        <f>NORM.S.INV(RAND())</f>
        <v/>
      </c>
      <c r="AN3" s="18">
        <f>NORM.S.INV(RAND())</f>
        <v/>
      </c>
      <c r="AO3" s="18">
        <f>NORM.S.INV(RAND())</f>
        <v/>
      </c>
      <c r="AP3" s="18">
        <f>NORM.S.INV(RAND())</f>
        <v/>
      </c>
      <c r="AQ3" s="18">
        <f>NORM.S.INV(RAND())</f>
        <v/>
      </c>
      <c r="AR3" s="18">
        <f>NORM.S.INV(RAND())</f>
        <v/>
      </c>
      <c r="AS3" s="18">
        <f>NORM.S.INV(RAND())</f>
        <v/>
      </c>
      <c r="AT3" s="18">
        <f>NORM.S.INV(RAND())</f>
        <v/>
      </c>
      <c r="AU3" s="18">
        <f>NORM.S.INV(RAND())</f>
        <v/>
      </c>
      <c r="AV3" s="18">
        <f>NORM.S.INV(RAND())</f>
        <v/>
      </c>
      <c r="AW3" s="18">
        <f>NORM.S.INV(RAND())</f>
        <v/>
      </c>
      <c r="AX3" s="18">
        <f>NORM.S.INV(RAND())</f>
        <v/>
      </c>
      <c r="AY3" s="18">
        <f>NORM.S.INV(RAND())</f>
        <v/>
      </c>
      <c r="AZ3" s="18">
        <f>NORM.S.INV(RAND())</f>
        <v/>
      </c>
      <c r="BA3" s="18">
        <f>NORM.S.INV(RAND())</f>
        <v/>
      </c>
      <c r="BB3" s="18">
        <f>NORM.S.INV(RAND())</f>
        <v/>
      </c>
      <c r="BC3" s="18">
        <f>NORM.S.INV(RAND())</f>
        <v/>
      </c>
      <c r="BD3" s="18">
        <f>NORM.S.INV(RAND())</f>
        <v/>
      </c>
      <c r="BE3" s="18">
        <f>NORM.S.INV(RAND())</f>
        <v/>
      </c>
      <c r="BF3" s="18">
        <f>NORM.S.INV(RAND())</f>
        <v/>
      </c>
      <c r="BG3" s="18">
        <f>NORM.S.INV(RAND())</f>
        <v/>
      </c>
      <c r="BH3" s="18">
        <f>NORM.S.INV(RAND())</f>
        <v/>
      </c>
      <c r="BI3" s="18">
        <f>NORM.S.INV(RAND())</f>
        <v/>
      </c>
      <c r="BJ3" s="18">
        <f>NORM.S.INV(RAND())</f>
        <v/>
      </c>
      <c r="BK3" s="18">
        <f>NORM.S.INV(RAND())</f>
        <v/>
      </c>
      <c r="BL3" s="18">
        <f>NORM.S.INV(RAND())</f>
        <v/>
      </c>
      <c r="BM3" s="18">
        <f>NORM.S.INV(RAND())</f>
        <v/>
      </c>
      <c r="BN3" s="18">
        <f>NORM.S.INV(RAND())</f>
        <v/>
      </c>
      <c r="BO3" s="18">
        <f>NORM.S.INV(RAND())</f>
        <v/>
      </c>
      <c r="BP3" s="18">
        <f>NORM.S.INV(RAND())</f>
        <v/>
      </c>
      <c r="BQ3" s="18">
        <f>NORM.S.INV(RAND())</f>
        <v/>
      </c>
      <c r="BR3" s="18">
        <f>NORM.S.INV(RAND())</f>
        <v/>
      </c>
      <c r="BS3" s="18">
        <f>NORM.S.INV(RAND())</f>
        <v/>
      </c>
      <c r="BT3" s="18">
        <f>NORM.S.INV(RAND())</f>
        <v/>
      </c>
      <c r="BU3" s="18">
        <f>NORM.S.INV(RAND())</f>
        <v/>
      </c>
      <c r="BV3" s="18">
        <f>NORM.S.INV(RAND())</f>
        <v/>
      </c>
      <c r="BW3" s="18">
        <f>NORM.S.INV(RAND())</f>
        <v/>
      </c>
      <c r="BX3" s="18">
        <f>NORM.S.INV(RAND())</f>
        <v/>
      </c>
      <c r="BY3" s="18">
        <f>NORM.S.INV(RAND())</f>
        <v/>
      </c>
      <c r="BZ3" s="18">
        <f>NORM.S.INV(RAND())</f>
        <v/>
      </c>
      <c r="CA3" s="18">
        <f>NORM.S.INV(RAND())</f>
        <v/>
      </c>
      <c r="CB3" s="18">
        <f>NORM.S.INV(RAND())</f>
        <v/>
      </c>
      <c r="CC3" s="18">
        <f>NORM.S.INV(RAND())</f>
        <v/>
      </c>
      <c r="CD3" s="18">
        <f>NORM.S.INV(RAND())</f>
        <v/>
      </c>
      <c r="CE3" s="18">
        <f>NORM.S.INV(RAND())</f>
        <v/>
      </c>
      <c r="CF3" s="18">
        <f>NORM.S.INV(RAND())</f>
        <v/>
      </c>
      <c r="CG3" s="18">
        <f>NORM.S.INV(RAND())</f>
        <v/>
      </c>
      <c r="CH3" s="18">
        <f>NORM.S.INV(RAND())</f>
        <v/>
      </c>
      <c r="CI3" s="18">
        <f>NORM.S.INV(RAND())</f>
        <v/>
      </c>
      <c r="CJ3" s="18">
        <f>NORM.S.INV(RAND())</f>
        <v/>
      </c>
      <c r="CK3" s="18">
        <f>NORM.S.INV(RAND())</f>
        <v/>
      </c>
      <c r="CL3" s="18">
        <f>NORM.S.INV(RAND())</f>
        <v/>
      </c>
      <c r="CM3" s="18">
        <f>NORM.S.INV(RAND())</f>
        <v/>
      </c>
      <c r="CN3" s="18">
        <f>NORM.S.INV(RAND())</f>
        <v/>
      </c>
      <c r="CO3" s="18">
        <f>NORM.S.INV(RAND())</f>
        <v/>
      </c>
      <c r="CP3" s="18">
        <f>NORM.S.INV(RAND())</f>
        <v/>
      </c>
      <c r="CQ3" s="18">
        <f>NORM.S.INV(RAND())</f>
        <v/>
      </c>
      <c r="CR3" s="18">
        <f>NORM.S.INV(RAND())</f>
        <v/>
      </c>
      <c r="CS3" s="18">
        <f>NORM.S.INV(RAND())</f>
        <v/>
      </c>
      <c r="CT3" s="18">
        <f>NORM.S.INV(RAND())</f>
        <v/>
      </c>
      <c r="CU3" s="18">
        <f>NORM.S.INV(RAND())</f>
        <v/>
      </c>
      <c r="CV3" s="18">
        <f>NORM.S.INV(RAND())</f>
        <v/>
      </c>
      <c r="CW3" s="18">
        <f>NORM.S.INV(RAND())</f>
        <v/>
      </c>
      <c r="CX3" s="18">
        <f>NORM.S.INV(RAND())</f>
        <v/>
      </c>
      <c r="CY3" s="18">
        <f>NORM.S.INV(RAND())</f>
        <v/>
      </c>
      <c r="CZ3" s="18">
        <f>NORM.S.INV(RAND())</f>
        <v/>
      </c>
      <c r="DA3" s="18">
        <f>NORM.S.INV(RAND())</f>
        <v/>
      </c>
      <c r="DB3" s="18">
        <f>NORM.S.INV(RAND())</f>
        <v/>
      </c>
      <c r="DC3" s="18">
        <f>NORM.S.INV(RAND())</f>
        <v/>
      </c>
      <c r="DD3" s="18">
        <f>NORM.S.INV(RAND())</f>
        <v/>
      </c>
      <c r="DE3" s="18">
        <f>NORM.S.INV(RAND())</f>
        <v/>
      </c>
      <c r="DF3" s="18">
        <f>NORM.S.INV(RAND())</f>
        <v/>
      </c>
      <c r="DG3" s="18">
        <f>NORM.S.INV(RAND())</f>
        <v/>
      </c>
      <c r="DH3" s="18">
        <f>NORM.S.INV(RAND())</f>
        <v/>
      </c>
      <c r="DI3" s="18">
        <f>NORM.S.INV(RAND())</f>
        <v/>
      </c>
      <c r="DJ3" s="18">
        <f>NORM.S.INV(RAND())</f>
        <v/>
      </c>
      <c r="DK3" s="18">
        <f>NORM.S.INV(RAND())</f>
        <v/>
      </c>
      <c r="DL3" s="18">
        <f>NORM.S.INV(RAND())</f>
        <v/>
      </c>
      <c r="DM3" s="18">
        <f>NORM.S.INV(RAND())</f>
        <v/>
      </c>
      <c r="DN3" s="18">
        <f>NORM.S.INV(RAND())</f>
        <v/>
      </c>
      <c r="DO3" s="18">
        <f>NORM.S.INV(RAND())</f>
        <v/>
      </c>
      <c r="DP3" s="18">
        <f>NORM.S.INV(RAND())</f>
        <v/>
      </c>
      <c r="DQ3" s="18">
        <f>NORM.S.INV(RAND())</f>
        <v/>
      </c>
      <c r="DR3" s="18">
        <f>NORM.S.INV(RAND())</f>
        <v/>
      </c>
      <c r="DS3" s="18">
        <f>NORM.S.INV(RAND())</f>
        <v/>
      </c>
      <c r="DT3" s="18">
        <f>NORM.S.INV(RAND())</f>
        <v/>
      </c>
      <c r="DU3" s="18">
        <f>NORM.S.INV(RAND())</f>
        <v/>
      </c>
      <c r="DV3" s="18">
        <f>NORM.S.INV(RAND())</f>
        <v/>
      </c>
      <c r="DW3" s="18">
        <f>NORM.S.INV(RAND())</f>
        <v/>
      </c>
      <c r="DX3" s="18">
        <f>NORM.S.INV(RAND())</f>
        <v/>
      </c>
      <c r="DY3" s="18">
        <f>NORM.S.INV(RAND())</f>
        <v/>
      </c>
      <c r="DZ3" s="18">
        <f>NORM.S.INV(RAND())</f>
        <v/>
      </c>
      <c r="EA3" s="18">
        <f>NORM.S.INV(RAND())</f>
        <v/>
      </c>
      <c r="EB3" s="18">
        <f>NORM.S.INV(RAND())</f>
        <v/>
      </c>
      <c r="EC3" s="18">
        <f>NORM.S.INV(RAND())</f>
        <v/>
      </c>
      <c r="ED3" s="18">
        <f>NORM.S.INV(RAND())</f>
        <v/>
      </c>
      <c r="EE3" s="18">
        <f>NORM.S.INV(RAND())</f>
        <v/>
      </c>
      <c r="EF3" s="18">
        <f>NORM.S.INV(RAND())</f>
        <v/>
      </c>
      <c r="EG3" s="18">
        <f>NORM.S.INV(RAND())</f>
        <v/>
      </c>
      <c r="EH3" s="18">
        <f>NORM.S.INV(RAND())</f>
        <v/>
      </c>
      <c r="EI3" s="18">
        <f>NORM.S.INV(RAND())</f>
        <v/>
      </c>
      <c r="EJ3" s="18">
        <f>NORM.S.INV(RAND())</f>
        <v/>
      </c>
      <c r="EK3" s="18">
        <f>NORM.S.INV(RAND())</f>
        <v/>
      </c>
      <c r="EL3" s="18">
        <f>NORM.S.INV(RAND())</f>
        <v/>
      </c>
      <c r="EM3" s="18">
        <f>NORM.S.INV(RAND())</f>
        <v/>
      </c>
      <c r="EN3" s="18">
        <f>NORM.S.INV(RAND())</f>
        <v/>
      </c>
      <c r="EO3" s="18">
        <f>NORM.S.INV(RAND())</f>
        <v/>
      </c>
      <c r="EP3" s="18">
        <f>NORM.S.INV(RAND())</f>
        <v/>
      </c>
      <c r="EQ3" s="18">
        <f>NORM.S.INV(RAND())</f>
        <v/>
      </c>
      <c r="ER3" s="18">
        <f>NORM.S.INV(RAND())</f>
        <v/>
      </c>
      <c r="ES3" s="18">
        <f>NORM.S.INV(RAND())</f>
        <v/>
      </c>
      <c r="ET3" s="18">
        <f>NORM.S.INV(RAND())</f>
        <v/>
      </c>
      <c r="EU3" s="18">
        <f>NORM.S.INV(RAND())</f>
        <v/>
      </c>
      <c r="EV3" s="18">
        <f>NORM.S.INV(RAND())</f>
        <v/>
      </c>
      <c r="EW3" s="18">
        <f>NORM.S.INV(RAND())</f>
        <v/>
      </c>
      <c r="EX3" s="18">
        <f>NORM.S.INV(RAND())</f>
        <v/>
      </c>
      <c r="EY3" s="18">
        <f>NORM.S.INV(RAND())</f>
        <v/>
      </c>
      <c r="EZ3" s="18">
        <f>NORM.S.INV(RAND())</f>
        <v/>
      </c>
      <c r="FA3" s="18">
        <f>NORM.S.INV(RAND())</f>
        <v/>
      </c>
      <c r="FB3" s="18">
        <f>NORM.S.INV(RAND())</f>
        <v/>
      </c>
      <c r="FC3" s="18">
        <f>NORM.S.INV(RAND())</f>
        <v/>
      </c>
      <c r="FD3" s="18">
        <f>NORM.S.INV(RAND())</f>
        <v/>
      </c>
      <c r="FE3" s="18">
        <f>NORM.S.INV(RAND())</f>
        <v/>
      </c>
      <c r="FF3" s="18">
        <f>NORM.S.INV(RAND())</f>
        <v/>
      </c>
      <c r="FG3" s="18">
        <f>NORM.S.INV(RAND())</f>
        <v/>
      </c>
      <c r="FH3" s="18">
        <f>NORM.S.INV(RAND())</f>
        <v/>
      </c>
      <c r="FI3" s="18">
        <f>NORM.S.INV(RAND())</f>
        <v/>
      </c>
      <c r="FJ3" s="18">
        <f>NORM.S.INV(RAND())</f>
        <v/>
      </c>
      <c r="FK3" s="18">
        <f>NORM.S.INV(RAND())</f>
        <v/>
      </c>
      <c r="FL3" s="18">
        <f>NORM.S.INV(RAND())</f>
        <v/>
      </c>
      <c r="FM3" s="18">
        <f>NORM.S.INV(RAND())</f>
        <v/>
      </c>
      <c r="FN3" s="18">
        <f>NORM.S.INV(RAND())</f>
        <v/>
      </c>
      <c r="FO3" s="18">
        <f>NORM.S.INV(RAND())</f>
        <v/>
      </c>
      <c r="FP3" s="18">
        <f>NORM.S.INV(RAND())</f>
        <v/>
      </c>
      <c r="FQ3" s="18">
        <f>NORM.S.INV(RAND())</f>
        <v/>
      </c>
      <c r="FR3" s="18">
        <f>NORM.S.INV(RAND())</f>
        <v/>
      </c>
      <c r="FS3" s="18">
        <f>NORM.S.INV(RAND())</f>
        <v/>
      </c>
      <c r="FT3" s="18">
        <f>NORM.S.INV(RAND())</f>
        <v/>
      </c>
      <c r="FU3" s="18">
        <f>NORM.S.INV(RAND())</f>
        <v/>
      </c>
      <c r="FV3" s="18">
        <f>NORM.S.INV(RAND())</f>
        <v/>
      </c>
      <c r="FW3" s="18">
        <f>NORM.S.INV(RAND())</f>
        <v/>
      </c>
      <c r="FX3" s="18">
        <f>NORM.S.INV(RAND())</f>
        <v/>
      </c>
      <c r="FY3" s="18">
        <f>NORM.S.INV(RAND())</f>
        <v/>
      </c>
      <c r="FZ3" s="18">
        <f>NORM.S.INV(RAND())</f>
        <v/>
      </c>
      <c r="GA3" s="18">
        <f>NORM.S.INV(RAND())</f>
        <v/>
      </c>
      <c r="GB3" s="18">
        <f>NORM.S.INV(RAND())</f>
        <v/>
      </c>
      <c r="GC3" s="18">
        <f>NORM.S.INV(RAND())</f>
        <v/>
      </c>
      <c r="GD3" s="18">
        <f>NORM.S.INV(RAND())</f>
        <v/>
      </c>
      <c r="GE3" s="18">
        <f>NORM.S.INV(RAND())</f>
        <v/>
      </c>
      <c r="GF3" s="18">
        <f>NORM.S.INV(RAND())</f>
        <v/>
      </c>
      <c r="GG3" s="18">
        <f>NORM.S.INV(RAND())</f>
        <v/>
      </c>
      <c r="GH3" s="18">
        <f>NORM.S.INV(RAND())</f>
        <v/>
      </c>
      <c r="GI3" s="18">
        <f>NORM.S.INV(RAND())</f>
        <v/>
      </c>
      <c r="GJ3" s="18">
        <f>NORM.S.INV(RAND())</f>
        <v/>
      </c>
      <c r="GK3" s="18">
        <f>NORM.S.INV(RAND())</f>
        <v/>
      </c>
      <c r="GL3" s="18">
        <f>NORM.S.INV(RAND())</f>
        <v/>
      </c>
      <c r="GM3" s="18">
        <f>NORM.S.INV(RAND())</f>
        <v/>
      </c>
      <c r="GN3" s="18">
        <f>NORM.S.INV(RAND())</f>
        <v/>
      </c>
      <c r="GO3" s="18">
        <f>NORM.S.INV(RAND())</f>
        <v/>
      </c>
      <c r="GP3" s="18">
        <f>NORM.S.INV(RAND())</f>
        <v/>
      </c>
      <c r="GQ3" s="18">
        <f>NORM.S.INV(RAND())</f>
        <v/>
      </c>
      <c r="GR3" s="18">
        <f>NORM.S.INV(RAND())</f>
        <v/>
      </c>
      <c r="GS3" s="18">
        <f>NORM.S.INV(RAND())</f>
        <v/>
      </c>
      <c r="GT3" s="18">
        <f>NORM.S.INV(RAND())</f>
        <v/>
      </c>
      <c r="GU3" s="18">
        <f>NORM.S.INV(RAND())</f>
        <v/>
      </c>
      <c r="GV3" s="18">
        <f>NORM.S.INV(RAND())</f>
        <v/>
      </c>
      <c r="GW3" s="18">
        <f>NORM.S.INV(RAND())</f>
        <v/>
      </c>
      <c r="GX3" s="18">
        <f>NORM.S.INV(RAND())</f>
        <v/>
      </c>
      <c r="GY3" s="18">
        <f>NORM.S.INV(RAND())</f>
        <v/>
      </c>
      <c r="GZ3" s="18">
        <f>NORM.S.INV(RAND())</f>
        <v/>
      </c>
      <c r="HA3" s="18">
        <f>NORM.S.INV(RAND())</f>
        <v/>
      </c>
      <c r="HB3" s="18">
        <f>NORM.S.INV(RAND())</f>
        <v/>
      </c>
      <c r="HC3" s="18">
        <f>NORM.S.INV(RAND())</f>
        <v/>
      </c>
      <c r="HD3" s="18">
        <f>NORM.S.INV(RAND())</f>
        <v/>
      </c>
      <c r="HE3" s="18">
        <f>NORM.S.INV(RAND())</f>
        <v/>
      </c>
      <c r="HF3" s="18">
        <f>NORM.S.INV(RAND())</f>
        <v/>
      </c>
      <c r="HG3" s="18">
        <f>NORM.S.INV(RAND())</f>
        <v/>
      </c>
      <c r="HH3" s="18">
        <f>NORM.S.INV(RAND())</f>
        <v/>
      </c>
      <c r="HI3" s="18">
        <f>NORM.S.INV(RAND())</f>
        <v/>
      </c>
      <c r="HJ3" s="18">
        <f>NORM.S.INV(RAND())</f>
        <v/>
      </c>
      <c r="HK3" s="18">
        <f>NORM.S.INV(RAND())</f>
        <v/>
      </c>
      <c r="HL3" s="18">
        <f>NORM.S.INV(RAND())</f>
        <v/>
      </c>
      <c r="HM3" s="18">
        <f>NORM.S.INV(RAND())</f>
        <v/>
      </c>
      <c r="HN3" s="18">
        <f>NORM.S.INV(RAND())</f>
        <v/>
      </c>
      <c r="HO3" s="18">
        <f>NORM.S.INV(RAND())</f>
        <v/>
      </c>
      <c r="HP3" s="18">
        <f>NORM.S.INV(RAND())</f>
        <v/>
      </c>
      <c r="HQ3" s="18">
        <f>NORM.S.INV(RAND())</f>
        <v/>
      </c>
      <c r="HR3" s="18">
        <f>NORM.S.INV(RAND())</f>
        <v/>
      </c>
      <c r="HS3" s="18">
        <f>NORM.S.INV(RAND())</f>
        <v/>
      </c>
      <c r="HT3" s="18">
        <f>NORM.S.INV(RAND())</f>
        <v/>
      </c>
      <c r="HU3" s="18">
        <f>NORM.S.INV(RAND())</f>
        <v/>
      </c>
      <c r="HV3" s="18">
        <f>NORM.S.INV(RAND())</f>
        <v/>
      </c>
      <c r="HW3" s="18">
        <f>NORM.S.INV(RAND())</f>
        <v/>
      </c>
      <c r="HX3" s="18">
        <f>NORM.S.INV(RAND())</f>
        <v/>
      </c>
      <c r="HY3" s="18">
        <f>NORM.S.INV(RAND())</f>
        <v/>
      </c>
      <c r="HZ3" s="18">
        <f>NORM.S.INV(RAND())</f>
        <v/>
      </c>
      <c r="IA3" s="18">
        <f>NORM.S.INV(RAND())</f>
        <v/>
      </c>
      <c r="IB3" s="18">
        <f>NORM.S.INV(RAND())</f>
        <v/>
      </c>
      <c r="IC3" s="18">
        <f>NORM.S.INV(RAND())</f>
        <v/>
      </c>
      <c r="ID3" s="18">
        <f>NORM.S.INV(RAND())</f>
        <v/>
      </c>
      <c r="IE3" s="18">
        <f>NORM.S.INV(RAND())</f>
        <v/>
      </c>
      <c r="IF3" s="18">
        <f>NORM.S.INV(RAND())</f>
        <v/>
      </c>
      <c r="IG3" s="18">
        <f>NORM.S.INV(RAND())</f>
        <v/>
      </c>
      <c r="IH3" s="18">
        <f>NORM.S.INV(RAND())</f>
        <v/>
      </c>
      <c r="II3" s="18">
        <f>NORM.S.INV(RAND())</f>
        <v/>
      </c>
      <c r="IJ3" s="18">
        <f>NORM.S.INV(RAND())</f>
        <v/>
      </c>
      <c r="IK3" s="18">
        <f>NORM.S.INV(RAND())</f>
        <v/>
      </c>
      <c r="IL3" s="18">
        <f>NORM.S.INV(RAND())</f>
        <v/>
      </c>
      <c r="IM3" s="18">
        <f>NORM.S.INV(RAND())</f>
        <v/>
      </c>
      <c r="IN3" s="18">
        <f>NORM.S.INV(RAND())</f>
        <v/>
      </c>
      <c r="IO3" s="18">
        <f>NORM.S.INV(RAND())</f>
        <v/>
      </c>
      <c r="IP3" s="18">
        <f>NORM.S.INV(RAND())</f>
        <v/>
      </c>
      <c r="IQ3" s="18">
        <f>NORM.S.INV(RAND())</f>
        <v/>
      </c>
      <c r="IR3" s="18">
        <f>NORM.S.INV(RAND())</f>
        <v/>
      </c>
      <c r="IS3" s="18">
        <f>NORM.S.INV(RAND())</f>
        <v/>
      </c>
      <c r="IT3" s="18">
        <f>NORM.S.INV(RAND())</f>
        <v/>
      </c>
      <c r="IU3" s="18">
        <f>NORM.S.INV(RAND())</f>
        <v/>
      </c>
      <c r="IV3" s="18">
        <f>NORM.S.INV(RAND())</f>
        <v/>
      </c>
      <c r="IW3" s="18">
        <f>NORM.S.INV(RAND())</f>
        <v/>
      </c>
      <c r="IX3" s="18">
        <f>NORM.S.INV(RAND())</f>
        <v/>
      </c>
      <c r="IY3" s="18">
        <f>NORM.S.INV(RAND())</f>
        <v/>
      </c>
      <c r="IZ3" s="18">
        <f>NORM.S.INV(RAND())</f>
        <v/>
      </c>
      <c r="JA3" s="18">
        <f>NORM.S.INV(RAND())</f>
        <v/>
      </c>
      <c r="JB3" s="18">
        <f>NORM.S.INV(RAND())</f>
        <v/>
      </c>
      <c r="JC3" s="18">
        <f>NORM.S.INV(RAND())</f>
        <v/>
      </c>
      <c r="JD3" s="18">
        <f>NORM.S.INV(RAND())</f>
        <v/>
      </c>
      <c r="JE3" s="18">
        <f>NORM.S.INV(RAND())</f>
        <v/>
      </c>
      <c r="JF3" s="18">
        <f>NORM.S.INV(RAND())</f>
        <v/>
      </c>
      <c r="JG3" s="18">
        <f>NORM.S.INV(RAND())</f>
        <v/>
      </c>
      <c r="JH3" s="18">
        <f>NORM.S.INV(RAND())</f>
        <v/>
      </c>
      <c r="JI3" s="18">
        <f>NORM.S.INV(RAND())</f>
        <v/>
      </c>
      <c r="JJ3" s="18">
        <f>NORM.S.INV(RAND())</f>
        <v/>
      </c>
      <c r="JK3" s="18">
        <f>NORM.S.INV(RAND())</f>
        <v/>
      </c>
      <c r="JL3" s="18">
        <f>NORM.S.INV(RAND())</f>
        <v/>
      </c>
      <c r="JM3" s="18">
        <f>NORM.S.INV(RAND())</f>
        <v/>
      </c>
      <c r="JN3" s="18">
        <f>NORM.S.INV(RAND())</f>
        <v/>
      </c>
      <c r="JO3" s="18">
        <f>NORM.S.INV(RAND())</f>
        <v/>
      </c>
      <c r="JP3" s="18">
        <f>NORM.S.INV(RAND())</f>
        <v/>
      </c>
      <c r="JQ3" s="18">
        <f>NORM.S.INV(RAND())</f>
        <v/>
      </c>
      <c r="JR3" s="18">
        <f>NORM.S.INV(RAND())</f>
        <v/>
      </c>
      <c r="JS3" s="18">
        <f>NORM.S.INV(RAND())</f>
        <v/>
      </c>
      <c r="JT3" s="18">
        <f>NORM.S.INV(RAND())</f>
        <v/>
      </c>
      <c r="JU3" s="18">
        <f>NORM.S.INV(RAND())</f>
        <v/>
      </c>
      <c r="JV3" s="18">
        <f>NORM.S.INV(RAND())</f>
        <v/>
      </c>
      <c r="JW3" s="18">
        <f>NORM.S.INV(RAND())</f>
        <v/>
      </c>
      <c r="JX3" s="18">
        <f>NORM.S.INV(RAND())</f>
        <v/>
      </c>
      <c r="JY3" s="18">
        <f>NORM.S.INV(RAND())</f>
        <v/>
      </c>
      <c r="JZ3" s="18">
        <f>NORM.S.INV(RAND())</f>
        <v/>
      </c>
      <c r="KA3" s="18">
        <f>NORM.S.INV(RAND())</f>
        <v/>
      </c>
      <c r="KB3" s="18">
        <f>NORM.S.INV(RAND())</f>
        <v/>
      </c>
      <c r="KC3" s="18">
        <f>NORM.S.INV(RAND())</f>
        <v/>
      </c>
      <c r="KD3" s="18">
        <f>NORM.S.INV(RAND())</f>
        <v/>
      </c>
      <c r="KE3" s="18">
        <f>NORM.S.INV(RAND())</f>
        <v/>
      </c>
      <c r="KF3" s="18">
        <f>NORM.S.INV(RAND())</f>
        <v/>
      </c>
      <c r="KG3" s="18">
        <f>NORM.S.INV(RAND())</f>
        <v/>
      </c>
      <c r="KH3" s="18">
        <f>NORM.S.INV(RAND())</f>
        <v/>
      </c>
      <c r="KI3" s="18">
        <f>NORM.S.INV(RAND())</f>
        <v/>
      </c>
      <c r="KJ3" s="18">
        <f>NORM.S.INV(RAND())</f>
        <v/>
      </c>
      <c r="KK3" s="18">
        <f>NORM.S.INV(RAND())</f>
        <v/>
      </c>
      <c r="KL3" s="18">
        <f>NORM.S.INV(RAND())</f>
        <v/>
      </c>
      <c r="KM3" s="18">
        <f>NORM.S.INV(RAND())</f>
        <v/>
      </c>
      <c r="KN3" s="18">
        <f>NORM.S.INV(RAND())</f>
        <v/>
      </c>
      <c r="KO3" s="18">
        <f>NORM.S.INV(RAND())</f>
        <v/>
      </c>
      <c r="KP3" s="18">
        <f>NORM.S.INV(RAND())</f>
        <v/>
      </c>
      <c r="KQ3" s="18">
        <f>NORM.S.INV(RAND())</f>
        <v/>
      </c>
      <c r="KR3" s="18">
        <f>NORM.S.INV(RAND())</f>
        <v/>
      </c>
      <c r="KS3" s="18">
        <f>NORM.S.INV(RAND())</f>
        <v/>
      </c>
      <c r="KT3" s="18">
        <f>NORM.S.INV(RAND())</f>
        <v/>
      </c>
      <c r="KU3" s="18">
        <f>NORM.S.INV(RAND())</f>
        <v/>
      </c>
      <c r="KV3" s="18">
        <f>NORM.S.INV(RAND())</f>
        <v/>
      </c>
      <c r="KW3" s="18">
        <f>NORM.S.INV(RAND())</f>
        <v/>
      </c>
      <c r="KX3" s="18">
        <f>NORM.S.INV(RAND())</f>
        <v/>
      </c>
      <c r="KY3" s="18">
        <f>NORM.S.INV(RAND())</f>
        <v/>
      </c>
      <c r="KZ3" s="18">
        <f>NORM.S.INV(RAND())</f>
        <v/>
      </c>
      <c r="LA3" s="18">
        <f>NORM.S.INV(RAND())</f>
        <v/>
      </c>
      <c r="LB3" s="18">
        <f>NORM.S.INV(RAND())</f>
        <v/>
      </c>
      <c r="LC3" s="18">
        <f>NORM.S.INV(RAND())</f>
        <v/>
      </c>
      <c r="LD3" s="18">
        <f>NORM.S.INV(RAND())</f>
        <v/>
      </c>
      <c r="LE3" s="18">
        <f>NORM.S.INV(RAND())</f>
        <v/>
      </c>
      <c r="LF3" s="18">
        <f>NORM.S.INV(RAND())</f>
        <v/>
      </c>
      <c r="LG3" s="18">
        <f>NORM.S.INV(RAND())</f>
        <v/>
      </c>
      <c r="LH3" s="18">
        <f>NORM.S.INV(RAND())</f>
        <v/>
      </c>
      <c r="LI3" s="18">
        <f>NORM.S.INV(RAND())</f>
        <v/>
      </c>
      <c r="LJ3" s="18">
        <f>NORM.S.INV(RAND())</f>
        <v/>
      </c>
      <c r="LK3" s="18">
        <f>NORM.S.INV(RAND())</f>
        <v/>
      </c>
      <c r="LL3" s="18">
        <f>NORM.S.INV(RAND())</f>
        <v/>
      </c>
      <c r="LM3" s="18">
        <f>NORM.S.INV(RAND())</f>
        <v/>
      </c>
      <c r="LN3" s="18">
        <f>NORM.S.INV(RAND())</f>
        <v/>
      </c>
      <c r="LO3" s="18">
        <f>NORM.S.INV(RAND())</f>
        <v/>
      </c>
      <c r="LP3" s="18">
        <f>NORM.S.INV(RAND())</f>
        <v/>
      </c>
      <c r="LQ3" s="18">
        <f>NORM.S.INV(RAND())</f>
        <v/>
      </c>
      <c r="LR3" s="18">
        <f>NORM.S.INV(RAND())</f>
        <v/>
      </c>
      <c r="LS3" s="18">
        <f>NORM.S.INV(RAND())</f>
        <v/>
      </c>
      <c r="LT3" s="18">
        <f>NORM.S.INV(RAND())</f>
        <v/>
      </c>
      <c r="LU3" s="18">
        <f>NORM.S.INV(RAND())</f>
        <v/>
      </c>
      <c r="LV3" s="18">
        <f>NORM.S.INV(RAND())</f>
        <v/>
      </c>
      <c r="LW3" s="18">
        <f>NORM.S.INV(RAND())</f>
        <v/>
      </c>
      <c r="LX3" s="18">
        <f>NORM.S.INV(RAND())</f>
        <v/>
      </c>
      <c r="LY3" s="18">
        <f>NORM.S.INV(RAND())</f>
        <v/>
      </c>
      <c r="LZ3" s="18">
        <f>NORM.S.INV(RAND())</f>
        <v/>
      </c>
      <c r="MA3" s="18">
        <f>NORM.S.INV(RAND())</f>
        <v/>
      </c>
      <c r="MB3" s="18">
        <f>NORM.S.INV(RAND())</f>
        <v/>
      </c>
      <c r="MC3" s="18">
        <f>NORM.S.INV(RAND())</f>
        <v/>
      </c>
      <c r="MD3" s="18">
        <f>NORM.S.INV(RAND())</f>
        <v/>
      </c>
      <c r="ME3" s="18">
        <f>NORM.S.INV(RAND())</f>
        <v/>
      </c>
      <c r="MF3" s="18">
        <f>NORM.S.INV(RAND())</f>
        <v/>
      </c>
      <c r="MG3" s="18">
        <f>NORM.S.INV(RAND())</f>
        <v/>
      </c>
      <c r="MH3" s="18">
        <f>NORM.S.INV(RAND())</f>
        <v/>
      </c>
      <c r="MI3" s="18">
        <f>NORM.S.INV(RAND())</f>
        <v/>
      </c>
      <c r="MJ3" s="18">
        <f>NORM.S.INV(RAND())</f>
        <v/>
      </c>
      <c r="MK3" s="18">
        <f>NORM.S.INV(RAND())</f>
        <v/>
      </c>
      <c r="ML3" s="18">
        <f>NORM.S.INV(RAND())</f>
        <v/>
      </c>
      <c r="MM3" s="18">
        <f>NORM.S.INV(RAND())</f>
        <v/>
      </c>
      <c r="MN3" s="18">
        <f>NORM.S.INV(RAND())</f>
        <v/>
      </c>
      <c r="MO3" s="18">
        <f>NORM.S.INV(RAND())</f>
        <v/>
      </c>
      <c r="MP3" s="18">
        <f>NORM.S.INV(RAND())</f>
        <v/>
      </c>
      <c r="MQ3" s="18">
        <f>NORM.S.INV(RAND())</f>
        <v/>
      </c>
      <c r="MR3" s="18">
        <f>NORM.S.INV(RAND())</f>
        <v/>
      </c>
      <c r="MS3" s="18">
        <f>NORM.S.INV(RAND())</f>
        <v/>
      </c>
      <c r="MT3" s="18">
        <f>NORM.S.INV(RAND())</f>
        <v/>
      </c>
      <c r="MU3" s="18">
        <f>NORM.S.INV(RAND())</f>
        <v/>
      </c>
      <c r="MV3" s="18">
        <f>NORM.S.INV(RAND())</f>
        <v/>
      </c>
      <c r="MW3" s="18">
        <f>NORM.S.INV(RAND())</f>
        <v/>
      </c>
      <c r="MX3" s="18">
        <f>NORM.S.INV(RAND())</f>
        <v/>
      </c>
      <c r="MY3" s="18">
        <f>NORM.S.INV(RAND())</f>
        <v/>
      </c>
      <c r="MZ3" s="18">
        <f>NORM.S.INV(RAND())</f>
        <v/>
      </c>
      <c r="NA3" s="18">
        <f>NORM.S.INV(RAND())</f>
        <v/>
      </c>
      <c r="NB3" s="18">
        <f>NORM.S.INV(RAND())</f>
        <v/>
      </c>
      <c r="NC3" s="18">
        <f>NORM.S.INV(RAND())</f>
        <v/>
      </c>
      <c r="ND3" s="18">
        <f>NORM.S.INV(RAND())</f>
        <v/>
      </c>
      <c r="NE3" s="18">
        <f>NORM.S.INV(RAND())</f>
        <v/>
      </c>
      <c r="NF3" s="18">
        <f>NORM.S.INV(RAND())</f>
        <v/>
      </c>
      <c r="NG3" s="18">
        <f>NORM.S.INV(RAND())</f>
        <v/>
      </c>
      <c r="NH3" s="18">
        <f>NORM.S.INV(RAND())</f>
        <v/>
      </c>
      <c r="NI3" s="18">
        <f>NORM.S.INV(RAND())</f>
        <v/>
      </c>
      <c r="NJ3" s="18">
        <f>NORM.S.INV(RAND())</f>
        <v/>
      </c>
      <c r="NK3" s="18">
        <f>NORM.S.INV(RAND())</f>
        <v/>
      </c>
      <c r="NL3" s="18">
        <f>NORM.S.INV(RAND())</f>
        <v/>
      </c>
      <c r="NM3" s="18">
        <f>NORM.S.INV(RAND())</f>
        <v/>
      </c>
      <c r="NN3" s="18">
        <f>NORM.S.INV(RAND())</f>
        <v/>
      </c>
      <c r="NO3" s="18">
        <f>NORM.S.INV(RAND())</f>
        <v/>
      </c>
      <c r="NP3" s="18">
        <f>NORM.S.INV(RAND())</f>
        <v/>
      </c>
      <c r="NQ3" s="18">
        <f>NORM.S.INV(RAND())</f>
        <v/>
      </c>
      <c r="NR3" s="18">
        <f>NORM.S.INV(RAND())</f>
        <v/>
      </c>
      <c r="NS3" s="18">
        <f>NORM.S.INV(RAND())</f>
        <v/>
      </c>
      <c r="NT3" s="18">
        <f>NORM.S.INV(RAND())</f>
        <v/>
      </c>
      <c r="NU3" s="18">
        <f>NORM.S.INV(RAND())</f>
        <v/>
      </c>
      <c r="NV3" s="18">
        <f>NORM.S.INV(RAND())</f>
        <v/>
      </c>
      <c r="NW3" s="18">
        <f>NORM.S.INV(RAND())</f>
        <v/>
      </c>
      <c r="NX3" s="18">
        <f>NORM.S.INV(RAND())</f>
        <v/>
      </c>
      <c r="NY3" s="18">
        <f>NORM.S.INV(RAND())</f>
        <v/>
      </c>
      <c r="NZ3" s="18">
        <f>NORM.S.INV(RAND())</f>
        <v/>
      </c>
      <c r="OA3" s="18">
        <f>NORM.S.INV(RAND())</f>
        <v/>
      </c>
      <c r="OB3" s="18">
        <f>NORM.S.INV(RAND())</f>
        <v/>
      </c>
      <c r="OC3" s="18">
        <f>NORM.S.INV(RAND())</f>
        <v/>
      </c>
      <c r="OD3" s="18">
        <f>NORM.S.INV(RAND())</f>
        <v/>
      </c>
      <c r="OE3" s="18">
        <f>NORM.S.INV(RAND())</f>
        <v/>
      </c>
      <c r="OF3" s="18">
        <f>NORM.S.INV(RAND())</f>
        <v/>
      </c>
      <c r="OG3" s="18">
        <f>NORM.S.INV(RAND())</f>
        <v/>
      </c>
      <c r="OH3" s="18">
        <f>NORM.S.INV(RAND())</f>
        <v/>
      </c>
      <c r="OI3" s="18">
        <f>NORM.S.INV(RAND())</f>
        <v/>
      </c>
      <c r="OJ3" s="18">
        <f>NORM.S.INV(RAND())</f>
        <v/>
      </c>
      <c r="OK3" s="18">
        <f>NORM.S.INV(RAND())</f>
        <v/>
      </c>
      <c r="OL3" s="18">
        <f>NORM.S.INV(RAND())</f>
        <v/>
      </c>
      <c r="OM3" s="18">
        <f>NORM.S.INV(RAND())</f>
        <v/>
      </c>
      <c r="ON3" s="18">
        <f>NORM.S.INV(RAND())</f>
        <v/>
      </c>
      <c r="OO3" s="18">
        <f>NORM.S.INV(RAND())</f>
        <v/>
      </c>
      <c r="OP3" s="18">
        <f>NORM.S.INV(RAND())</f>
        <v/>
      </c>
      <c r="OQ3" s="18">
        <f>NORM.S.INV(RAND())</f>
        <v/>
      </c>
      <c r="OR3" s="18">
        <f>NORM.S.INV(RAND())</f>
        <v/>
      </c>
      <c r="OS3" s="18">
        <f>NORM.S.INV(RAND())</f>
        <v/>
      </c>
      <c r="OT3" s="18">
        <f>NORM.S.INV(RAND())</f>
        <v/>
      </c>
      <c r="OU3" s="18">
        <f>NORM.S.INV(RAND())</f>
        <v/>
      </c>
      <c r="OV3" s="18">
        <f>NORM.S.INV(RAND())</f>
        <v/>
      </c>
      <c r="OW3" s="18">
        <f>NORM.S.INV(RAND())</f>
        <v/>
      </c>
      <c r="OX3" s="18">
        <f>NORM.S.INV(RAND())</f>
        <v/>
      </c>
      <c r="OY3" s="18">
        <f>NORM.S.INV(RAND())</f>
        <v/>
      </c>
      <c r="OZ3" s="18">
        <f>NORM.S.INV(RAND())</f>
        <v/>
      </c>
      <c r="PA3" s="18">
        <f>NORM.S.INV(RAND())</f>
        <v/>
      </c>
      <c r="PB3" s="18">
        <f>NORM.S.INV(RAND())</f>
        <v/>
      </c>
      <c r="PC3" s="18">
        <f>NORM.S.INV(RAND())</f>
        <v/>
      </c>
      <c r="PD3" s="18">
        <f>NORM.S.INV(RAND())</f>
        <v/>
      </c>
      <c r="PE3" s="18">
        <f>NORM.S.INV(RAND())</f>
        <v/>
      </c>
      <c r="PF3" s="18">
        <f>NORM.S.INV(RAND())</f>
        <v/>
      </c>
      <c r="PG3" s="18">
        <f>NORM.S.INV(RAND())</f>
        <v/>
      </c>
      <c r="PH3" s="18">
        <f>NORM.S.INV(RAND())</f>
        <v/>
      </c>
      <c r="PI3" s="18">
        <f>NORM.S.INV(RAND())</f>
        <v/>
      </c>
      <c r="PJ3" s="18">
        <f>NORM.S.INV(RAND())</f>
        <v/>
      </c>
      <c r="PK3" s="18">
        <f>NORM.S.INV(RAND())</f>
        <v/>
      </c>
      <c r="PL3" s="18">
        <f>NORM.S.INV(RAND())</f>
        <v/>
      </c>
      <c r="PM3" s="18">
        <f>NORM.S.INV(RAND())</f>
        <v/>
      </c>
      <c r="PN3" s="18">
        <f>NORM.S.INV(RAND())</f>
        <v/>
      </c>
      <c r="PO3" s="18">
        <f>NORM.S.INV(RAND())</f>
        <v/>
      </c>
      <c r="PP3" s="18">
        <f>NORM.S.INV(RAND())</f>
        <v/>
      </c>
      <c r="PQ3" s="18">
        <f>NORM.S.INV(RAND())</f>
        <v/>
      </c>
      <c r="PR3" s="18">
        <f>NORM.S.INV(RAND())</f>
        <v/>
      </c>
      <c r="PS3" s="18">
        <f>NORM.S.INV(RAND())</f>
        <v/>
      </c>
      <c r="PT3" s="18">
        <f>NORM.S.INV(RAND())</f>
        <v/>
      </c>
      <c r="PU3" s="18">
        <f>NORM.S.INV(RAND())</f>
        <v/>
      </c>
      <c r="PV3" s="18">
        <f>NORM.S.INV(RAND())</f>
        <v/>
      </c>
      <c r="PW3" s="18">
        <f>NORM.S.INV(RAND())</f>
        <v/>
      </c>
      <c r="PX3" s="18">
        <f>NORM.S.INV(RAND())</f>
        <v/>
      </c>
      <c r="PY3" s="18">
        <f>NORM.S.INV(RAND())</f>
        <v/>
      </c>
      <c r="PZ3" s="18">
        <f>NORM.S.INV(RAND())</f>
        <v/>
      </c>
      <c r="QA3" s="18">
        <f>NORM.S.INV(RAND())</f>
        <v/>
      </c>
      <c r="QB3" s="18">
        <f>NORM.S.INV(RAND())</f>
        <v/>
      </c>
      <c r="QC3" s="18">
        <f>NORM.S.INV(RAND())</f>
        <v/>
      </c>
      <c r="QD3" s="18">
        <f>NORM.S.INV(RAND())</f>
        <v/>
      </c>
      <c r="QE3" s="18">
        <f>NORM.S.INV(RAND())</f>
        <v/>
      </c>
      <c r="QF3" s="18">
        <f>NORM.S.INV(RAND())</f>
        <v/>
      </c>
      <c r="QG3" s="18">
        <f>NORM.S.INV(RAND())</f>
        <v/>
      </c>
      <c r="QH3" s="18">
        <f>NORM.S.INV(RAND())</f>
        <v/>
      </c>
      <c r="QI3" s="18">
        <f>NORM.S.INV(RAND())</f>
        <v/>
      </c>
      <c r="QJ3" s="18">
        <f>NORM.S.INV(RAND())</f>
        <v/>
      </c>
      <c r="QK3" s="18">
        <f>NORM.S.INV(RAND())</f>
        <v/>
      </c>
      <c r="QL3" s="18">
        <f>NORM.S.INV(RAND())</f>
        <v/>
      </c>
      <c r="QM3" s="18">
        <f>NORM.S.INV(RAND())</f>
        <v/>
      </c>
      <c r="QN3" s="18">
        <f>NORM.S.INV(RAND())</f>
        <v/>
      </c>
      <c r="QO3" s="18">
        <f>NORM.S.INV(RAND())</f>
        <v/>
      </c>
      <c r="QP3" s="18">
        <f>NORM.S.INV(RAND())</f>
        <v/>
      </c>
      <c r="QQ3" s="18">
        <f>NORM.S.INV(RAND())</f>
        <v/>
      </c>
      <c r="QR3" s="18">
        <f>NORM.S.INV(RAND())</f>
        <v/>
      </c>
      <c r="QS3" s="18">
        <f>NORM.S.INV(RAND())</f>
        <v/>
      </c>
      <c r="QT3" s="18">
        <f>NORM.S.INV(RAND())</f>
        <v/>
      </c>
      <c r="QU3" s="18">
        <f>NORM.S.INV(RAND())</f>
        <v/>
      </c>
      <c r="QV3" s="18">
        <f>NORM.S.INV(RAND())</f>
        <v/>
      </c>
      <c r="QW3" s="18">
        <f>NORM.S.INV(RAND())</f>
        <v/>
      </c>
      <c r="QX3" s="18">
        <f>NORM.S.INV(RAND())</f>
        <v/>
      </c>
      <c r="QY3" s="18">
        <f>NORM.S.INV(RAND())</f>
        <v/>
      </c>
      <c r="QZ3" s="18">
        <f>NORM.S.INV(RAND())</f>
        <v/>
      </c>
      <c r="RA3" s="18">
        <f>NORM.S.INV(RAND())</f>
        <v/>
      </c>
      <c r="RB3" s="18">
        <f>NORM.S.INV(RAND())</f>
        <v/>
      </c>
      <c r="RC3" s="18">
        <f>NORM.S.INV(RAND())</f>
        <v/>
      </c>
      <c r="RD3" s="18">
        <f>NORM.S.INV(RAND())</f>
        <v/>
      </c>
      <c r="RE3" s="18">
        <f>NORM.S.INV(RAND())</f>
        <v/>
      </c>
      <c r="RF3" s="18">
        <f>NORM.S.INV(RAND())</f>
        <v/>
      </c>
      <c r="RG3" s="18">
        <f>NORM.S.INV(RAND())</f>
        <v/>
      </c>
      <c r="RH3" s="18">
        <f>NORM.S.INV(RAND())</f>
        <v/>
      </c>
      <c r="RI3" s="18">
        <f>NORM.S.INV(RAND())</f>
        <v/>
      </c>
      <c r="RJ3" s="18">
        <f>NORM.S.INV(RAND())</f>
        <v/>
      </c>
      <c r="RK3" s="18">
        <f>NORM.S.INV(RAND())</f>
        <v/>
      </c>
      <c r="RL3" s="18">
        <f>NORM.S.INV(RAND())</f>
        <v/>
      </c>
      <c r="RM3" s="18">
        <f>NORM.S.INV(RAND())</f>
        <v/>
      </c>
      <c r="RN3" s="18">
        <f>NORM.S.INV(RAND())</f>
        <v/>
      </c>
      <c r="RO3" s="18">
        <f>NORM.S.INV(RAND())</f>
        <v/>
      </c>
      <c r="RP3" s="18">
        <f>NORM.S.INV(RAND())</f>
        <v/>
      </c>
      <c r="RQ3" s="18">
        <f>NORM.S.INV(RAND())</f>
        <v/>
      </c>
      <c r="RR3" s="18">
        <f>NORM.S.INV(RAND())</f>
        <v/>
      </c>
      <c r="RS3" s="18">
        <f>NORM.S.INV(RAND())</f>
        <v/>
      </c>
      <c r="RT3" s="18">
        <f>NORM.S.INV(RAND())</f>
        <v/>
      </c>
      <c r="RU3" s="18">
        <f>NORM.S.INV(RAND())</f>
        <v/>
      </c>
      <c r="RV3" s="18">
        <f>NORM.S.INV(RAND())</f>
        <v/>
      </c>
      <c r="RW3" s="18">
        <f>NORM.S.INV(RAND())</f>
        <v/>
      </c>
      <c r="RX3" s="18">
        <f>NORM.S.INV(RAND())</f>
        <v/>
      </c>
      <c r="RY3" s="18">
        <f>NORM.S.INV(RAND())</f>
        <v/>
      </c>
      <c r="RZ3" s="18">
        <f>NORM.S.INV(RAND())</f>
        <v/>
      </c>
      <c r="SA3" s="18">
        <f>NORM.S.INV(RAND())</f>
        <v/>
      </c>
      <c r="SB3" s="18">
        <f>NORM.S.INV(RAND())</f>
        <v/>
      </c>
      <c r="SC3" s="18">
        <f>NORM.S.INV(RAND())</f>
        <v/>
      </c>
      <c r="SD3" s="18">
        <f>NORM.S.INV(RAND())</f>
        <v/>
      </c>
      <c r="SE3" s="18">
        <f>NORM.S.INV(RAND())</f>
        <v/>
      </c>
      <c r="SF3" s="18">
        <f>NORM.S.INV(RAND())</f>
        <v/>
      </c>
      <c r="SG3" s="18">
        <f>NORM.S.INV(RAND())</f>
        <v/>
      </c>
    </row>
    <row r="4">
      <c r="A4" s="17" t="inlineStr">
        <is>
          <t>Region: Americas</t>
        </is>
      </c>
      <c r="B4" s="18">
        <f>NORM.S.INV(RAND())</f>
        <v/>
      </c>
      <c r="C4" s="18">
        <f>NORM.S.INV(RAND())</f>
        <v/>
      </c>
      <c r="D4" s="18">
        <f>NORM.S.INV(RAND())</f>
        <v/>
      </c>
      <c r="E4" s="18">
        <f>NORM.S.INV(RAND())</f>
        <v/>
      </c>
      <c r="F4" s="18">
        <f>NORM.S.INV(RAND())</f>
        <v/>
      </c>
      <c r="G4" s="18">
        <f>NORM.S.INV(RAND())</f>
        <v/>
      </c>
      <c r="H4" s="18">
        <f>NORM.S.INV(RAND())</f>
        <v/>
      </c>
      <c r="I4" s="18">
        <f>NORM.S.INV(RAND())</f>
        <v/>
      </c>
      <c r="J4" s="18">
        <f>NORM.S.INV(RAND())</f>
        <v/>
      </c>
      <c r="K4" s="18">
        <f>NORM.S.INV(RAND())</f>
        <v/>
      </c>
      <c r="L4" s="18">
        <f>NORM.S.INV(RAND())</f>
        <v/>
      </c>
      <c r="M4" s="18">
        <f>NORM.S.INV(RAND())</f>
        <v/>
      </c>
      <c r="N4" s="18">
        <f>NORM.S.INV(RAND())</f>
        <v/>
      </c>
      <c r="O4" s="18">
        <f>NORM.S.INV(RAND())</f>
        <v/>
      </c>
      <c r="P4" s="18">
        <f>NORM.S.INV(RAND())</f>
        <v/>
      </c>
      <c r="Q4" s="18">
        <f>NORM.S.INV(RAND())</f>
        <v/>
      </c>
      <c r="R4" s="18">
        <f>NORM.S.INV(RAND())</f>
        <v/>
      </c>
      <c r="S4" s="18">
        <f>NORM.S.INV(RAND())</f>
        <v/>
      </c>
      <c r="T4" s="18">
        <f>NORM.S.INV(RAND())</f>
        <v/>
      </c>
      <c r="U4" s="18">
        <f>NORM.S.INV(RAND())</f>
        <v/>
      </c>
      <c r="V4" s="18">
        <f>NORM.S.INV(RAND())</f>
        <v/>
      </c>
      <c r="W4" s="18">
        <f>NORM.S.INV(RAND())</f>
        <v/>
      </c>
      <c r="X4" s="18">
        <f>NORM.S.INV(RAND())</f>
        <v/>
      </c>
      <c r="Y4" s="18">
        <f>NORM.S.INV(RAND())</f>
        <v/>
      </c>
      <c r="Z4" s="18">
        <f>NORM.S.INV(RAND())</f>
        <v/>
      </c>
      <c r="AA4" s="18">
        <f>NORM.S.INV(RAND())</f>
        <v/>
      </c>
      <c r="AB4" s="18">
        <f>NORM.S.INV(RAND())</f>
        <v/>
      </c>
      <c r="AC4" s="18">
        <f>NORM.S.INV(RAND())</f>
        <v/>
      </c>
      <c r="AD4" s="18">
        <f>NORM.S.INV(RAND())</f>
        <v/>
      </c>
      <c r="AE4" s="18">
        <f>NORM.S.INV(RAND())</f>
        <v/>
      </c>
      <c r="AF4" s="18">
        <f>NORM.S.INV(RAND())</f>
        <v/>
      </c>
      <c r="AG4" s="18">
        <f>NORM.S.INV(RAND())</f>
        <v/>
      </c>
      <c r="AH4" s="18">
        <f>NORM.S.INV(RAND())</f>
        <v/>
      </c>
      <c r="AI4" s="18">
        <f>NORM.S.INV(RAND())</f>
        <v/>
      </c>
      <c r="AJ4" s="18">
        <f>NORM.S.INV(RAND())</f>
        <v/>
      </c>
      <c r="AK4" s="18">
        <f>NORM.S.INV(RAND())</f>
        <v/>
      </c>
      <c r="AL4" s="18">
        <f>NORM.S.INV(RAND())</f>
        <v/>
      </c>
      <c r="AM4" s="18">
        <f>NORM.S.INV(RAND())</f>
        <v/>
      </c>
      <c r="AN4" s="18">
        <f>NORM.S.INV(RAND())</f>
        <v/>
      </c>
      <c r="AO4" s="18">
        <f>NORM.S.INV(RAND())</f>
        <v/>
      </c>
      <c r="AP4" s="18">
        <f>NORM.S.INV(RAND())</f>
        <v/>
      </c>
      <c r="AQ4" s="18">
        <f>NORM.S.INV(RAND())</f>
        <v/>
      </c>
      <c r="AR4" s="18">
        <f>NORM.S.INV(RAND())</f>
        <v/>
      </c>
      <c r="AS4" s="18">
        <f>NORM.S.INV(RAND())</f>
        <v/>
      </c>
      <c r="AT4" s="18">
        <f>NORM.S.INV(RAND())</f>
        <v/>
      </c>
      <c r="AU4" s="18">
        <f>NORM.S.INV(RAND())</f>
        <v/>
      </c>
      <c r="AV4" s="18">
        <f>NORM.S.INV(RAND())</f>
        <v/>
      </c>
      <c r="AW4" s="18">
        <f>NORM.S.INV(RAND())</f>
        <v/>
      </c>
      <c r="AX4" s="18">
        <f>NORM.S.INV(RAND())</f>
        <v/>
      </c>
      <c r="AY4" s="18">
        <f>NORM.S.INV(RAND())</f>
        <v/>
      </c>
      <c r="AZ4" s="18">
        <f>NORM.S.INV(RAND())</f>
        <v/>
      </c>
      <c r="BA4" s="18">
        <f>NORM.S.INV(RAND())</f>
        <v/>
      </c>
      <c r="BB4" s="18">
        <f>NORM.S.INV(RAND())</f>
        <v/>
      </c>
      <c r="BC4" s="18">
        <f>NORM.S.INV(RAND())</f>
        <v/>
      </c>
      <c r="BD4" s="18">
        <f>NORM.S.INV(RAND())</f>
        <v/>
      </c>
      <c r="BE4" s="18">
        <f>NORM.S.INV(RAND())</f>
        <v/>
      </c>
      <c r="BF4" s="18">
        <f>NORM.S.INV(RAND())</f>
        <v/>
      </c>
      <c r="BG4" s="18">
        <f>NORM.S.INV(RAND())</f>
        <v/>
      </c>
      <c r="BH4" s="18">
        <f>NORM.S.INV(RAND())</f>
        <v/>
      </c>
      <c r="BI4" s="18">
        <f>NORM.S.INV(RAND())</f>
        <v/>
      </c>
      <c r="BJ4" s="18">
        <f>NORM.S.INV(RAND())</f>
        <v/>
      </c>
      <c r="BK4" s="18">
        <f>NORM.S.INV(RAND())</f>
        <v/>
      </c>
      <c r="BL4" s="18">
        <f>NORM.S.INV(RAND())</f>
        <v/>
      </c>
      <c r="BM4" s="18">
        <f>NORM.S.INV(RAND())</f>
        <v/>
      </c>
      <c r="BN4" s="18">
        <f>NORM.S.INV(RAND())</f>
        <v/>
      </c>
      <c r="BO4" s="18">
        <f>NORM.S.INV(RAND())</f>
        <v/>
      </c>
      <c r="BP4" s="18">
        <f>NORM.S.INV(RAND())</f>
        <v/>
      </c>
      <c r="BQ4" s="18">
        <f>NORM.S.INV(RAND())</f>
        <v/>
      </c>
      <c r="BR4" s="18">
        <f>NORM.S.INV(RAND())</f>
        <v/>
      </c>
      <c r="BS4" s="18">
        <f>NORM.S.INV(RAND())</f>
        <v/>
      </c>
      <c r="BT4" s="18">
        <f>NORM.S.INV(RAND())</f>
        <v/>
      </c>
      <c r="BU4" s="18">
        <f>NORM.S.INV(RAND())</f>
        <v/>
      </c>
      <c r="BV4" s="18">
        <f>NORM.S.INV(RAND())</f>
        <v/>
      </c>
      <c r="BW4" s="18">
        <f>NORM.S.INV(RAND())</f>
        <v/>
      </c>
      <c r="BX4" s="18">
        <f>NORM.S.INV(RAND())</f>
        <v/>
      </c>
      <c r="BY4" s="18">
        <f>NORM.S.INV(RAND())</f>
        <v/>
      </c>
      <c r="BZ4" s="18">
        <f>NORM.S.INV(RAND())</f>
        <v/>
      </c>
      <c r="CA4" s="18">
        <f>NORM.S.INV(RAND())</f>
        <v/>
      </c>
      <c r="CB4" s="18">
        <f>NORM.S.INV(RAND())</f>
        <v/>
      </c>
      <c r="CC4" s="18">
        <f>NORM.S.INV(RAND())</f>
        <v/>
      </c>
      <c r="CD4" s="18">
        <f>NORM.S.INV(RAND())</f>
        <v/>
      </c>
      <c r="CE4" s="18">
        <f>NORM.S.INV(RAND())</f>
        <v/>
      </c>
      <c r="CF4" s="18">
        <f>NORM.S.INV(RAND())</f>
        <v/>
      </c>
      <c r="CG4" s="18">
        <f>NORM.S.INV(RAND())</f>
        <v/>
      </c>
      <c r="CH4" s="18">
        <f>NORM.S.INV(RAND())</f>
        <v/>
      </c>
      <c r="CI4" s="18">
        <f>NORM.S.INV(RAND())</f>
        <v/>
      </c>
      <c r="CJ4" s="18">
        <f>NORM.S.INV(RAND())</f>
        <v/>
      </c>
      <c r="CK4" s="18">
        <f>NORM.S.INV(RAND())</f>
        <v/>
      </c>
      <c r="CL4" s="18">
        <f>NORM.S.INV(RAND())</f>
        <v/>
      </c>
      <c r="CM4" s="18">
        <f>NORM.S.INV(RAND())</f>
        <v/>
      </c>
      <c r="CN4" s="18">
        <f>NORM.S.INV(RAND())</f>
        <v/>
      </c>
      <c r="CO4" s="18">
        <f>NORM.S.INV(RAND())</f>
        <v/>
      </c>
      <c r="CP4" s="18">
        <f>NORM.S.INV(RAND())</f>
        <v/>
      </c>
      <c r="CQ4" s="18">
        <f>NORM.S.INV(RAND())</f>
        <v/>
      </c>
      <c r="CR4" s="18">
        <f>NORM.S.INV(RAND())</f>
        <v/>
      </c>
      <c r="CS4" s="18">
        <f>NORM.S.INV(RAND())</f>
        <v/>
      </c>
      <c r="CT4" s="18">
        <f>NORM.S.INV(RAND())</f>
        <v/>
      </c>
      <c r="CU4" s="18">
        <f>NORM.S.INV(RAND())</f>
        <v/>
      </c>
      <c r="CV4" s="18">
        <f>NORM.S.INV(RAND())</f>
        <v/>
      </c>
      <c r="CW4" s="18">
        <f>NORM.S.INV(RAND())</f>
        <v/>
      </c>
      <c r="CX4" s="18">
        <f>NORM.S.INV(RAND())</f>
        <v/>
      </c>
      <c r="CY4" s="18">
        <f>NORM.S.INV(RAND())</f>
        <v/>
      </c>
      <c r="CZ4" s="18">
        <f>NORM.S.INV(RAND())</f>
        <v/>
      </c>
      <c r="DA4" s="18">
        <f>NORM.S.INV(RAND())</f>
        <v/>
      </c>
      <c r="DB4" s="18">
        <f>NORM.S.INV(RAND())</f>
        <v/>
      </c>
      <c r="DC4" s="18">
        <f>NORM.S.INV(RAND())</f>
        <v/>
      </c>
      <c r="DD4" s="18">
        <f>NORM.S.INV(RAND())</f>
        <v/>
      </c>
      <c r="DE4" s="18">
        <f>NORM.S.INV(RAND())</f>
        <v/>
      </c>
      <c r="DF4" s="18">
        <f>NORM.S.INV(RAND())</f>
        <v/>
      </c>
      <c r="DG4" s="18">
        <f>NORM.S.INV(RAND())</f>
        <v/>
      </c>
      <c r="DH4" s="18">
        <f>NORM.S.INV(RAND())</f>
        <v/>
      </c>
      <c r="DI4" s="18">
        <f>NORM.S.INV(RAND())</f>
        <v/>
      </c>
      <c r="DJ4" s="18">
        <f>NORM.S.INV(RAND())</f>
        <v/>
      </c>
      <c r="DK4" s="18">
        <f>NORM.S.INV(RAND())</f>
        <v/>
      </c>
      <c r="DL4" s="18">
        <f>NORM.S.INV(RAND())</f>
        <v/>
      </c>
      <c r="DM4" s="18">
        <f>NORM.S.INV(RAND())</f>
        <v/>
      </c>
      <c r="DN4" s="18">
        <f>NORM.S.INV(RAND())</f>
        <v/>
      </c>
      <c r="DO4" s="18">
        <f>NORM.S.INV(RAND())</f>
        <v/>
      </c>
      <c r="DP4" s="18">
        <f>NORM.S.INV(RAND())</f>
        <v/>
      </c>
      <c r="DQ4" s="18">
        <f>NORM.S.INV(RAND())</f>
        <v/>
      </c>
      <c r="DR4" s="18">
        <f>NORM.S.INV(RAND())</f>
        <v/>
      </c>
      <c r="DS4" s="18">
        <f>NORM.S.INV(RAND())</f>
        <v/>
      </c>
      <c r="DT4" s="18">
        <f>NORM.S.INV(RAND())</f>
        <v/>
      </c>
      <c r="DU4" s="18">
        <f>NORM.S.INV(RAND())</f>
        <v/>
      </c>
      <c r="DV4" s="18">
        <f>NORM.S.INV(RAND())</f>
        <v/>
      </c>
      <c r="DW4" s="18">
        <f>NORM.S.INV(RAND())</f>
        <v/>
      </c>
      <c r="DX4" s="18">
        <f>NORM.S.INV(RAND())</f>
        <v/>
      </c>
      <c r="DY4" s="18">
        <f>NORM.S.INV(RAND())</f>
        <v/>
      </c>
      <c r="DZ4" s="18">
        <f>NORM.S.INV(RAND())</f>
        <v/>
      </c>
      <c r="EA4" s="18">
        <f>NORM.S.INV(RAND())</f>
        <v/>
      </c>
      <c r="EB4" s="18">
        <f>NORM.S.INV(RAND())</f>
        <v/>
      </c>
      <c r="EC4" s="18">
        <f>NORM.S.INV(RAND())</f>
        <v/>
      </c>
      <c r="ED4" s="18">
        <f>NORM.S.INV(RAND())</f>
        <v/>
      </c>
      <c r="EE4" s="18">
        <f>NORM.S.INV(RAND())</f>
        <v/>
      </c>
      <c r="EF4" s="18">
        <f>NORM.S.INV(RAND())</f>
        <v/>
      </c>
      <c r="EG4" s="18">
        <f>NORM.S.INV(RAND())</f>
        <v/>
      </c>
      <c r="EH4" s="18">
        <f>NORM.S.INV(RAND())</f>
        <v/>
      </c>
      <c r="EI4" s="18">
        <f>NORM.S.INV(RAND())</f>
        <v/>
      </c>
      <c r="EJ4" s="18">
        <f>NORM.S.INV(RAND())</f>
        <v/>
      </c>
      <c r="EK4" s="18">
        <f>NORM.S.INV(RAND())</f>
        <v/>
      </c>
      <c r="EL4" s="18">
        <f>NORM.S.INV(RAND())</f>
        <v/>
      </c>
      <c r="EM4" s="18">
        <f>NORM.S.INV(RAND())</f>
        <v/>
      </c>
      <c r="EN4" s="18">
        <f>NORM.S.INV(RAND())</f>
        <v/>
      </c>
      <c r="EO4" s="18">
        <f>NORM.S.INV(RAND())</f>
        <v/>
      </c>
      <c r="EP4" s="18">
        <f>NORM.S.INV(RAND())</f>
        <v/>
      </c>
      <c r="EQ4" s="18">
        <f>NORM.S.INV(RAND())</f>
        <v/>
      </c>
      <c r="ER4" s="18">
        <f>NORM.S.INV(RAND())</f>
        <v/>
      </c>
      <c r="ES4" s="18">
        <f>NORM.S.INV(RAND())</f>
        <v/>
      </c>
      <c r="ET4" s="18">
        <f>NORM.S.INV(RAND())</f>
        <v/>
      </c>
      <c r="EU4" s="18">
        <f>NORM.S.INV(RAND())</f>
        <v/>
      </c>
      <c r="EV4" s="18">
        <f>NORM.S.INV(RAND())</f>
        <v/>
      </c>
      <c r="EW4" s="18">
        <f>NORM.S.INV(RAND())</f>
        <v/>
      </c>
      <c r="EX4" s="18">
        <f>NORM.S.INV(RAND())</f>
        <v/>
      </c>
      <c r="EY4" s="18">
        <f>NORM.S.INV(RAND())</f>
        <v/>
      </c>
      <c r="EZ4" s="18">
        <f>NORM.S.INV(RAND())</f>
        <v/>
      </c>
      <c r="FA4" s="18">
        <f>NORM.S.INV(RAND())</f>
        <v/>
      </c>
      <c r="FB4" s="18">
        <f>NORM.S.INV(RAND())</f>
        <v/>
      </c>
      <c r="FC4" s="18">
        <f>NORM.S.INV(RAND())</f>
        <v/>
      </c>
      <c r="FD4" s="18">
        <f>NORM.S.INV(RAND())</f>
        <v/>
      </c>
      <c r="FE4" s="18">
        <f>NORM.S.INV(RAND())</f>
        <v/>
      </c>
      <c r="FF4" s="18">
        <f>NORM.S.INV(RAND())</f>
        <v/>
      </c>
      <c r="FG4" s="18">
        <f>NORM.S.INV(RAND())</f>
        <v/>
      </c>
      <c r="FH4" s="18">
        <f>NORM.S.INV(RAND())</f>
        <v/>
      </c>
      <c r="FI4" s="18">
        <f>NORM.S.INV(RAND())</f>
        <v/>
      </c>
      <c r="FJ4" s="18">
        <f>NORM.S.INV(RAND())</f>
        <v/>
      </c>
      <c r="FK4" s="18">
        <f>NORM.S.INV(RAND())</f>
        <v/>
      </c>
      <c r="FL4" s="18">
        <f>NORM.S.INV(RAND())</f>
        <v/>
      </c>
      <c r="FM4" s="18">
        <f>NORM.S.INV(RAND())</f>
        <v/>
      </c>
      <c r="FN4" s="18">
        <f>NORM.S.INV(RAND())</f>
        <v/>
      </c>
      <c r="FO4" s="18">
        <f>NORM.S.INV(RAND())</f>
        <v/>
      </c>
      <c r="FP4" s="18">
        <f>NORM.S.INV(RAND())</f>
        <v/>
      </c>
      <c r="FQ4" s="18">
        <f>NORM.S.INV(RAND())</f>
        <v/>
      </c>
      <c r="FR4" s="18">
        <f>NORM.S.INV(RAND())</f>
        <v/>
      </c>
      <c r="FS4" s="18">
        <f>NORM.S.INV(RAND())</f>
        <v/>
      </c>
      <c r="FT4" s="18">
        <f>NORM.S.INV(RAND())</f>
        <v/>
      </c>
      <c r="FU4" s="18">
        <f>NORM.S.INV(RAND())</f>
        <v/>
      </c>
      <c r="FV4" s="18">
        <f>NORM.S.INV(RAND())</f>
        <v/>
      </c>
      <c r="FW4" s="18">
        <f>NORM.S.INV(RAND())</f>
        <v/>
      </c>
      <c r="FX4" s="18">
        <f>NORM.S.INV(RAND())</f>
        <v/>
      </c>
      <c r="FY4" s="18">
        <f>NORM.S.INV(RAND())</f>
        <v/>
      </c>
      <c r="FZ4" s="18">
        <f>NORM.S.INV(RAND())</f>
        <v/>
      </c>
      <c r="GA4" s="18">
        <f>NORM.S.INV(RAND())</f>
        <v/>
      </c>
      <c r="GB4" s="18">
        <f>NORM.S.INV(RAND())</f>
        <v/>
      </c>
      <c r="GC4" s="18">
        <f>NORM.S.INV(RAND())</f>
        <v/>
      </c>
      <c r="GD4" s="18">
        <f>NORM.S.INV(RAND())</f>
        <v/>
      </c>
      <c r="GE4" s="18">
        <f>NORM.S.INV(RAND())</f>
        <v/>
      </c>
      <c r="GF4" s="18">
        <f>NORM.S.INV(RAND())</f>
        <v/>
      </c>
      <c r="GG4" s="18">
        <f>NORM.S.INV(RAND())</f>
        <v/>
      </c>
      <c r="GH4" s="18">
        <f>NORM.S.INV(RAND())</f>
        <v/>
      </c>
      <c r="GI4" s="18">
        <f>NORM.S.INV(RAND())</f>
        <v/>
      </c>
      <c r="GJ4" s="18">
        <f>NORM.S.INV(RAND())</f>
        <v/>
      </c>
      <c r="GK4" s="18">
        <f>NORM.S.INV(RAND())</f>
        <v/>
      </c>
      <c r="GL4" s="18">
        <f>NORM.S.INV(RAND())</f>
        <v/>
      </c>
      <c r="GM4" s="18">
        <f>NORM.S.INV(RAND())</f>
        <v/>
      </c>
      <c r="GN4" s="18">
        <f>NORM.S.INV(RAND())</f>
        <v/>
      </c>
      <c r="GO4" s="18">
        <f>NORM.S.INV(RAND())</f>
        <v/>
      </c>
      <c r="GP4" s="18">
        <f>NORM.S.INV(RAND())</f>
        <v/>
      </c>
      <c r="GQ4" s="18">
        <f>NORM.S.INV(RAND())</f>
        <v/>
      </c>
      <c r="GR4" s="18">
        <f>NORM.S.INV(RAND())</f>
        <v/>
      </c>
      <c r="GS4" s="18">
        <f>NORM.S.INV(RAND())</f>
        <v/>
      </c>
      <c r="GT4" s="18">
        <f>NORM.S.INV(RAND())</f>
        <v/>
      </c>
      <c r="GU4" s="18">
        <f>NORM.S.INV(RAND())</f>
        <v/>
      </c>
      <c r="GV4" s="18">
        <f>NORM.S.INV(RAND())</f>
        <v/>
      </c>
      <c r="GW4" s="18">
        <f>NORM.S.INV(RAND())</f>
        <v/>
      </c>
      <c r="GX4" s="18">
        <f>NORM.S.INV(RAND())</f>
        <v/>
      </c>
      <c r="GY4" s="18">
        <f>NORM.S.INV(RAND())</f>
        <v/>
      </c>
      <c r="GZ4" s="18">
        <f>NORM.S.INV(RAND())</f>
        <v/>
      </c>
      <c r="HA4" s="18">
        <f>NORM.S.INV(RAND())</f>
        <v/>
      </c>
      <c r="HB4" s="18">
        <f>NORM.S.INV(RAND())</f>
        <v/>
      </c>
      <c r="HC4" s="18">
        <f>NORM.S.INV(RAND())</f>
        <v/>
      </c>
      <c r="HD4" s="18">
        <f>NORM.S.INV(RAND())</f>
        <v/>
      </c>
      <c r="HE4" s="18">
        <f>NORM.S.INV(RAND())</f>
        <v/>
      </c>
      <c r="HF4" s="18">
        <f>NORM.S.INV(RAND())</f>
        <v/>
      </c>
      <c r="HG4" s="18">
        <f>NORM.S.INV(RAND())</f>
        <v/>
      </c>
      <c r="HH4" s="18">
        <f>NORM.S.INV(RAND())</f>
        <v/>
      </c>
      <c r="HI4" s="18">
        <f>NORM.S.INV(RAND())</f>
        <v/>
      </c>
      <c r="HJ4" s="18">
        <f>NORM.S.INV(RAND())</f>
        <v/>
      </c>
      <c r="HK4" s="18">
        <f>NORM.S.INV(RAND())</f>
        <v/>
      </c>
      <c r="HL4" s="18">
        <f>NORM.S.INV(RAND())</f>
        <v/>
      </c>
      <c r="HM4" s="18">
        <f>NORM.S.INV(RAND())</f>
        <v/>
      </c>
      <c r="HN4" s="18">
        <f>NORM.S.INV(RAND())</f>
        <v/>
      </c>
      <c r="HO4" s="18">
        <f>NORM.S.INV(RAND())</f>
        <v/>
      </c>
      <c r="HP4" s="18">
        <f>NORM.S.INV(RAND())</f>
        <v/>
      </c>
      <c r="HQ4" s="18">
        <f>NORM.S.INV(RAND())</f>
        <v/>
      </c>
      <c r="HR4" s="18">
        <f>NORM.S.INV(RAND())</f>
        <v/>
      </c>
      <c r="HS4" s="18">
        <f>NORM.S.INV(RAND())</f>
        <v/>
      </c>
      <c r="HT4" s="18">
        <f>NORM.S.INV(RAND())</f>
        <v/>
      </c>
      <c r="HU4" s="18">
        <f>NORM.S.INV(RAND())</f>
        <v/>
      </c>
      <c r="HV4" s="18">
        <f>NORM.S.INV(RAND())</f>
        <v/>
      </c>
      <c r="HW4" s="18">
        <f>NORM.S.INV(RAND())</f>
        <v/>
      </c>
      <c r="HX4" s="18">
        <f>NORM.S.INV(RAND())</f>
        <v/>
      </c>
      <c r="HY4" s="18">
        <f>NORM.S.INV(RAND())</f>
        <v/>
      </c>
      <c r="HZ4" s="18">
        <f>NORM.S.INV(RAND())</f>
        <v/>
      </c>
      <c r="IA4" s="18">
        <f>NORM.S.INV(RAND())</f>
        <v/>
      </c>
      <c r="IB4" s="18">
        <f>NORM.S.INV(RAND())</f>
        <v/>
      </c>
      <c r="IC4" s="18">
        <f>NORM.S.INV(RAND())</f>
        <v/>
      </c>
      <c r="ID4" s="18">
        <f>NORM.S.INV(RAND())</f>
        <v/>
      </c>
      <c r="IE4" s="18">
        <f>NORM.S.INV(RAND())</f>
        <v/>
      </c>
      <c r="IF4" s="18">
        <f>NORM.S.INV(RAND())</f>
        <v/>
      </c>
      <c r="IG4" s="18">
        <f>NORM.S.INV(RAND())</f>
        <v/>
      </c>
      <c r="IH4" s="18">
        <f>NORM.S.INV(RAND())</f>
        <v/>
      </c>
      <c r="II4" s="18">
        <f>NORM.S.INV(RAND())</f>
        <v/>
      </c>
      <c r="IJ4" s="18">
        <f>NORM.S.INV(RAND())</f>
        <v/>
      </c>
      <c r="IK4" s="18">
        <f>NORM.S.INV(RAND())</f>
        <v/>
      </c>
      <c r="IL4" s="18">
        <f>NORM.S.INV(RAND())</f>
        <v/>
      </c>
      <c r="IM4" s="18">
        <f>NORM.S.INV(RAND())</f>
        <v/>
      </c>
      <c r="IN4" s="18">
        <f>NORM.S.INV(RAND())</f>
        <v/>
      </c>
      <c r="IO4" s="18">
        <f>NORM.S.INV(RAND())</f>
        <v/>
      </c>
      <c r="IP4" s="18">
        <f>NORM.S.INV(RAND())</f>
        <v/>
      </c>
      <c r="IQ4" s="18">
        <f>NORM.S.INV(RAND())</f>
        <v/>
      </c>
      <c r="IR4" s="18">
        <f>NORM.S.INV(RAND())</f>
        <v/>
      </c>
      <c r="IS4" s="18">
        <f>NORM.S.INV(RAND())</f>
        <v/>
      </c>
      <c r="IT4" s="18">
        <f>NORM.S.INV(RAND())</f>
        <v/>
      </c>
      <c r="IU4" s="18">
        <f>NORM.S.INV(RAND())</f>
        <v/>
      </c>
      <c r="IV4" s="18">
        <f>NORM.S.INV(RAND())</f>
        <v/>
      </c>
      <c r="IW4" s="18">
        <f>NORM.S.INV(RAND())</f>
        <v/>
      </c>
      <c r="IX4" s="18">
        <f>NORM.S.INV(RAND())</f>
        <v/>
      </c>
      <c r="IY4" s="18">
        <f>NORM.S.INV(RAND())</f>
        <v/>
      </c>
      <c r="IZ4" s="18">
        <f>NORM.S.INV(RAND())</f>
        <v/>
      </c>
      <c r="JA4" s="18">
        <f>NORM.S.INV(RAND())</f>
        <v/>
      </c>
      <c r="JB4" s="18">
        <f>NORM.S.INV(RAND())</f>
        <v/>
      </c>
      <c r="JC4" s="18">
        <f>NORM.S.INV(RAND())</f>
        <v/>
      </c>
      <c r="JD4" s="18">
        <f>NORM.S.INV(RAND())</f>
        <v/>
      </c>
      <c r="JE4" s="18">
        <f>NORM.S.INV(RAND())</f>
        <v/>
      </c>
      <c r="JF4" s="18">
        <f>NORM.S.INV(RAND())</f>
        <v/>
      </c>
      <c r="JG4" s="18">
        <f>NORM.S.INV(RAND())</f>
        <v/>
      </c>
      <c r="JH4" s="18">
        <f>NORM.S.INV(RAND())</f>
        <v/>
      </c>
      <c r="JI4" s="18">
        <f>NORM.S.INV(RAND())</f>
        <v/>
      </c>
      <c r="JJ4" s="18">
        <f>NORM.S.INV(RAND())</f>
        <v/>
      </c>
      <c r="JK4" s="18">
        <f>NORM.S.INV(RAND())</f>
        <v/>
      </c>
      <c r="JL4" s="18">
        <f>NORM.S.INV(RAND())</f>
        <v/>
      </c>
      <c r="JM4" s="18">
        <f>NORM.S.INV(RAND())</f>
        <v/>
      </c>
      <c r="JN4" s="18">
        <f>NORM.S.INV(RAND())</f>
        <v/>
      </c>
      <c r="JO4" s="18">
        <f>NORM.S.INV(RAND())</f>
        <v/>
      </c>
      <c r="JP4" s="18">
        <f>NORM.S.INV(RAND())</f>
        <v/>
      </c>
      <c r="JQ4" s="18">
        <f>NORM.S.INV(RAND())</f>
        <v/>
      </c>
      <c r="JR4" s="18">
        <f>NORM.S.INV(RAND())</f>
        <v/>
      </c>
      <c r="JS4" s="18">
        <f>NORM.S.INV(RAND())</f>
        <v/>
      </c>
      <c r="JT4" s="18">
        <f>NORM.S.INV(RAND())</f>
        <v/>
      </c>
      <c r="JU4" s="18">
        <f>NORM.S.INV(RAND())</f>
        <v/>
      </c>
      <c r="JV4" s="18">
        <f>NORM.S.INV(RAND())</f>
        <v/>
      </c>
      <c r="JW4" s="18">
        <f>NORM.S.INV(RAND())</f>
        <v/>
      </c>
      <c r="JX4" s="18">
        <f>NORM.S.INV(RAND())</f>
        <v/>
      </c>
      <c r="JY4" s="18">
        <f>NORM.S.INV(RAND())</f>
        <v/>
      </c>
      <c r="JZ4" s="18">
        <f>NORM.S.INV(RAND())</f>
        <v/>
      </c>
      <c r="KA4" s="18">
        <f>NORM.S.INV(RAND())</f>
        <v/>
      </c>
      <c r="KB4" s="18">
        <f>NORM.S.INV(RAND())</f>
        <v/>
      </c>
      <c r="KC4" s="18">
        <f>NORM.S.INV(RAND())</f>
        <v/>
      </c>
      <c r="KD4" s="18">
        <f>NORM.S.INV(RAND())</f>
        <v/>
      </c>
      <c r="KE4" s="18">
        <f>NORM.S.INV(RAND())</f>
        <v/>
      </c>
      <c r="KF4" s="18">
        <f>NORM.S.INV(RAND())</f>
        <v/>
      </c>
      <c r="KG4" s="18">
        <f>NORM.S.INV(RAND())</f>
        <v/>
      </c>
      <c r="KH4" s="18">
        <f>NORM.S.INV(RAND())</f>
        <v/>
      </c>
      <c r="KI4" s="18">
        <f>NORM.S.INV(RAND())</f>
        <v/>
      </c>
      <c r="KJ4" s="18">
        <f>NORM.S.INV(RAND())</f>
        <v/>
      </c>
      <c r="KK4" s="18">
        <f>NORM.S.INV(RAND())</f>
        <v/>
      </c>
      <c r="KL4" s="18">
        <f>NORM.S.INV(RAND())</f>
        <v/>
      </c>
      <c r="KM4" s="18">
        <f>NORM.S.INV(RAND())</f>
        <v/>
      </c>
      <c r="KN4" s="18">
        <f>NORM.S.INV(RAND())</f>
        <v/>
      </c>
      <c r="KO4" s="18">
        <f>NORM.S.INV(RAND())</f>
        <v/>
      </c>
      <c r="KP4" s="18">
        <f>NORM.S.INV(RAND())</f>
        <v/>
      </c>
      <c r="KQ4" s="18">
        <f>NORM.S.INV(RAND())</f>
        <v/>
      </c>
      <c r="KR4" s="18">
        <f>NORM.S.INV(RAND())</f>
        <v/>
      </c>
      <c r="KS4" s="18">
        <f>NORM.S.INV(RAND())</f>
        <v/>
      </c>
      <c r="KT4" s="18">
        <f>NORM.S.INV(RAND())</f>
        <v/>
      </c>
      <c r="KU4" s="18">
        <f>NORM.S.INV(RAND())</f>
        <v/>
      </c>
      <c r="KV4" s="18">
        <f>NORM.S.INV(RAND())</f>
        <v/>
      </c>
      <c r="KW4" s="18">
        <f>NORM.S.INV(RAND())</f>
        <v/>
      </c>
      <c r="KX4" s="18">
        <f>NORM.S.INV(RAND())</f>
        <v/>
      </c>
      <c r="KY4" s="18">
        <f>NORM.S.INV(RAND())</f>
        <v/>
      </c>
      <c r="KZ4" s="18">
        <f>NORM.S.INV(RAND())</f>
        <v/>
      </c>
      <c r="LA4" s="18">
        <f>NORM.S.INV(RAND())</f>
        <v/>
      </c>
      <c r="LB4" s="18">
        <f>NORM.S.INV(RAND())</f>
        <v/>
      </c>
      <c r="LC4" s="18">
        <f>NORM.S.INV(RAND())</f>
        <v/>
      </c>
      <c r="LD4" s="18">
        <f>NORM.S.INV(RAND())</f>
        <v/>
      </c>
      <c r="LE4" s="18">
        <f>NORM.S.INV(RAND())</f>
        <v/>
      </c>
      <c r="LF4" s="18">
        <f>NORM.S.INV(RAND())</f>
        <v/>
      </c>
      <c r="LG4" s="18">
        <f>NORM.S.INV(RAND())</f>
        <v/>
      </c>
      <c r="LH4" s="18">
        <f>NORM.S.INV(RAND())</f>
        <v/>
      </c>
      <c r="LI4" s="18">
        <f>NORM.S.INV(RAND())</f>
        <v/>
      </c>
      <c r="LJ4" s="18">
        <f>NORM.S.INV(RAND())</f>
        <v/>
      </c>
      <c r="LK4" s="18">
        <f>NORM.S.INV(RAND())</f>
        <v/>
      </c>
      <c r="LL4" s="18">
        <f>NORM.S.INV(RAND())</f>
        <v/>
      </c>
      <c r="LM4" s="18">
        <f>NORM.S.INV(RAND())</f>
        <v/>
      </c>
      <c r="LN4" s="18">
        <f>NORM.S.INV(RAND())</f>
        <v/>
      </c>
      <c r="LO4" s="18">
        <f>NORM.S.INV(RAND())</f>
        <v/>
      </c>
      <c r="LP4" s="18">
        <f>NORM.S.INV(RAND())</f>
        <v/>
      </c>
      <c r="LQ4" s="18">
        <f>NORM.S.INV(RAND())</f>
        <v/>
      </c>
      <c r="LR4" s="18">
        <f>NORM.S.INV(RAND())</f>
        <v/>
      </c>
      <c r="LS4" s="18">
        <f>NORM.S.INV(RAND())</f>
        <v/>
      </c>
      <c r="LT4" s="18">
        <f>NORM.S.INV(RAND())</f>
        <v/>
      </c>
      <c r="LU4" s="18">
        <f>NORM.S.INV(RAND())</f>
        <v/>
      </c>
      <c r="LV4" s="18">
        <f>NORM.S.INV(RAND())</f>
        <v/>
      </c>
      <c r="LW4" s="18">
        <f>NORM.S.INV(RAND())</f>
        <v/>
      </c>
      <c r="LX4" s="18">
        <f>NORM.S.INV(RAND())</f>
        <v/>
      </c>
      <c r="LY4" s="18">
        <f>NORM.S.INV(RAND())</f>
        <v/>
      </c>
      <c r="LZ4" s="18">
        <f>NORM.S.INV(RAND())</f>
        <v/>
      </c>
      <c r="MA4" s="18">
        <f>NORM.S.INV(RAND())</f>
        <v/>
      </c>
      <c r="MB4" s="18">
        <f>NORM.S.INV(RAND())</f>
        <v/>
      </c>
      <c r="MC4" s="18">
        <f>NORM.S.INV(RAND())</f>
        <v/>
      </c>
      <c r="MD4" s="18">
        <f>NORM.S.INV(RAND())</f>
        <v/>
      </c>
      <c r="ME4" s="18">
        <f>NORM.S.INV(RAND())</f>
        <v/>
      </c>
      <c r="MF4" s="18">
        <f>NORM.S.INV(RAND())</f>
        <v/>
      </c>
      <c r="MG4" s="18">
        <f>NORM.S.INV(RAND())</f>
        <v/>
      </c>
      <c r="MH4" s="18">
        <f>NORM.S.INV(RAND())</f>
        <v/>
      </c>
      <c r="MI4" s="18">
        <f>NORM.S.INV(RAND())</f>
        <v/>
      </c>
      <c r="MJ4" s="18">
        <f>NORM.S.INV(RAND())</f>
        <v/>
      </c>
      <c r="MK4" s="18">
        <f>NORM.S.INV(RAND())</f>
        <v/>
      </c>
      <c r="ML4" s="18">
        <f>NORM.S.INV(RAND())</f>
        <v/>
      </c>
      <c r="MM4" s="18">
        <f>NORM.S.INV(RAND())</f>
        <v/>
      </c>
      <c r="MN4" s="18">
        <f>NORM.S.INV(RAND())</f>
        <v/>
      </c>
      <c r="MO4" s="18">
        <f>NORM.S.INV(RAND())</f>
        <v/>
      </c>
      <c r="MP4" s="18">
        <f>NORM.S.INV(RAND())</f>
        <v/>
      </c>
      <c r="MQ4" s="18">
        <f>NORM.S.INV(RAND())</f>
        <v/>
      </c>
      <c r="MR4" s="18">
        <f>NORM.S.INV(RAND())</f>
        <v/>
      </c>
      <c r="MS4" s="18">
        <f>NORM.S.INV(RAND())</f>
        <v/>
      </c>
      <c r="MT4" s="18">
        <f>NORM.S.INV(RAND())</f>
        <v/>
      </c>
      <c r="MU4" s="18">
        <f>NORM.S.INV(RAND())</f>
        <v/>
      </c>
      <c r="MV4" s="18">
        <f>NORM.S.INV(RAND())</f>
        <v/>
      </c>
      <c r="MW4" s="18">
        <f>NORM.S.INV(RAND())</f>
        <v/>
      </c>
      <c r="MX4" s="18">
        <f>NORM.S.INV(RAND())</f>
        <v/>
      </c>
      <c r="MY4" s="18">
        <f>NORM.S.INV(RAND())</f>
        <v/>
      </c>
      <c r="MZ4" s="18">
        <f>NORM.S.INV(RAND())</f>
        <v/>
      </c>
      <c r="NA4" s="18">
        <f>NORM.S.INV(RAND())</f>
        <v/>
      </c>
      <c r="NB4" s="18">
        <f>NORM.S.INV(RAND())</f>
        <v/>
      </c>
      <c r="NC4" s="18">
        <f>NORM.S.INV(RAND())</f>
        <v/>
      </c>
      <c r="ND4" s="18">
        <f>NORM.S.INV(RAND())</f>
        <v/>
      </c>
      <c r="NE4" s="18">
        <f>NORM.S.INV(RAND())</f>
        <v/>
      </c>
      <c r="NF4" s="18">
        <f>NORM.S.INV(RAND())</f>
        <v/>
      </c>
      <c r="NG4" s="18">
        <f>NORM.S.INV(RAND())</f>
        <v/>
      </c>
      <c r="NH4" s="18">
        <f>NORM.S.INV(RAND())</f>
        <v/>
      </c>
      <c r="NI4" s="18">
        <f>NORM.S.INV(RAND())</f>
        <v/>
      </c>
      <c r="NJ4" s="18">
        <f>NORM.S.INV(RAND())</f>
        <v/>
      </c>
      <c r="NK4" s="18">
        <f>NORM.S.INV(RAND())</f>
        <v/>
      </c>
      <c r="NL4" s="18">
        <f>NORM.S.INV(RAND())</f>
        <v/>
      </c>
      <c r="NM4" s="18">
        <f>NORM.S.INV(RAND())</f>
        <v/>
      </c>
      <c r="NN4" s="18">
        <f>NORM.S.INV(RAND())</f>
        <v/>
      </c>
      <c r="NO4" s="18">
        <f>NORM.S.INV(RAND())</f>
        <v/>
      </c>
      <c r="NP4" s="18">
        <f>NORM.S.INV(RAND())</f>
        <v/>
      </c>
      <c r="NQ4" s="18">
        <f>NORM.S.INV(RAND())</f>
        <v/>
      </c>
      <c r="NR4" s="18">
        <f>NORM.S.INV(RAND())</f>
        <v/>
      </c>
      <c r="NS4" s="18">
        <f>NORM.S.INV(RAND())</f>
        <v/>
      </c>
      <c r="NT4" s="18">
        <f>NORM.S.INV(RAND())</f>
        <v/>
      </c>
      <c r="NU4" s="18">
        <f>NORM.S.INV(RAND())</f>
        <v/>
      </c>
      <c r="NV4" s="18">
        <f>NORM.S.INV(RAND())</f>
        <v/>
      </c>
      <c r="NW4" s="18">
        <f>NORM.S.INV(RAND())</f>
        <v/>
      </c>
      <c r="NX4" s="18">
        <f>NORM.S.INV(RAND())</f>
        <v/>
      </c>
      <c r="NY4" s="18">
        <f>NORM.S.INV(RAND())</f>
        <v/>
      </c>
      <c r="NZ4" s="18">
        <f>NORM.S.INV(RAND())</f>
        <v/>
      </c>
      <c r="OA4" s="18">
        <f>NORM.S.INV(RAND())</f>
        <v/>
      </c>
      <c r="OB4" s="18">
        <f>NORM.S.INV(RAND())</f>
        <v/>
      </c>
      <c r="OC4" s="18">
        <f>NORM.S.INV(RAND())</f>
        <v/>
      </c>
      <c r="OD4" s="18">
        <f>NORM.S.INV(RAND())</f>
        <v/>
      </c>
      <c r="OE4" s="18">
        <f>NORM.S.INV(RAND())</f>
        <v/>
      </c>
      <c r="OF4" s="18">
        <f>NORM.S.INV(RAND())</f>
        <v/>
      </c>
      <c r="OG4" s="18">
        <f>NORM.S.INV(RAND())</f>
        <v/>
      </c>
      <c r="OH4" s="18">
        <f>NORM.S.INV(RAND())</f>
        <v/>
      </c>
      <c r="OI4" s="18">
        <f>NORM.S.INV(RAND())</f>
        <v/>
      </c>
      <c r="OJ4" s="18">
        <f>NORM.S.INV(RAND())</f>
        <v/>
      </c>
      <c r="OK4" s="18">
        <f>NORM.S.INV(RAND())</f>
        <v/>
      </c>
      <c r="OL4" s="18">
        <f>NORM.S.INV(RAND())</f>
        <v/>
      </c>
      <c r="OM4" s="18">
        <f>NORM.S.INV(RAND())</f>
        <v/>
      </c>
      <c r="ON4" s="18">
        <f>NORM.S.INV(RAND())</f>
        <v/>
      </c>
      <c r="OO4" s="18">
        <f>NORM.S.INV(RAND())</f>
        <v/>
      </c>
      <c r="OP4" s="18">
        <f>NORM.S.INV(RAND())</f>
        <v/>
      </c>
      <c r="OQ4" s="18">
        <f>NORM.S.INV(RAND())</f>
        <v/>
      </c>
      <c r="OR4" s="18">
        <f>NORM.S.INV(RAND())</f>
        <v/>
      </c>
      <c r="OS4" s="18">
        <f>NORM.S.INV(RAND())</f>
        <v/>
      </c>
      <c r="OT4" s="18">
        <f>NORM.S.INV(RAND())</f>
        <v/>
      </c>
      <c r="OU4" s="18">
        <f>NORM.S.INV(RAND())</f>
        <v/>
      </c>
      <c r="OV4" s="18">
        <f>NORM.S.INV(RAND())</f>
        <v/>
      </c>
      <c r="OW4" s="18">
        <f>NORM.S.INV(RAND())</f>
        <v/>
      </c>
      <c r="OX4" s="18">
        <f>NORM.S.INV(RAND())</f>
        <v/>
      </c>
      <c r="OY4" s="18">
        <f>NORM.S.INV(RAND())</f>
        <v/>
      </c>
      <c r="OZ4" s="18">
        <f>NORM.S.INV(RAND())</f>
        <v/>
      </c>
      <c r="PA4" s="18">
        <f>NORM.S.INV(RAND())</f>
        <v/>
      </c>
      <c r="PB4" s="18">
        <f>NORM.S.INV(RAND())</f>
        <v/>
      </c>
      <c r="PC4" s="18">
        <f>NORM.S.INV(RAND())</f>
        <v/>
      </c>
      <c r="PD4" s="18">
        <f>NORM.S.INV(RAND())</f>
        <v/>
      </c>
      <c r="PE4" s="18">
        <f>NORM.S.INV(RAND())</f>
        <v/>
      </c>
      <c r="PF4" s="18">
        <f>NORM.S.INV(RAND())</f>
        <v/>
      </c>
      <c r="PG4" s="18">
        <f>NORM.S.INV(RAND())</f>
        <v/>
      </c>
      <c r="PH4" s="18">
        <f>NORM.S.INV(RAND())</f>
        <v/>
      </c>
      <c r="PI4" s="18">
        <f>NORM.S.INV(RAND())</f>
        <v/>
      </c>
      <c r="PJ4" s="18">
        <f>NORM.S.INV(RAND())</f>
        <v/>
      </c>
      <c r="PK4" s="18">
        <f>NORM.S.INV(RAND())</f>
        <v/>
      </c>
      <c r="PL4" s="18">
        <f>NORM.S.INV(RAND())</f>
        <v/>
      </c>
      <c r="PM4" s="18">
        <f>NORM.S.INV(RAND())</f>
        <v/>
      </c>
      <c r="PN4" s="18">
        <f>NORM.S.INV(RAND())</f>
        <v/>
      </c>
      <c r="PO4" s="18">
        <f>NORM.S.INV(RAND())</f>
        <v/>
      </c>
      <c r="PP4" s="18">
        <f>NORM.S.INV(RAND())</f>
        <v/>
      </c>
      <c r="PQ4" s="18">
        <f>NORM.S.INV(RAND())</f>
        <v/>
      </c>
      <c r="PR4" s="18">
        <f>NORM.S.INV(RAND())</f>
        <v/>
      </c>
      <c r="PS4" s="18">
        <f>NORM.S.INV(RAND())</f>
        <v/>
      </c>
      <c r="PT4" s="18">
        <f>NORM.S.INV(RAND())</f>
        <v/>
      </c>
      <c r="PU4" s="18">
        <f>NORM.S.INV(RAND())</f>
        <v/>
      </c>
      <c r="PV4" s="18">
        <f>NORM.S.INV(RAND())</f>
        <v/>
      </c>
      <c r="PW4" s="18">
        <f>NORM.S.INV(RAND())</f>
        <v/>
      </c>
      <c r="PX4" s="18">
        <f>NORM.S.INV(RAND())</f>
        <v/>
      </c>
      <c r="PY4" s="18">
        <f>NORM.S.INV(RAND())</f>
        <v/>
      </c>
      <c r="PZ4" s="18">
        <f>NORM.S.INV(RAND())</f>
        <v/>
      </c>
      <c r="QA4" s="18">
        <f>NORM.S.INV(RAND())</f>
        <v/>
      </c>
      <c r="QB4" s="18">
        <f>NORM.S.INV(RAND())</f>
        <v/>
      </c>
      <c r="QC4" s="18">
        <f>NORM.S.INV(RAND())</f>
        <v/>
      </c>
      <c r="QD4" s="18">
        <f>NORM.S.INV(RAND())</f>
        <v/>
      </c>
      <c r="QE4" s="18">
        <f>NORM.S.INV(RAND())</f>
        <v/>
      </c>
      <c r="QF4" s="18">
        <f>NORM.S.INV(RAND())</f>
        <v/>
      </c>
      <c r="QG4" s="18">
        <f>NORM.S.INV(RAND())</f>
        <v/>
      </c>
      <c r="QH4" s="18">
        <f>NORM.S.INV(RAND())</f>
        <v/>
      </c>
      <c r="QI4" s="18">
        <f>NORM.S.INV(RAND())</f>
        <v/>
      </c>
      <c r="QJ4" s="18">
        <f>NORM.S.INV(RAND())</f>
        <v/>
      </c>
      <c r="QK4" s="18">
        <f>NORM.S.INV(RAND())</f>
        <v/>
      </c>
      <c r="QL4" s="18">
        <f>NORM.S.INV(RAND())</f>
        <v/>
      </c>
      <c r="QM4" s="18">
        <f>NORM.S.INV(RAND())</f>
        <v/>
      </c>
      <c r="QN4" s="18">
        <f>NORM.S.INV(RAND())</f>
        <v/>
      </c>
      <c r="QO4" s="18">
        <f>NORM.S.INV(RAND())</f>
        <v/>
      </c>
      <c r="QP4" s="18">
        <f>NORM.S.INV(RAND())</f>
        <v/>
      </c>
      <c r="QQ4" s="18">
        <f>NORM.S.INV(RAND())</f>
        <v/>
      </c>
      <c r="QR4" s="18">
        <f>NORM.S.INV(RAND())</f>
        <v/>
      </c>
      <c r="QS4" s="18">
        <f>NORM.S.INV(RAND())</f>
        <v/>
      </c>
      <c r="QT4" s="18">
        <f>NORM.S.INV(RAND())</f>
        <v/>
      </c>
      <c r="QU4" s="18">
        <f>NORM.S.INV(RAND())</f>
        <v/>
      </c>
      <c r="QV4" s="18">
        <f>NORM.S.INV(RAND())</f>
        <v/>
      </c>
      <c r="QW4" s="18">
        <f>NORM.S.INV(RAND())</f>
        <v/>
      </c>
      <c r="QX4" s="18">
        <f>NORM.S.INV(RAND())</f>
        <v/>
      </c>
      <c r="QY4" s="18">
        <f>NORM.S.INV(RAND())</f>
        <v/>
      </c>
      <c r="QZ4" s="18">
        <f>NORM.S.INV(RAND())</f>
        <v/>
      </c>
      <c r="RA4" s="18">
        <f>NORM.S.INV(RAND())</f>
        <v/>
      </c>
      <c r="RB4" s="18">
        <f>NORM.S.INV(RAND())</f>
        <v/>
      </c>
      <c r="RC4" s="18">
        <f>NORM.S.INV(RAND())</f>
        <v/>
      </c>
      <c r="RD4" s="18">
        <f>NORM.S.INV(RAND())</f>
        <v/>
      </c>
      <c r="RE4" s="18">
        <f>NORM.S.INV(RAND())</f>
        <v/>
      </c>
      <c r="RF4" s="18">
        <f>NORM.S.INV(RAND())</f>
        <v/>
      </c>
      <c r="RG4" s="18">
        <f>NORM.S.INV(RAND())</f>
        <v/>
      </c>
      <c r="RH4" s="18">
        <f>NORM.S.INV(RAND())</f>
        <v/>
      </c>
      <c r="RI4" s="18">
        <f>NORM.S.INV(RAND())</f>
        <v/>
      </c>
      <c r="RJ4" s="18">
        <f>NORM.S.INV(RAND())</f>
        <v/>
      </c>
      <c r="RK4" s="18">
        <f>NORM.S.INV(RAND())</f>
        <v/>
      </c>
      <c r="RL4" s="18">
        <f>NORM.S.INV(RAND())</f>
        <v/>
      </c>
      <c r="RM4" s="18">
        <f>NORM.S.INV(RAND())</f>
        <v/>
      </c>
      <c r="RN4" s="18">
        <f>NORM.S.INV(RAND())</f>
        <v/>
      </c>
      <c r="RO4" s="18">
        <f>NORM.S.INV(RAND())</f>
        <v/>
      </c>
      <c r="RP4" s="18">
        <f>NORM.S.INV(RAND())</f>
        <v/>
      </c>
      <c r="RQ4" s="18">
        <f>NORM.S.INV(RAND())</f>
        <v/>
      </c>
      <c r="RR4" s="18">
        <f>NORM.S.INV(RAND())</f>
        <v/>
      </c>
      <c r="RS4" s="18">
        <f>NORM.S.INV(RAND())</f>
        <v/>
      </c>
      <c r="RT4" s="18">
        <f>NORM.S.INV(RAND())</f>
        <v/>
      </c>
      <c r="RU4" s="18">
        <f>NORM.S.INV(RAND())</f>
        <v/>
      </c>
      <c r="RV4" s="18">
        <f>NORM.S.INV(RAND())</f>
        <v/>
      </c>
      <c r="RW4" s="18">
        <f>NORM.S.INV(RAND())</f>
        <v/>
      </c>
      <c r="RX4" s="18">
        <f>NORM.S.INV(RAND())</f>
        <v/>
      </c>
      <c r="RY4" s="18">
        <f>NORM.S.INV(RAND())</f>
        <v/>
      </c>
      <c r="RZ4" s="18">
        <f>NORM.S.INV(RAND())</f>
        <v/>
      </c>
      <c r="SA4" s="18">
        <f>NORM.S.INV(RAND())</f>
        <v/>
      </c>
      <c r="SB4" s="18">
        <f>NORM.S.INV(RAND())</f>
        <v/>
      </c>
      <c r="SC4" s="18">
        <f>NORM.S.INV(RAND())</f>
        <v/>
      </c>
      <c r="SD4" s="18">
        <f>NORM.S.INV(RAND())</f>
        <v/>
      </c>
      <c r="SE4" s="18">
        <f>NORM.S.INV(RAND())</f>
        <v/>
      </c>
      <c r="SF4" s="18">
        <f>NORM.S.INV(RAND())</f>
        <v/>
      </c>
      <c r="SG4" s="18">
        <f>NORM.S.INV(RAND())</f>
        <v/>
      </c>
    </row>
    <row r="5">
      <c r="A5" s="17" t="inlineStr">
        <is>
          <t>Sector: Finance</t>
        </is>
      </c>
      <c r="B5" s="18">
        <f>NORM.S.INV(RAND())</f>
        <v/>
      </c>
      <c r="C5" s="18">
        <f>NORM.S.INV(RAND())</f>
        <v/>
      </c>
      <c r="D5" s="18">
        <f>NORM.S.INV(RAND())</f>
        <v/>
      </c>
      <c r="E5" s="18">
        <f>NORM.S.INV(RAND())</f>
        <v/>
      </c>
      <c r="F5" s="18">
        <f>NORM.S.INV(RAND())</f>
        <v/>
      </c>
      <c r="G5" s="18">
        <f>NORM.S.INV(RAND())</f>
        <v/>
      </c>
      <c r="H5" s="18">
        <f>NORM.S.INV(RAND())</f>
        <v/>
      </c>
      <c r="I5" s="18">
        <f>NORM.S.INV(RAND())</f>
        <v/>
      </c>
      <c r="J5" s="18">
        <f>NORM.S.INV(RAND())</f>
        <v/>
      </c>
      <c r="K5" s="18">
        <f>NORM.S.INV(RAND())</f>
        <v/>
      </c>
      <c r="L5" s="18">
        <f>NORM.S.INV(RAND())</f>
        <v/>
      </c>
      <c r="M5" s="18">
        <f>NORM.S.INV(RAND())</f>
        <v/>
      </c>
      <c r="N5" s="18">
        <f>NORM.S.INV(RAND())</f>
        <v/>
      </c>
      <c r="O5" s="18">
        <f>NORM.S.INV(RAND())</f>
        <v/>
      </c>
      <c r="P5" s="18">
        <f>NORM.S.INV(RAND())</f>
        <v/>
      </c>
      <c r="Q5" s="18">
        <f>NORM.S.INV(RAND())</f>
        <v/>
      </c>
      <c r="R5" s="18">
        <f>NORM.S.INV(RAND())</f>
        <v/>
      </c>
      <c r="S5" s="18">
        <f>NORM.S.INV(RAND())</f>
        <v/>
      </c>
      <c r="T5" s="18">
        <f>NORM.S.INV(RAND())</f>
        <v/>
      </c>
      <c r="U5" s="18">
        <f>NORM.S.INV(RAND())</f>
        <v/>
      </c>
      <c r="V5" s="18">
        <f>NORM.S.INV(RAND())</f>
        <v/>
      </c>
      <c r="W5" s="18">
        <f>NORM.S.INV(RAND())</f>
        <v/>
      </c>
      <c r="X5" s="18">
        <f>NORM.S.INV(RAND())</f>
        <v/>
      </c>
      <c r="Y5" s="18">
        <f>NORM.S.INV(RAND())</f>
        <v/>
      </c>
      <c r="Z5" s="18">
        <f>NORM.S.INV(RAND())</f>
        <v/>
      </c>
      <c r="AA5" s="18">
        <f>NORM.S.INV(RAND())</f>
        <v/>
      </c>
      <c r="AB5" s="18">
        <f>NORM.S.INV(RAND())</f>
        <v/>
      </c>
      <c r="AC5" s="18">
        <f>NORM.S.INV(RAND())</f>
        <v/>
      </c>
      <c r="AD5" s="18">
        <f>NORM.S.INV(RAND())</f>
        <v/>
      </c>
      <c r="AE5" s="18">
        <f>NORM.S.INV(RAND())</f>
        <v/>
      </c>
      <c r="AF5" s="18">
        <f>NORM.S.INV(RAND())</f>
        <v/>
      </c>
      <c r="AG5" s="18">
        <f>NORM.S.INV(RAND())</f>
        <v/>
      </c>
      <c r="AH5" s="18">
        <f>NORM.S.INV(RAND())</f>
        <v/>
      </c>
      <c r="AI5" s="18">
        <f>NORM.S.INV(RAND())</f>
        <v/>
      </c>
      <c r="AJ5" s="18">
        <f>NORM.S.INV(RAND())</f>
        <v/>
      </c>
      <c r="AK5" s="18">
        <f>NORM.S.INV(RAND())</f>
        <v/>
      </c>
      <c r="AL5" s="18">
        <f>NORM.S.INV(RAND())</f>
        <v/>
      </c>
      <c r="AM5" s="18">
        <f>NORM.S.INV(RAND())</f>
        <v/>
      </c>
      <c r="AN5" s="18">
        <f>NORM.S.INV(RAND())</f>
        <v/>
      </c>
      <c r="AO5" s="18">
        <f>NORM.S.INV(RAND())</f>
        <v/>
      </c>
      <c r="AP5" s="18">
        <f>NORM.S.INV(RAND())</f>
        <v/>
      </c>
      <c r="AQ5" s="18">
        <f>NORM.S.INV(RAND())</f>
        <v/>
      </c>
      <c r="AR5" s="18">
        <f>NORM.S.INV(RAND())</f>
        <v/>
      </c>
      <c r="AS5" s="18">
        <f>NORM.S.INV(RAND())</f>
        <v/>
      </c>
      <c r="AT5" s="18">
        <f>NORM.S.INV(RAND())</f>
        <v/>
      </c>
      <c r="AU5" s="18">
        <f>NORM.S.INV(RAND())</f>
        <v/>
      </c>
      <c r="AV5" s="18">
        <f>NORM.S.INV(RAND())</f>
        <v/>
      </c>
      <c r="AW5" s="18">
        <f>NORM.S.INV(RAND())</f>
        <v/>
      </c>
      <c r="AX5" s="18">
        <f>NORM.S.INV(RAND())</f>
        <v/>
      </c>
      <c r="AY5" s="18">
        <f>NORM.S.INV(RAND())</f>
        <v/>
      </c>
      <c r="AZ5" s="18">
        <f>NORM.S.INV(RAND())</f>
        <v/>
      </c>
      <c r="BA5" s="18">
        <f>NORM.S.INV(RAND())</f>
        <v/>
      </c>
      <c r="BB5" s="18">
        <f>NORM.S.INV(RAND())</f>
        <v/>
      </c>
      <c r="BC5" s="18">
        <f>NORM.S.INV(RAND())</f>
        <v/>
      </c>
      <c r="BD5" s="18">
        <f>NORM.S.INV(RAND())</f>
        <v/>
      </c>
      <c r="BE5" s="18">
        <f>NORM.S.INV(RAND())</f>
        <v/>
      </c>
      <c r="BF5" s="18">
        <f>NORM.S.INV(RAND())</f>
        <v/>
      </c>
      <c r="BG5" s="18">
        <f>NORM.S.INV(RAND())</f>
        <v/>
      </c>
      <c r="BH5" s="18">
        <f>NORM.S.INV(RAND())</f>
        <v/>
      </c>
      <c r="BI5" s="18">
        <f>NORM.S.INV(RAND())</f>
        <v/>
      </c>
      <c r="BJ5" s="18">
        <f>NORM.S.INV(RAND())</f>
        <v/>
      </c>
      <c r="BK5" s="18">
        <f>NORM.S.INV(RAND())</f>
        <v/>
      </c>
      <c r="BL5" s="18">
        <f>NORM.S.INV(RAND())</f>
        <v/>
      </c>
      <c r="BM5" s="18">
        <f>NORM.S.INV(RAND())</f>
        <v/>
      </c>
      <c r="BN5" s="18">
        <f>NORM.S.INV(RAND())</f>
        <v/>
      </c>
      <c r="BO5" s="18">
        <f>NORM.S.INV(RAND())</f>
        <v/>
      </c>
      <c r="BP5" s="18">
        <f>NORM.S.INV(RAND())</f>
        <v/>
      </c>
      <c r="BQ5" s="18">
        <f>NORM.S.INV(RAND())</f>
        <v/>
      </c>
      <c r="BR5" s="18">
        <f>NORM.S.INV(RAND())</f>
        <v/>
      </c>
      <c r="BS5" s="18">
        <f>NORM.S.INV(RAND())</f>
        <v/>
      </c>
      <c r="BT5" s="18">
        <f>NORM.S.INV(RAND())</f>
        <v/>
      </c>
      <c r="BU5" s="18">
        <f>NORM.S.INV(RAND())</f>
        <v/>
      </c>
      <c r="BV5" s="18">
        <f>NORM.S.INV(RAND())</f>
        <v/>
      </c>
      <c r="BW5" s="18">
        <f>NORM.S.INV(RAND())</f>
        <v/>
      </c>
      <c r="BX5" s="18">
        <f>NORM.S.INV(RAND())</f>
        <v/>
      </c>
      <c r="BY5" s="18">
        <f>NORM.S.INV(RAND())</f>
        <v/>
      </c>
      <c r="BZ5" s="18">
        <f>NORM.S.INV(RAND())</f>
        <v/>
      </c>
      <c r="CA5" s="18">
        <f>NORM.S.INV(RAND())</f>
        <v/>
      </c>
      <c r="CB5" s="18">
        <f>NORM.S.INV(RAND())</f>
        <v/>
      </c>
      <c r="CC5" s="18">
        <f>NORM.S.INV(RAND())</f>
        <v/>
      </c>
      <c r="CD5" s="18">
        <f>NORM.S.INV(RAND())</f>
        <v/>
      </c>
      <c r="CE5" s="18">
        <f>NORM.S.INV(RAND())</f>
        <v/>
      </c>
      <c r="CF5" s="18">
        <f>NORM.S.INV(RAND())</f>
        <v/>
      </c>
      <c r="CG5" s="18">
        <f>NORM.S.INV(RAND())</f>
        <v/>
      </c>
      <c r="CH5" s="18">
        <f>NORM.S.INV(RAND())</f>
        <v/>
      </c>
      <c r="CI5" s="18">
        <f>NORM.S.INV(RAND())</f>
        <v/>
      </c>
      <c r="CJ5" s="18">
        <f>NORM.S.INV(RAND())</f>
        <v/>
      </c>
      <c r="CK5" s="18">
        <f>NORM.S.INV(RAND())</f>
        <v/>
      </c>
      <c r="CL5" s="18">
        <f>NORM.S.INV(RAND())</f>
        <v/>
      </c>
      <c r="CM5" s="18">
        <f>NORM.S.INV(RAND())</f>
        <v/>
      </c>
      <c r="CN5" s="18">
        <f>NORM.S.INV(RAND())</f>
        <v/>
      </c>
      <c r="CO5" s="18">
        <f>NORM.S.INV(RAND())</f>
        <v/>
      </c>
      <c r="CP5" s="18">
        <f>NORM.S.INV(RAND())</f>
        <v/>
      </c>
      <c r="CQ5" s="18">
        <f>NORM.S.INV(RAND())</f>
        <v/>
      </c>
      <c r="CR5" s="18">
        <f>NORM.S.INV(RAND())</f>
        <v/>
      </c>
      <c r="CS5" s="18">
        <f>NORM.S.INV(RAND())</f>
        <v/>
      </c>
      <c r="CT5" s="18">
        <f>NORM.S.INV(RAND())</f>
        <v/>
      </c>
      <c r="CU5" s="18">
        <f>NORM.S.INV(RAND())</f>
        <v/>
      </c>
      <c r="CV5" s="18">
        <f>NORM.S.INV(RAND())</f>
        <v/>
      </c>
      <c r="CW5" s="18">
        <f>NORM.S.INV(RAND())</f>
        <v/>
      </c>
      <c r="CX5" s="18">
        <f>NORM.S.INV(RAND())</f>
        <v/>
      </c>
      <c r="CY5" s="18">
        <f>NORM.S.INV(RAND())</f>
        <v/>
      </c>
      <c r="CZ5" s="18">
        <f>NORM.S.INV(RAND())</f>
        <v/>
      </c>
      <c r="DA5" s="18">
        <f>NORM.S.INV(RAND())</f>
        <v/>
      </c>
      <c r="DB5" s="18">
        <f>NORM.S.INV(RAND())</f>
        <v/>
      </c>
      <c r="DC5" s="18">
        <f>NORM.S.INV(RAND())</f>
        <v/>
      </c>
      <c r="DD5" s="18">
        <f>NORM.S.INV(RAND())</f>
        <v/>
      </c>
      <c r="DE5" s="18">
        <f>NORM.S.INV(RAND())</f>
        <v/>
      </c>
      <c r="DF5" s="18">
        <f>NORM.S.INV(RAND())</f>
        <v/>
      </c>
      <c r="DG5" s="18">
        <f>NORM.S.INV(RAND())</f>
        <v/>
      </c>
      <c r="DH5" s="18">
        <f>NORM.S.INV(RAND())</f>
        <v/>
      </c>
      <c r="DI5" s="18">
        <f>NORM.S.INV(RAND())</f>
        <v/>
      </c>
      <c r="DJ5" s="18">
        <f>NORM.S.INV(RAND())</f>
        <v/>
      </c>
      <c r="DK5" s="18">
        <f>NORM.S.INV(RAND())</f>
        <v/>
      </c>
      <c r="DL5" s="18">
        <f>NORM.S.INV(RAND())</f>
        <v/>
      </c>
      <c r="DM5" s="18">
        <f>NORM.S.INV(RAND())</f>
        <v/>
      </c>
      <c r="DN5" s="18">
        <f>NORM.S.INV(RAND())</f>
        <v/>
      </c>
      <c r="DO5" s="18">
        <f>NORM.S.INV(RAND())</f>
        <v/>
      </c>
      <c r="DP5" s="18">
        <f>NORM.S.INV(RAND())</f>
        <v/>
      </c>
      <c r="DQ5" s="18">
        <f>NORM.S.INV(RAND())</f>
        <v/>
      </c>
      <c r="DR5" s="18">
        <f>NORM.S.INV(RAND())</f>
        <v/>
      </c>
      <c r="DS5" s="18">
        <f>NORM.S.INV(RAND())</f>
        <v/>
      </c>
      <c r="DT5" s="18">
        <f>NORM.S.INV(RAND())</f>
        <v/>
      </c>
      <c r="DU5" s="18">
        <f>NORM.S.INV(RAND())</f>
        <v/>
      </c>
      <c r="DV5" s="18">
        <f>NORM.S.INV(RAND())</f>
        <v/>
      </c>
      <c r="DW5" s="18">
        <f>NORM.S.INV(RAND())</f>
        <v/>
      </c>
      <c r="DX5" s="18">
        <f>NORM.S.INV(RAND())</f>
        <v/>
      </c>
      <c r="DY5" s="18">
        <f>NORM.S.INV(RAND())</f>
        <v/>
      </c>
      <c r="DZ5" s="18">
        <f>NORM.S.INV(RAND())</f>
        <v/>
      </c>
      <c r="EA5" s="18">
        <f>NORM.S.INV(RAND())</f>
        <v/>
      </c>
      <c r="EB5" s="18">
        <f>NORM.S.INV(RAND())</f>
        <v/>
      </c>
      <c r="EC5" s="18">
        <f>NORM.S.INV(RAND())</f>
        <v/>
      </c>
      <c r="ED5" s="18">
        <f>NORM.S.INV(RAND())</f>
        <v/>
      </c>
      <c r="EE5" s="18">
        <f>NORM.S.INV(RAND())</f>
        <v/>
      </c>
      <c r="EF5" s="18">
        <f>NORM.S.INV(RAND())</f>
        <v/>
      </c>
      <c r="EG5" s="18">
        <f>NORM.S.INV(RAND())</f>
        <v/>
      </c>
      <c r="EH5" s="18">
        <f>NORM.S.INV(RAND())</f>
        <v/>
      </c>
      <c r="EI5" s="18">
        <f>NORM.S.INV(RAND())</f>
        <v/>
      </c>
      <c r="EJ5" s="18">
        <f>NORM.S.INV(RAND())</f>
        <v/>
      </c>
      <c r="EK5" s="18">
        <f>NORM.S.INV(RAND())</f>
        <v/>
      </c>
      <c r="EL5" s="18">
        <f>NORM.S.INV(RAND())</f>
        <v/>
      </c>
      <c r="EM5" s="18">
        <f>NORM.S.INV(RAND())</f>
        <v/>
      </c>
      <c r="EN5" s="18">
        <f>NORM.S.INV(RAND())</f>
        <v/>
      </c>
      <c r="EO5" s="18">
        <f>NORM.S.INV(RAND())</f>
        <v/>
      </c>
      <c r="EP5" s="18">
        <f>NORM.S.INV(RAND())</f>
        <v/>
      </c>
      <c r="EQ5" s="18">
        <f>NORM.S.INV(RAND())</f>
        <v/>
      </c>
      <c r="ER5" s="18">
        <f>NORM.S.INV(RAND())</f>
        <v/>
      </c>
      <c r="ES5" s="18">
        <f>NORM.S.INV(RAND())</f>
        <v/>
      </c>
      <c r="ET5" s="18">
        <f>NORM.S.INV(RAND())</f>
        <v/>
      </c>
      <c r="EU5" s="18">
        <f>NORM.S.INV(RAND())</f>
        <v/>
      </c>
      <c r="EV5" s="18">
        <f>NORM.S.INV(RAND())</f>
        <v/>
      </c>
      <c r="EW5" s="18">
        <f>NORM.S.INV(RAND())</f>
        <v/>
      </c>
      <c r="EX5" s="18">
        <f>NORM.S.INV(RAND())</f>
        <v/>
      </c>
      <c r="EY5" s="18">
        <f>NORM.S.INV(RAND())</f>
        <v/>
      </c>
      <c r="EZ5" s="18">
        <f>NORM.S.INV(RAND())</f>
        <v/>
      </c>
      <c r="FA5" s="18">
        <f>NORM.S.INV(RAND())</f>
        <v/>
      </c>
      <c r="FB5" s="18">
        <f>NORM.S.INV(RAND())</f>
        <v/>
      </c>
      <c r="FC5" s="18">
        <f>NORM.S.INV(RAND())</f>
        <v/>
      </c>
      <c r="FD5" s="18">
        <f>NORM.S.INV(RAND())</f>
        <v/>
      </c>
      <c r="FE5" s="18">
        <f>NORM.S.INV(RAND())</f>
        <v/>
      </c>
      <c r="FF5" s="18">
        <f>NORM.S.INV(RAND())</f>
        <v/>
      </c>
      <c r="FG5" s="18">
        <f>NORM.S.INV(RAND())</f>
        <v/>
      </c>
      <c r="FH5" s="18">
        <f>NORM.S.INV(RAND())</f>
        <v/>
      </c>
      <c r="FI5" s="18">
        <f>NORM.S.INV(RAND())</f>
        <v/>
      </c>
      <c r="FJ5" s="18">
        <f>NORM.S.INV(RAND())</f>
        <v/>
      </c>
      <c r="FK5" s="18">
        <f>NORM.S.INV(RAND())</f>
        <v/>
      </c>
      <c r="FL5" s="18">
        <f>NORM.S.INV(RAND())</f>
        <v/>
      </c>
      <c r="FM5" s="18">
        <f>NORM.S.INV(RAND())</f>
        <v/>
      </c>
      <c r="FN5" s="18">
        <f>NORM.S.INV(RAND())</f>
        <v/>
      </c>
      <c r="FO5" s="18">
        <f>NORM.S.INV(RAND())</f>
        <v/>
      </c>
      <c r="FP5" s="18">
        <f>NORM.S.INV(RAND())</f>
        <v/>
      </c>
      <c r="FQ5" s="18">
        <f>NORM.S.INV(RAND())</f>
        <v/>
      </c>
      <c r="FR5" s="18">
        <f>NORM.S.INV(RAND())</f>
        <v/>
      </c>
      <c r="FS5" s="18">
        <f>NORM.S.INV(RAND())</f>
        <v/>
      </c>
      <c r="FT5" s="18">
        <f>NORM.S.INV(RAND())</f>
        <v/>
      </c>
      <c r="FU5" s="18">
        <f>NORM.S.INV(RAND())</f>
        <v/>
      </c>
      <c r="FV5" s="18">
        <f>NORM.S.INV(RAND())</f>
        <v/>
      </c>
      <c r="FW5" s="18">
        <f>NORM.S.INV(RAND())</f>
        <v/>
      </c>
      <c r="FX5" s="18">
        <f>NORM.S.INV(RAND())</f>
        <v/>
      </c>
      <c r="FY5" s="18">
        <f>NORM.S.INV(RAND())</f>
        <v/>
      </c>
      <c r="FZ5" s="18">
        <f>NORM.S.INV(RAND())</f>
        <v/>
      </c>
      <c r="GA5" s="18">
        <f>NORM.S.INV(RAND())</f>
        <v/>
      </c>
      <c r="GB5" s="18">
        <f>NORM.S.INV(RAND())</f>
        <v/>
      </c>
      <c r="GC5" s="18">
        <f>NORM.S.INV(RAND())</f>
        <v/>
      </c>
      <c r="GD5" s="18">
        <f>NORM.S.INV(RAND())</f>
        <v/>
      </c>
      <c r="GE5" s="18">
        <f>NORM.S.INV(RAND())</f>
        <v/>
      </c>
      <c r="GF5" s="18">
        <f>NORM.S.INV(RAND())</f>
        <v/>
      </c>
      <c r="GG5" s="18">
        <f>NORM.S.INV(RAND())</f>
        <v/>
      </c>
      <c r="GH5" s="18">
        <f>NORM.S.INV(RAND())</f>
        <v/>
      </c>
      <c r="GI5" s="18">
        <f>NORM.S.INV(RAND())</f>
        <v/>
      </c>
      <c r="GJ5" s="18">
        <f>NORM.S.INV(RAND())</f>
        <v/>
      </c>
      <c r="GK5" s="18">
        <f>NORM.S.INV(RAND())</f>
        <v/>
      </c>
      <c r="GL5" s="18">
        <f>NORM.S.INV(RAND())</f>
        <v/>
      </c>
      <c r="GM5" s="18">
        <f>NORM.S.INV(RAND())</f>
        <v/>
      </c>
      <c r="GN5" s="18">
        <f>NORM.S.INV(RAND())</f>
        <v/>
      </c>
      <c r="GO5" s="18">
        <f>NORM.S.INV(RAND())</f>
        <v/>
      </c>
      <c r="GP5" s="18">
        <f>NORM.S.INV(RAND())</f>
        <v/>
      </c>
      <c r="GQ5" s="18">
        <f>NORM.S.INV(RAND())</f>
        <v/>
      </c>
      <c r="GR5" s="18">
        <f>NORM.S.INV(RAND())</f>
        <v/>
      </c>
      <c r="GS5" s="18">
        <f>NORM.S.INV(RAND())</f>
        <v/>
      </c>
      <c r="GT5" s="18">
        <f>NORM.S.INV(RAND())</f>
        <v/>
      </c>
      <c r="GU5" s="18">
        <f>NORM.S.INV(RAND())</f>
        <v/>
      </c>
      <c r="GV5" s="18">
        <f>NORM.S.INV(RAND())</f>
        <v/>
      </c>
      <c r="GW5" s="18">
        <f>NORM.S.INV(RAND())</f>
        <v/>
      </c>
      <c r="GX5" s="18">
        <f>NORM.S.INV(RAND())</f>
        <v/>
      </c>
      <c r="GY5" s="18">
        <f>NORM.S.INV(RAND())</f>
        <v/>
      </c>
      <c r="GZ5" s="18">
        <f>NORM.S.INV(RAND())</f>
        <v/>
      </c>
      <c r="HA5" s="18">
        <f>NORM.S.INV(RAND())</f>
        <v/>
      </c>
      <c r="HB5" s="18">
        <f>NORM.S.INV(RAND())</f>
        <v/>
      </c>
      <c r="HC5" s="18">
        <f>NORM.S.INV(RAND())</f>
        <v/>
      </c>
      <c r="HD5" s="18">
        <f>NORM.S.INV(RAND())</f>
        <v/>
      </c>
      <c r="HE5" s="18">
        <f>NORM.S.INV(RAND())</f>
        <v/>
      </c>
      <c r="HF5" s="18">
        <f>NORM.S.INV(RAND())</f>
        <v/>
      </c>
      <c r="HG5" s="18">
        <f>NORM.S.INV(RAND())</f>
        <v/>
      </c>
      <c r="HH5" s="18">
        <f>NORM.S.INV(RAND())</f>
        <v/>
      </c>
      <c r="HI5" s="18">
        <f>NORM.S.INV(RAND())</f>
        <v/>
      </c>
      <c r="HJ5" s="18">
        <f>NORM.S.INV(RAND())</f>
        <v/>
      </c>
      <c r="HK5" s="18">
        <f>NORM.S.INV(RAND())</f>
        <v/>
      </c>
      <c r="HL5" s="18">
        <f>NORM.S.INV(RAND())</f>
        <v/>
      </c>
      <c r="HM5" s="18">
        <f>NORM.S.INV(RAND())</f>
        <v/>
      </c>
      <c r="HN5" s="18">
        <f>NORM.S.INV(RAND())</f>
        <v/>
      </c>
      <c r="HO5" s="18">
        <f>NORM.S.INV(RAND())</f>
        <v/>
      </c>
      <c r="HP5" s="18">
        <f>NORM.S.INV(RAND())</f>
        <v/>
      </c>
      <c r="HQ5" s="18">
        <f>NORM.S.INV(RAND())</f>
        <v/>
      </c>
      <c r="HR5" s="18">
        <f>NORM.S.INV(RAND())</f>
        <v/>
      </c>
      <c r="HS5" s="18">
        <f>NORM.S.INV(RAND())</f>
        <v/>
      </c>
      <c r="HT5" s="18">
        <f>NORM.S.INV(RAND())</f>
        <v/>
      </c>
      <c r="HU5" s="18">
        <f>NORM.S.INV(RAND())</f>
        <v/>
      </c>
      <c r="HV5" s="18">
        <f>NORM.S.INV(RAND())</f>
        <v/>
      </c>
      <c r="HW5" s="18">
        <f>NORM.S.INV(RAND())</f>
        <v/>
      </c>
      <c r="HX5" s="18">
        <f>NORM.S.INV(RAND())</f>
        <v/>
      </c>
      <c r="HY5" s="18">
        <f>NORM.S.INV(RAND())</f>
        <v/>
      </c>
      <c r="HZ5" s="18">
        <f>NORM.S.INV(RAND())</f>
        <v/>
      </c>
      <c r="IA5" s="18">
        <f>NORM.S.INV(RAND())</f>
        <v/>
      </c>
      <c r="IB5" s="18">
        <f>NORM.S.INV(RAND())</f>
        <v/>
      </c>
      <c r="IC5" s="18">
        <f>NORM.S.INV(RAND())</f>
        <v/>
      </c>
      <c r="ID5" s="18">
        <f>NORM.S.INV(RAND())</f>
        <v/>
      </c>
      <c r="IE5" s="18">
        <f>NORM.S.INV(RAND())</f>
        <v/>
      </c>
      <c r="IF5" s="18">
        <f>NORM.S.INV(RAND())</f>
        <v/>
      </c>
      <c r="IG5" s="18">
        <f>NORM.S.INV(RAND())</f>
        <v/>
      </c>
      <c r="IH5" s="18">
        <f>NORM.S.INV(RAND())</f>
        <v/>
      </c>
      <c r="II5" s="18">
        <f>NORM.S.INV(RAND())</f>
        <v/>
      </c>
      <c r="IJ5" s="18">
        <f>NORM.S.INV(RAND())</f>
        <v/>
      </c>
      <c r="IK5" s="18">
        <f>NORM.S.INV(RAND())</f>
        <v/>
      </c>
      <c r="IL5" s="18">
        <f>NORM.S.INV(RAND())</f>
        <v/>
      </c>
      <c r="IM5" s="18">
        <f>NORM.S.INV(RAND())</f>
        <v/>
      </c>
      <c r="IN5" s="18">
        <f>NORM.S.INV(RAND())</f>
        <v/>
      </c>
      <c r="IO5" s="18">
        <f>NORM.S.INV(RAND())</f>
        <v/>
      </c>
      <c r="IP5" s="18">
        <f>NORM.S.INV(RAND())</f>
        <v/>
      </c>
      <c r="IQ5" s="18">
        <f>NORM.S.INV(RAND())</f>
        <v/>
      </c>
      <c r="IR5" s="18">
        <f>NORM.S.INV(RAND())</f>
        <v/>
      </c>
      <c r="IS5" s="18">
        <f>NORM.S.INV(RAND())</f>
        <v/>
      </c>
      <c r="IT5" s="18">
        <f>NORM.S.INV(RAND())</f>
        <v/>
      </c>
      <c r="IU5" s="18">
        <f>NORM.S.INV(RAND())</f>
        <v/>
      </c>
      <c r="IV5" s="18">
        <f>NORM.S.INV(RAND())</f>
        <v/>
      </c>
      <c r="IW5" s="18">
        <f>NORM.S.INV(RAND())</f>
        <v/>
      </c>
      <c r="IX5" s="18">
        <f>NORM.S.INV(RAND())</f>
        <v/>
      </c>
      <c r="IY5" s="18">
        <f>NORM.S.INV(RAND())</f>
        <v/>
      </c>
      <c r="IZ5" s="18">
        <f>NORM.S.INV(RAND())</f>
        <v/>
      </c>
      <c r="JA5" s="18">
        <f>NORM.S.INV(RAND())</f>
        <v/>
      </c>
      <c r="JB5" s="18">
        <f>NORM.S.INV(RAND())</f>
        <v/>
      </c>
      <c r="JC5" s="18">
        <f>NORM.S.INV(RAND())</f>
        <v/>
      </c>
      <c r="JD5" s="18">
        <f>NORM.S.INV(RAND())</f>
        <v/>
      </c>
      <c r="JE5" s="18">
        <f>NORM.S.INV(RAND())</f>
        <v/>
      </c>
      <c r="JF5" s="18">
        <f>NORM.S.INV(RAND())</f>
        <v/>
      </c>
      <c r="JG5" s="18">
        <f>NORM.S.INV(RAND())</f>
        <v/>
      </c>
      <c r="JH5" s="18">
        <f>NORM.S.INV(RAND())</f>
        <v/>
      </c>
      <c r="JI5" s="18">
        <f>NORM.S.INV(RAND())</f>
        <v/>
      </c>
      <c r="JJ5" s="18">
        <f>NORM.S.INV(RAND())</f>
        <v/>
      </c>
      <c r="JK5" s="18">
        <f>NORM.S.INV(RAND())</f>
        <v/>
      </c>
      <c r="JL5" s="18">
        <f>NORM.S.INV(RAND())</f>
        <v/>
      </c>
      <c r="JM5" s="18">
        <f>NORM.S.INV(RAND())</f>
        <v/>
      </c>
      <c r="JN5" s="18">
        <f>NORM.S.INV(RAND())</f>
        <v/>
      </c>
      <c r="JO5" s="18">
        <f>NORM.S.INV(RAND())</f>
        <v/>
      </c>
      <c r="JP5" s="18">
        <f>NORM.S.INV(RAND())</f>
        <v/>
      </c>
      <c r="JQ5" s="18">
        <f>NORM.S.INV(RAND())</f>
        <v/>
      </c>
      <c r="JR5" s="18">
        <f>NORM.S.INV(RAND())</f>
        <v/>
      </c>
      <c r="JS5" s="18">
        <f>NORM.S.INV(RAND())</f>
        <v/>
      </c>
      <c r="JT5" s="18">
        <f>NORM.S.INV(RAND())</f>
        <v/>
      </c>
      <c r="JU5" s="18">
        <f>NORM.S.INV(RAND())</f>
        <v/>
      </c>
      <c r="JV5" s="18">
        <f>NORM.S.INV(RAND())</f>
        <v/>
      </c>
      <c r="JW5" s="18">
        <f>NORM.S.INV(RAND())</f>
        <v/>
      </c>
      <c r="JX5" s="18">
        <f>NORM.S.INV(RAND())</f>
        <v/>
      </c>
      <c r="JY5" s="18">
        <f>NORM.S.INV(RAND())</f>
        <v/>
      </c>
      <c r="JZ5" s="18">
        <f>NORM.S.INV(RAND())</f>
        <v/>
      </c>
      <c r="KA5" s="18">
        <f>NORM.S.INV(RAND())</f>
        <v/>
      </c>
      <c r="KB5" s="18">
        <f>NORM.S.INV(RAND())</f>
        <v/>
      </c>
      <c r="KC5" s="18">
        <f>NORM.S.INV(RAND())</f>
        <v/>
      </c>
      <c r="KD5" s="18">
        <f>NORM.S.INV(RAND())</f>
        <v/>
      </c>
      <c r="KE5" s="18">
        <f>NORM.S.INV(RAND())</f>
        <v/>
      </c>
      <c r="KF5" s="18">
        <f>NORM.S.INV(RAND())</f>
        <v/>
      </c>
      <c r="KG5" s="18">
        <f>NORM.S.INV(RAND())</f>
        <v/>
      </c>
      <c r="KH5" s="18">
        <f>NORM.S.INV(RAND())</f>
        <v/>
      </c>
      <c r="KI5" s="18">
        <f>NORM.S.INV(RAND())</f>
        <v/>
      </c>
      <c r="KJ5" s="18">
        <f>NORM.S.INV(RAND())</f>
        <v/>
      </c>
      <c r="KK5" s="18">
        <f>NORM.S.INV(RAND())</f>
        <v/>
      </c>
      <c r="KL5" s="18">
        <f>NORM.S.INV(RAND())</f>
        <v/>
      </c>
      <c r="KM5" s="18">
        <f>NORM.S.INV(RAND())</f>
        <v/>
      </c>
      <c r="KN5" s="18">
        <f>NORM.S.INV(RAND())</f>
        <v/>
      </c>
      <c r="KO5" s="18">
        <f>NORM.S.INV(RAND())</f>
        <v/>
      </c>
      <c r="KP5" s="18">
        <f>NORM.S.INV(RAND())</f>
        <v/>
      </c>
      <c r="KQ5" s="18">
        <f>NORM.S.INV(RAND())</f>
        <v/>
      </c>
      <c r="KR5" s="18">
        <f>NORM.S.INV(RAND())</f>
        <v/>
      </c>
      <c r="KS5" s="18">
        <f>NORM.S.INV(RAND())</f>
        <v/>
      </c>
      <c r="KT5" s="18">
        <f>NORM.S.INV(RAND())</f>
        <v/>
      </c>
      <c r="KU5" s="18">
        <f>NORM.S.INV(RAND())</f>
        <v/>
      </c>
      <c r="KV5" s="18">
        <f>NORM.S.INV(RAND())</f>
        <v/>
      </c>
      <c r="KW5" s="18">
        <f>NORM.S.INV(RAND())</f>
        <v/>
      </c>
      <c r="KX5" s="18">
        <f>NORM.S.INV(RAND())</f>
        <v/>
      </c>
      <c r="KY5" s="18">
        <f>NORM.S.INV(RAND())</f>
        <v/>
      </c>
      <c r="KZ5" s="18">
        <f>NORM.S.INV(RAND())</f>
        <v/>
      </c>
      <c r="LA5" s="18">
        <f>NORM.S.INV(RAND())</f>
        <v/>
      </c>
      <c r="LB5" s="18">
        <f>NORM.S.INV(RAND())</f>
        <v/>
      </c>
      <c r="LC5" s="18">
        <f>NORM.S.INV(RAND())</f>
        <v/>
      </c>
      <c r="LD5" s="18">
        <f>NORM.S.INV(RAND())</f>
        <v/>
      </c>
      <c r="LE5" s="18">
        <f>NORM.S.INV(RAND())</f>
        <v/>
      </c>
      <c r="LF5" s="18">
        <f>NORM.S.INV(RAND())</f>
        <v/>
      </c>
      <c r="LG5" s="18">
        <f>NORM.S.INV(RAND())</f>
        <v/>
      </c>
      <c r="LH5" s="18">
        <f>NORM.S.INV(RAND())</f>
        <v/>
      </c>
      <c r="LI5" s="18">
        <f>NORM.S.INV(RAND())</f>
        <v/>
      </c>
      <c r="LJ5" s="18">
        <f>NORM.S.INV(RAND())</f>
        <v/>
      </c>
      <c r="LK5" s="18">
        <f>NORM.S.INV(RAND())</f>
        <v/>
      </c>
      <c r="LL5" s="18">
        <f>NORM.S.INV(RAND())</f>
        <v/>
      </c>
      <c r="LM5" s="18">
        <f>NORM.S.INV(RAND())</f>
        <v/>
      </c>
      <c r="LN5" s="18">
        <f>NORM.S.INV(RAND())</f>
        <v/>
      </c>
      <c r="LO5" s="18">
        <f>NORM.S.INV(RAND())</f>
        <v/>
      </c>
      <c r="LP5" s="18">
        <f>NORM.S.INV(RAND())</f>
        <v/>
      </c>
      <c r="LQ5" s="18">
        <f>NORM.S.INV(RAND())</f>
        <v/>
      </c>
      <c r="LR5" s="18">
        <f>NORM.S.INV(RAND())</f>
        <v/>
      </c>
      <c r="LS5" s="18">
        <f>NORM.S.INV(RAND())</f>
        <v/>
      </c>
      <c r="LT5" s="18">
        <f>NORM.S.INV(RAND())</f>
        <v/>
      </c>
      <c r="LU5" s="18">
        <f>NORM.S.INV(RAND())</f>
        <v/>
      </c>
      <c r="LV5" s="18">
        <f>NORM.S.INV(RAND())</f>
        <v/>
      </c>
      <c r="LW5" s="18">
        <f>NORM.S.INV(RAND())</f>
        <v/>
      </c>
      <c r="LX5" s="18">
        <f>NORM.S.INV(RAND())</f>
        <v/>
      </c>
      <c r="LY5" s="18">
        <f>NORM.S.INV(RAND())</f>
        <v/>
      </c>
      <c r="LZ5" s="18">
        <f>NORM.S.INV(RAND())</f>
        <v/>
      </c>
      <c r="MA5" s="18">
        <f>NORM.S.INV(RAND())</f>
        <v/>
      </c>
      <c r="MB5" s="18">
        <f>NORM.S.INV(RAND())</f>
        <v/>
      </c>
      <c r="MC5" s="18">
        <f>NORM.S.INV(RAND())</f>
        <v/>
      </c>
      <c r="MD5" s="18">
        <f>NORM.S.INV(RAND())</f>
        <v/>
      </c>
      <c r="ME5" s="18">
        <f>NORM.S.INV(RAND())</f>
        <v/>
      </c>
      <c r="MF5" s="18">
        <f>NORM.S.INV(RAND())</f>
        <v/>
      </c>
      <c r="MG5" s="18">
        <f>NORM.S.INV(RAND())</f>
        <v/>
      </c>
      <c r="MH5" s="18">
        <f>NORM.S.INV(RAND())</f>
        <v/>
      </c>
      <c r="MI5" s="18">
        <f>NORM.S.INV(RAND())</f>
        <v/>
      </c>
      <c r="MJ5" s="18">
        <f>NORM.S.INV(RAND())</f>
        <v/>
      </c>
      <c r="MK5" s="18">
        <f>NORM.S.INV(RAND())</f>
        <v/>
      </c>
      <c r="ML5" s="18">
        <f>NORM.S.INV(RAND())</f>
        <v/>
      </c>
      <c r="MM5" s="18">
        <f>NORM.S.INV(RAND())</f>
        <v/>
      </c>
      <c r="MN5" s="18">
        <f>NORM.S.INV(RAND())</f>
        <v/>
      </c>
      <c r="MO5" s="18">
        <f>NORM.S.INV(RAND())</f>
        <v/>
      </c>
      <c r="MP5" s="18">
        <f>NORM.S.INV(RAND())</f>
        <v/>
      </c>
      <c r="MQ5" s="18">
        <f>NORM.S.INV(RAND())</f>
        <v/>
      </c>
      <c r="MR5" s="18">
        <f>NORM.S.INV(RAND())</f>
        <v/>
      </c>
      <c r="MS5" s="18">
        <f>NORM.S.INV(RAND())</f>
        <v/>
      </c>
      <c r="MT5" s="18">
        <f>NORM.S.INV(RAND())</f>
        <v/>
      </c>
      <c r="MU5" s="18">
        <f>NORM.S.INV(RAND())</f>
        <v/>
      </c>
      <c r="MV5" s="18">
        <f>NORM.S.INV(RAND())</f>
        <v/>
      </c>
      <c r="MW5" s="18">
        <f>NORM.S.INV(RAND())</f>
        <v/>
      </c>
      <c r="MX5" s="18">
        <f>NORM.S.INV(RAND())</f>
        <v/>
      </c>
      <c r="MY5" s="18">
        <f>NORM.S.INV(RAND())</f>
        <v/>
      </c>
      <c r="MZ5" s="18">
        <f>NORM.S.INV(RAND())</f>
        <v/>
      </c>
      <c r="NA5" s="18">
        <f>NORM.S.INV(RAND())</f>
        <v/>
      </c>
      <c r="NB5" s="18">
        <f>NORM.S.INV(RAND())</f>
        <v/>
      </c>
      <c r="NC5" s="18">
        <f>NORM.S.INV(RAND())</f>
        <v/>
      </c>
      <c r="ND5" s="18">
        <f>NORM.S.INV(RAND())</f>
        <v/>
      </c>
      <c r="NE5" s="18">
        <f>NORM.S.INV(RAND())</f>
        <v/>
      </c>
      <c r="NF5" s="18">
        <f>NORM.S.INV(RAND())</f>
        <v/>
      </c>
      <c r="NG5" s="18">
        <f>NORM.S.INV(RAND())</f>
        <v/>
      </c>
      <c r="NH5" s="18">
        <f>NORM.S.INV(RAND())</f>
        <v/>
      </c>
      <c r="NI5" s="18">
        <f>NORM.S.INV(RAND())</f>
        <v/>
      </c>
      <c r="NJ5" s="18">
        <f>NORM.S.INV(RAND())</f>
        <v/>
      </c>
      <c r="NK5" s="18">
        <f>NORM.S.INV(RAND())</f>
        <v/>
      </c>
      <c r="NL5" s="18">
        <f>NORM.S.INV(RAND())</f>
        <v/>
      </c>
      <c r="NM5" s="18">
        <f>NORM.S.INV(RAND())</f>
        <v/>
      </c>
      <c r="NN5" s="18">
        <f>NORM.S.INV(RAND())</f>
        <v/>
      </c>
      <c r="NO5" s="18">
        <f>NORM.S.INV(RAND())</f>
        <v/>
      </c>
      <c r="NP5" s="18">
        <f>NORM.S.INV(RAND())</f>
        <v/>
      </c>
      <c r="NQ5" s="18">
        <f>NORM.S.INV(RAND())</f>
        <v/>
      </c>
      <c r="NR5" s="18">
        <f>NORM.S.INV(RAND())</f>
        <v/>
      </c>
      <c r="NS5" s="18">
        <f>NORM.S.INV(RAND())</f>
        <v/>
      </c>
      <c r="NT5" s="18">
        <f>NORM.S.INV(RAND())</f>
        <v/>
      </c>
      <c r="NU5" s="18">
        <f>NORM.S.INV(RAND())</f>
        <v/>
      </c>
      <c r="NV5" s="18">
        <f>NORM.S.INV(RAND())</f>
        <v/>
      </c>
      <c r="NW5" s="18">
        <f>NORM.S.INV(RAND())</f>
        <v/>
      </c>
      <c r="NX5" s="18">
        <f>NORM.S.INV(RAND())</f>
        <v/>
      </c>
      <c r="NY5" s="18">
        <f>NORM.S.INV(RAND())</f>
        <v/>
      </c>
      <c r="NZ5" s="18">
        <f>NORM.S.INV(RAND())</f>
        <v/>
      </c>
      <c r="OA5" s="18">
        <f>NORM.S.INV(RAND())</f>
        <v/>
      </c>
      <c r="OB5" s="18">
        <f>NORM.S.INV(RAND())</f>
        <v/>
      </c>
      <c r="OC5" s="18">
        <f>NORM.S.INV(RAND())</f>
        <v/>
      </c>
      <c r="OD5" s="18">
        <f>NORM.S.INV(RAND())</f>
        <v/>
      </c>
      <c r="OE5" s="18">
        <f>NORM.S.INV(RAND())</f>
        <v/>
      </c>
      <c r="OF5" s="18">
        <f>NORM.S.INV(RAND())</f>
        <v/>
      </c>
      <c r="OG5" s="18">
        <f>NORM.S.INV(RAND())</f>
        <v/>
      </c>
      <c r="OH5" s="18">
        <f>NORM.S.INV(RAND())</f>
        <v/>
      </c>
      <c r="OI5" s="18">
        <f>NORM.S.INV(RAND())</f>
        <v/>
      </c>
      <c r="OJ5" s="18">
        <f>NORM.S.INV(RAND())</f>
        <v/>
      </c>
      <c r="OK5" s="18">
        <f>NORM.S.INV(RAND())</f>
        <v/>
      </c>
      <c r="OL5" s="18">
        <f>NORM.S.INV(RAND())</f>
        <v/>
      </c>
      <c r="OM5" s="18">
        <f>NORM.S.INV(RAND())</f>
        <v/>
      </c>
      <c r="ON5" s="18">
        <f>NORM.S.INV(RAND())</f>
        <v/>
      </c>
      <c r="OO5" s="18">
        <f>NORM.S.INV(RAND())</f>
        <v/>
      </c>
      <c r="OP5" s="18">
        <f>NORM.S.INV(RAND())</f>
        <v/>
      </c>
      <c r="OQ5" s="18">
        <f>NORM.S.INV(RAND())</f>
        <v/>
      </c>
      <c r="OR5" s="18">
        <f>NORM.S.INV(RAND())</f>
        <v/>
      </c>
      <c r="OS5" s="18">
        <f>NORM.S.INV(RAND())</f>
        <v/>
      </c>
      <c r="OT5" s="18">
        <f>NORM.S.INV(RAND())</f>
        <v/>
      </c>
      <c r="OU5" s="18">
        <f>NORM.S.INV(RAND())</f>
        <v/>
      </c>
      <c r="OV5" s="18">
        <f>NORM.S.INV(RAND())</f>
        <v/>
      </c>
      <c r="OW5" s="18">
        <f>NORM.S.INV(RAND())</f>
        <v/>
      </c>
      <c r="OX5" s="18">
        <f>NORM.S.INV(RAND())</f>
        <v/>
      </c>
      <c r="OY5" s="18">
        <f>NORM.S.INV(RAND())</f>
        <v/>
      </c>
      <c r="OZ5" s="18">
        <f>NORM.S.INV(RAND())</f>
        <v/>
      </c>
      <c r="PA5" s="18">
        <f>NORM.S.INV(RAND())</f>
        <v/>
      </c>
      <c r="PB5" s="18">
        <f>NORM.S.INV(RAND())</f>
        <v/>
      </c>
      <c r="PC5" s="18">
        <f>NORM.S.INV(RAND())</f>
        <v/>
      </c>
      <c r="PD5" s="18">
        <f>NORM.S.INV(RAND())</f>
        <v/>
      </c>
      <c r="PE5" s="18">
        <f>NORM.S.INV(RAND())</f>
        <v/>
      </c>
      <c r="PF5" s="18">
        <f>NORM.S.INV(RAND())</f>
        <v/>
      </c>
      <c r="PG5" s="18">
        <f>NORM.S.INV(RAND())</f>
        <v/>
      </c>
      <c r="PH5" s="18">
        <f>NORM.S.INV(RAND())</f>
        <v/>
      </c>
      <c r="PI5" s="18">
        <f>NORM.S.INV(RAND())</f>
        <v/>
      </c>
      <c r="PJ5" s="18">
        <f>NORM.S.INV(RAND())</f>
        <v/>
      </c>
      <c r="PK5" s="18">
        <f>NORM.S.INV(RAND())</f>
        <v/>
      </c>
      <c r="PL5" s="18">
        <f>NORM.S.INV(RAND())</f>
        <v/>
      </c>
      <c r="PM5" s="18">
        <f>NORM.S.INV(RAND())</f>
        <v/>
      </c>
      <c r="PN5" s="18">
        <f>NORM.S.INV(RAND())</f>
        <v/>
      </c>
      <c r="PO5" s="18">
        <f>NORM.S.INV(RAND())</f>
        <v/>
      </c>
      <c r="PP5" s="18">
        <f>NORM.S.INV(RAND())</f>
        <v/>
      </c>
      <c r="PQ5" s="18">
        <f>NORM.S.INV(RAND())</f>
        <v/>
      </c>
      <c r="PR5" s="18">
        <f>NORM.S.INV(RAND())</f>
        <v/>
      </c>
      <c r="PS5" s="18">
        <f>NORM.S.INV(RAND())</f>
        <v/>
      </c>
      <c r="PT5" s="18">
        <f>NORM.S.INV(RAND())</f>
        <v/>
      </c>
      <c r="PU5" s="18">
        <f>NORM.S.INV(RAND())</f>
        <v/>
      </c>
      <c r="PV5" s="18">
        <f>NORM.S.INV(RAND())</f>
        <v/>
      </c>
      <c r="PW5" s="18">
        <f>NORM.S.INV(RAND())</f>
        <v/>
      </c>
      <c r="PX5" s="18">
        <f>NORM.S.INV(RAND())</f>
        <v/>
      </c>
      <c r="PY5" s="18">
        <f>NORM.S.INV(RAND())</f>
        <v/>
      </c>
      <c r="PZ5" s="18">
        <f>NORM.S.INV(RAND())</f>
        <v/>
      </c>
      <c r="QA5" s="18">
        <f>NORM.S.INV(RAND())</f>
        <v/>
      </c>
      <c r="QB5" s="18">
        <f>NORM.S.INV(RAND())</f>
        <v/>
      </c>
      <c r="QC5" s="18">
        <f>NORM.S.INV(RAND())</f>
        <v/>
      </c>
      <c r="QD5" s="18">
        <f>NORM.S.INV(RAND())</f>
        <v/>
      </c>
      <c r="QE5" s="18">
        <f>NORM.S.INV(RAND())</f>
        <v/>
      </c>
      <c r="QF5" s="18">
        <f>NORM.S.INV(RAND())</f>
        <v/>
      </c>
      <c r="QG5" s="18">
        <f>NORM.S.INV(RAND())</f>
        <v/>
      </c>
      <c r="QH5" s="18">
        <f>NORM.S.INV(RAND())</f>
        <v/>
      </c>
      <c r="QI5" s="18">
        <f>NORM.S.INV(RAND())</f>
        <v/>
      </c>
      <c r="QJ5" s="18">
        <f>NORM.S.INV(RAND())</f>
        <v/>
      </c>
      <c r="QK5" s="18">
        <f>NORM.S.INV(RAND())</f>
        <v/>
      </c>
      <c r="QL5" s="18">
        <f>NORM.S.INV(RAND())</f>
        <v/>
      </c>
      <c r="QM5" s="18">
        <f>NORM.S.INV(RAND())</f>
        <v/>
      </c>
      <c r="QN5" s="18">
        <f>NORM.S.INV(RAND())</f>
        <v/>
      </c>
      <c r="QO5" s="18">
        <f>NORM.S.INV(RAND())</f>
        <v/>
      </c>
      <c r="QP5" s="18">
        <f>NORM.S.INV(RAND())</f>
        <v/>
      </c>
      <c r="QQ5" s="18">
        <f>NORM.S.INV(RAND())</f>
        <v/>
      </c>
      <c r="QR5" s="18">
        <f>NORM.S.INV(RAND())</f>
        <v/>
      </c>
      <c r="QS5" s="18">
        <f>NORM.S.INV(RAND())</f>
        <v/>
      </c>
      <c r="QT5" s="18">
        <f>NORM.S.INV(RAND())</f>
        <v/>
      </c>
      <c r="QU5" s="18">
        <f>NORM.S.INV(RAND())</f>
        <v/>
      </c>
      <c r="QV5" s="18">
        <f>NORM.S.INV(RAND())</f>
        <v/>
      </c>
      <c r="QW5" s="18">
        <f>NORM.S.INV(RAND())</f>
        <v/>
      </c>
      <c r="QX5" s="18">
        <f>NORM.S.INV(RAND())</f>
        <v/>
      </c>
      <c r="QY5" s="18">
        <f>NORM.S.INV(RAND())</f>
        <v/>
      </c>
      <c r="QZ5" s="18">
        <f>NORM.S.INV(RAND())</f>
        <v/>
      </c>
      <c r="RA5" s="18">
        <f>NORM.S.INV(RAND())</f>
        <v/>
      </c>
      <c r="RB5" s="18">
        <f>NORM.S.INV(RAND())</f>
        <v/>
      </c>
      <c r="RC5" s="18">
        <f>NORM.S.INV(RAND())</f>
        <v/>
      </c>
      <c r="RD5" s="18">
        <f>NORM.S.INV(RAND())</f>
        <v/>
      </c>
      <c r="RE5" s="18">
        <f>NORM.S.INV(RAND())</f>
        <v/>
      </c>
      <c r="RF5" s="18">
        <f>NORM.S.INV(RAND())</f>
        <v/>
      </c>
      <c r="RG5" s="18">
        <f>NORM.S.INV(RAND())</f>
        <v/>
      </c>
      <c r="RH5" s="18">
        <f>NORM.S.INV(RAND())</f>
        <v/>
      </c>
      <c r="RI5" s="18">
        <f>NORM.S.INV(RAND())</f>
        <v/>
      </c>
      <c r="RJ5" s="18">
        <f>NORM.S.INV(RAND())</f>
        <v/>
      </c>
      <c r="RK5" s="18">
        <f>NORM.S.INV(RAND())</f>
        <v/>
      </c>
      <c r="RL5" s="18">
        <f>NORM.S.INV(RAND())</f>
        <v/>
      </c>
      <c r="RM5" s="18">
        <f>NORM.S.INV(RAND())</f>
        <v/>
      </c>
      <c r="RN5" s="18">
        <f>NORM.S.INV(RAND())</f>
        <v/>
      </c>
      <c r="RO5" s="18">
        <f>NORM.S.INV(RAND())</f>
        <v/>
      </c>
      <c r="RP5" s="18">
        <f>NORM.S.INV(RAND())</f>
        <v/>
      </c>
      <c r="RQ5" s="18">
        <f>NORM.S.INV(RAND())</f>
        <v/>
      </c>
      <c r="RR5" s="18">
        <f>NORM.S.INV(RAND())</f>
        <v/>
      </c>
      <c r="RS5" s="18">
        <f>NORM.S.INV(RAND())</f>
        <v/>
      </c>
      <c r="RT5" s="18">
        <f>NORM.S.INV(RAND())</f>
        <v/>
      </c>
      <c r="RU5" s="18">
        <f>NORM.S.INV(RAND())</f>
        <v/>
      </c>
      <c r="RV5" s="18">
        <f>NORM.S.INV(RAND())</f>
        <v/>
      </c>
      <c r="RW5" s="18">
        <f>NORM.S.INV(RAND())</f>
        <v/>
      </c>
      <c r="RX5" s="18">
        <f>NORM.S.INV(RAND())</f>
        <v/>
      </c>
      <c r="RY5" s="18">
        <f>NORM.S.INV(RAND())</f>
        <v/>
      </c>
      <c r="RZ5" s="18">
        <f>NORM.S.INV(RAND())</f>
        <v/>
      </c>
      <c r="SA5" s="18">
        <f>NORM.S.INV(RAND())</f>
        <v/>
      </c>
      <c r="SB5" s="18">
        <f>NORM.S.INV(RAND())</f>
        <v/>
      </c>
      <c r="SC5" s="18">
        <f>NORM.S.INV(RAND())</f>
        <v/>
      </c>
      <c r="SD5" s="18">
        <f>NORM.S.INV(RAND())</f>
        <v/>
      </c>
      <c r="SE5" s="18">
        <f>NORM.S.INV(RAND())</f>
        <v/>
      </c>
      <c r="SF5" s="18">
        <f>NORM.S.INV(RAND())</f>
        <v/>
      </c>
      <c r="SG5" s="18">
        <f>NORM.S.INV(RAND())</f>
        <v/>
      </c>
    </row>
    <row r="6">
      <c r="A6" s="17" t="inlineStr">
        <is>
          <t>Sector: Manufacturing</t>
        </is>
      </c>
      <c r="B6" s="18">
        <f>NORM.S.INV(RAND())</f>
        <v/>
      </c>
      <c r="C6" s="18">
        <f>NORM.S.INV(RAND())</f>
        <v/>
      </c>
      <c r="D6" s="18">
        <f>NORM.S.INV(RAND())</f>
        <v/>
      </c>
      <c r="E6" s="18">
        <f>NORM.S.INV(RAND())</f>
        <v/>
      </c>
      <c r="F6" s="18">
        <f>NORM.S.INV(RAND())</f>
        <v/>
      </c>
      <c r="G6" s="18">
        <f>NORM.S.INV(RAND())</f>
        <v/>
      </c>
      <c r="H6" s="18">
        <f>NORM.S.INV(RAND())</f>
        <v/>
      </c>
      <c r="I6" s="18">
        <f>NORM.S.INV(RAND())</f>
        <v/>
      </c>
      <c r="J6" s="18">
        <f>NORM.S.INV(RAND())</f>
        <v/>
      </c>
      <c r="K6" s="18">
        <f>NORM.S.INV(RAND())</f>
        <v/>
      </c>
      <c r="L6" s="18">
        <f>NORM.S.INV(RAND())</f>
        <v/>
      </c>
      <c r="M6" s="18">
        <f>NORM.S.INV(RAND())</f>
        <v/>
      </c>
      <c r="N6" s="18">
        <f>NORM.S.INV(RAND())</f>
        <v/>
      </c>
      <c r="O6" s="18">
        <f>NORM.S.INV(RAND())</f>
        <v/>
      </c>
      <c r="P6" s="18">
        <f>NORM.S.INV(RAND())</f>
        <v/>
      </c>
      <c r="Q6" s="18">
        <f>NORM.S.INV(RAND())</f>
        <v/>
      </c>
      <c r="R6" s="18">
        <f>NORM.S.INV(RAND())</f>
        <v/>
      </c>
      <c r="S6" s="18">
        <f>NORM.S.INV(RAND())</f>
        <v/>
      </c>
      <c r="T6" s="18">
        <f>NORM.S.INV(RAND())</f>
        <v/>
      </c>
      <c r="U6" s="18">
        <f>NORM.S.INV(RAND())</f>
        <v/>
      </c>
      <c r="V6" s="18">
        <f>NORM.S.INV(RAND())</f>
        <v/>
      </c>
      <c r="W6" s="18">
        <f>NORM.S.INV(RAND())</f>
        <v/>
      </c>
      <c r="X6" s="18">
        <f>NORM.S.INV(RAND())</f>
        <v/>
      </c>
      <c r="Y6" s="18">
        <f>NORM.S.INV(RAND())</f>
        <v/>
      </c>
      <c r="Z6" s="18">
        <f>NORM.S.INV(RAND())</f>
        <v/>
      </c>
      <c r="AA6" s="18">
        <f>NORM.S.INV(RAND())</f>
        <v/>
      </c>
      <c r="AB6" s="18">
        <f>NORM.S.INV(RAND())</f>
        <v/>
      </c>
      <c r="AC6" s="18">
        <f>NORM.S.INV(RAND())</f>
        <v/>
      </c>
      <c r="AD6" s="18">
        <f>NORM.S.INV(RAND())</f>
        <v/>
      </c>
      <c r="AE6" s="18">
        <f>NORM.S.INV(RAND())</f>
        <v/>
      </c>
      <c r="AF6" s="18">
        <f>NORM.S.INV(RAND())</f>
        <v/>
      </c>
      <c r="AG6" s="18">
        <f>NORM.S.INV(RAND())</f>
        <v/>
      </c>
      <c r="AH6" s="18">
        <f>NORM.S.INV(RAND())</f>
        <v/>
      </c>
      <c r="AI6" s="18">
        <f>NORM.S.INV(RAND())</f>
        <v/>
      </c>
      <c r="AJ6" s="18">
        <f>NORM.S.INV(RAND())</f>
        <v/>
      </c>
      <c r="AK6" s="18">
        <f>NORM.S.INV(RAND())</f>
        <v/>
      </c>
      <c r="AL6" s="18">
        <f>NORM.S.INV(RAND())</f>
        <v/>
      </c>
      <c r="AM6" s="18">
        <f>NORM.S.INV(RAND())</f>
        <v/>
      </c>
      <c r="AN6" s="18">
        <f>NORM.S.INV(RAND())</f>
        <v/>
      </c>
      <c r="AO6" s="18">
        <f>NORM.S.INV(RAND())</f>
        <v/>
      </c>
      <c r="AP6" s="18">
        <f>NORM.S.INV(RAND())</f>
        <v/>
      </c>
      <c r="AQ6" s="18">
        <f>NORM.S.INV(RAND())</f>
        <v/>
      </c>
      <c r="AR6" s="18">
        <f>NORM.S.INV(RAND())</f>
        <v/>
      </c>
      <c r="AS6" s="18">
        <f>NORM.S.INV(RAND())</f>
        <v/>
      </c>
      <c r="AT6" s="18">
        <f>NORM.S.INV(RAND())</f>
        <v/>
      </c>
      <c r="AU6" s="18">
        <f>NORM.S.INV(RAND())</f>
        <v/>
      </c>
      <c r="AV6" s="18">
        <f>NORM.S.INV(RAND())</f>
        <v/>
      </c>
      <c r="AW6" s="18">
        <f>NORM.S.INV(RAND())</f>
        <v/>
      </c>
      <c r="AX6" s="18">
        <f>NORM.S.INV(RAND())</f>
        <v/>
      </c>
      <c r="AY6" s="18">
        <f>NORM.S.INV(RAND())</f>
        <v/>
      </c>
      <c r="AZ6" s="18">
        <f>NORM.S.INV(RAND())</f>
        <v/>
      </c>
      <c r="BA6" s="18">
        <f>NORM.S.INV(RAND())</f>
        <v/>
      </c>
      <c r="BB6" s="18">
        <f>NORM.S.INV(RAND())</f>
        <v/>
      </c>
      <c r="BC6" s="18">
        <f>NORM.S.INV(RAND())</f>
        <v/>
      </c>
      <c r="BD6" s="18">
        <f>NORM.S.INV(RAND())</f>
        <v/>
      </c>
      <c r="BE6" s="18">
        <f>NORM.S.INV(RAND())</f>
        <v/>
      </c>
      <c r="BF6" s="18">
        <f>NORM.S.INV(RAND())</f>
        <v/>
      </c>
      <c r="BG6" s="18">
        <f>NORM.S.INV(RAND())</f>
        <v/>
      </c>
      <c r="BH6" s="18">
        <f>NORM.S.INV(RAND())</f>
        <v/>
      </c>
      <c r="BI6" s="18">
        <f>NORM.S.INV(RAND())</f>
        <v/>
      </c>
      <c r="BJ6" s="18">
        <f>NORM.S.INV(RAND())</f>
        <v/>
      </c>
      <c r="BK6" s="18">
        <f>NORM.S.INV(RAND())</f>
        <v/>
      </c>
      <c r="BL6" s="18">
        <f>NORM.S.INV(RAND())</f>
        <v/>
      </c>
      <c r="BM6" s="18">
        <f>NORM.S.INV(RAND())</f>
        <v/>
      </c>
      <c r="BN6" s="18">
        <f>NORM.S.INV(RAND())</f>
        <v/>
      </c>
      <c r="BO6" s="18">
        <f>NORM.S.INV(RAND())</f>
        <v/>
      </c>
      <c r="BP6" s="18">
        <f>NORM.S.INV(RAND())</f>
        <v/>
      </c>
      <c r="BQ6" s="18">
        <f>NORM.S.INV(RAND())</f>
        <v/>
      </c>
      <c r="BR6" s="18">
        <f>NORM.S.INV(RAND())</f>
        <v/>
      </c>
      <c r="BS6" s="18">
        <f>NORM.S.INV(RAND())</f>
        <v/>
      </c>
      <c r="BT6" s="18">
        <f>NORM.S.INV(RAND())</f>
        <v/>
      </c>
      <c r="BU6" s="18">
        <f>NORM.S.INV(RAND())</f>
        <v/>
      </c>
      <c r="BV6" s="18">
        <f>NORM.S.INV(RAND())</f>
        <v/>
      </c>
      <c r="BW6" s="18">
        <f>NORM.S.INV(RAND())</f>
        <v/>
      </c>
      <c r="BX6" s="18">
        <f>NORM.S.INV(RAND())</f>
        <v/>
      </c>
      <c r="BY6" s="18">
        <f>NORM.S.INV(RAND())</f>
        <v/>
      </c>
      <c r="BZ6" s="18">
        <f>NORM.S.INV(RAND())</f>
        <v/>
      </c>
      <c r="CA6" s="18">
        <f>NORM.S.INV(RAND())</f>
        <v/>
      </c>
      <c r="CB6" s="18">
        <f>NORM.S.INV(RAND())</f>
        <v/>
      </c>
      <c r="CC6" s="18">
        <f>NORM.S.INV(RAND())</f>
        <v/>
      </c>
      <c r="CD6" s="18">
        <f>NORM.S.INV(RAND())</f>
        <v/>
      </c>
      <c r="CE6" s="18">
        <f>NORM.S.INV(RAND())</f>
        <v/>
      </c>
      <c r="CF6" s="18">
        <f>NORM.S.INV(RAND())</f>
        <v/>
      </c>
      <c r="CG6" s="18">
        <f>NORM.S.INV(RAND())</f>
        <v/>
      </c>
      <c r="CH6" s="18">
        <f>NORM.S.INV(RAND())</f>
        <v/>
      </c>
      <c r="CI6" s="18">
        <f>NORM.S.INV(RAND())</f>
        <v/>
      </c>
      <c r="CJ6" s="18">
        <f>NORM.S.INV(RAND())</f>
        <v/>
      </c>
      <c r="CK6" s="18">
        <f>NORM.S.INV(RAND())</f>
        <v/>
      </c>
      <c r="CL6" s="18">
        <f>NORM.S.INV(RAND())</f>
        <v/>
      </c>
      <c r="CM6" s="18">
        <f>NORM.S.INV(RAND())</f>
        <v/>
      </c>
      <c r="CN6" s="18">
        <f>NORM.S.INV(RAND())</f>
        <v/>
      </c>
      <c r="CO6" s="18">
        <f>NORM.S.INV(RAND())</f>
        <v/>
      </c>
      <c r="CP6" s="18">
        <f>NORM.S.INV(RAND())</f>
        <v/>
      </c>
      <c r="CQ6" s="18">
        <f>NORM.S.INV(RAND())</f>
        <v/>
      </c>
      <c r="CR6" s="18">
        <f>NORM.S.INV(RAND())</f>
        <v/>
      </c>
      <c r="CS6" s="18">
        <f>NORM.S.INV(RAND())</f>
        <v/>
      </c>
      <c r="CT6" s="18">
        <f>NORM.S.INV(RAND())</f>
        <v/>
      </c>
      <c r="CU6" s="18">
        <f>NORM.S.INV(RAND())</f>
        <v/>
      </c>
      <c r="CV6" s="18">
        <f>NORM.S.INV(RAND())</f>
        <v/>
      </c>
      <c r="CW6" s="18">
        <f>NORM.S.INV(RAND())</f>
        <v/>
      </c>
      <c r="CX6" s="18">
        <f>NORM.S.INV(RAND())</f>
        <v/>
      </c>
      <c r="CY6" s="18">
        <f>NORM.S.INV(RAND())</f>
        <v/>
      </c>
      <c r="CZ6" s="18">
        <f>NORM.S.INV(RAND())</f>
        <v/>
      </c>
      <c r="DA6" s="18">
        <f>NORM.S.INV(RAND())</f>
        <v/>
      </c>
      <c r="DB6" s="18">
        <f>NORM.S.INV(RAND())</f>
        <v/>
      </c>
      <c r="DC6" s="18">
        <f>NORM.S.INV(RAND())</f>
        <v/>
      </c>
      <c r="DD6" s="18">
        <f>NORM.S.INV(RAND())</f>
        <v/>
      </c>
      <c r="DE6" s="18">
        <f>NORM.S.INV(RAND())</f>
        <v/>
      </c>
      <c r="DF6" s="18">
        <f>NORM.S.INV(RAND())</f>
        <v/>
      </c>
      <c r="DG6" s="18">
        <f>NORM.S.INV(RAND())</f>
        <v/>
      </c>
      <c r="DH6" s="18">
        <f>NORM.S.INV(RAND())</f>
        <v/>
      </c>
      <c r="DI6" s="18">
        <f>NORM.S.INV(RAND())</f>
        <v/>
      </c>
      <c r="DJ6" s="18">
        <f>NORM.S.INV(RAND())</f>
        <v/>
      </c>
      <c r="DK6" s="18">
        <f>NORM.S.INV(RAND())</f>
        <v/>
      </c>
      <c r="DL6" s="18">
        <f>NORM.S.INV(RAND())</f>
        <v/>
      </c>
      <c r="DM6" s="18">
        <f>NORM.S.INV(RAND())</f>
        <v/>
      </c>
      <c r="DN6" s="18">
        <f>NORM.S.INV(RAND())</f>
        <v/>
      </c>
      <c r="DO6" s="18">
        <f>NORM.S.INV(RAND())</f>
        <v/>
      </c>
      <c r="DP6" s="18">
        <f>NORM.S.INV(RAND())</f>
        <v/>
      </c>
      <c r="DQ6" s="18">
        <f>NORM.S.INV(RAND())</f>
        <v/>
      </c>
      <c r="DR6" s="18">
        <f>NORM.S.INV(RAND())</f>
        <v/>
      </c>
      <c r="DS6" s="18">
        <f>NORM.S.INV(RAND())</f>
        <v/>
      </c>
      <c r="DT6" s="18">
        <f>NORM.S.INV(RAND())</f>
        <v/>
      </c>
      <c r="DU6" s="18">
        <f>NORM.S.INV(RAND())</f>
        <v/>
      </c>
      <c r="DV6" s="18">
        <f>NORM.S.INV(RAND())</f>
        <v/>
      </c>
      <c r="DW6" s="18">
        <f>NORM.S.INV(RAND())</f>
        <v/>
      </c>
      <c r="DX6" s="18">
        <f>NORM.S.INV(RAND())</f>
        <v/>
      </c>
      <c r="DY6" s="18">
        <f>NORM.S.INV(RAND())</f>
        <v/>
      </c>
      <c r="DZ6" s="18">
        <f>NORM.S.INV(RAND())</f>
        <v/>
      </c>
      <c r="EA6" s="18">
        <f>NORM.S.INV(RAND())</f>
        <v/>
      </c>
      <c r="EB6" s="18">
        <f>NORM.S.INV(RAND())</f>
        <v/>
      </c>
      <c r="EC6" s="18">
        <f>NORM.S.INV(RAND())</f>
        <v/>
      </c>
      <c r="ED6" s="18">
        <f>NORM.S.INV(RAND())</f>
        <v/>
      </c>
      <c r="EE6" s="18">
        <f>NORM.S.INV(RAND())</f>
        <v/>
      </c>
      <c r="EF6" s="18">
        <f>NORM.S.INV(RAND())</f>
        <v/>
      </c>
      <c r="EG6" s="18">
        <f>NORM.S.INV(RAND())</f>
        <v/>
      </c>
      <c r="EH6" s="18">
        <f>NORM.S.INV(RAND())</f>
        <v/>
      </c>
      <c r="EI6" s="18">
        <f>NORM.S.INV(RAND())</f>
        <v/>
      </c>
      <c r="EJ6" s="18">
        <f>NORM.S.INV(RAND())</f>
        <v/>
      </c>
      <c r="EK6" s="18">
        <f>NORM.S.INV(RAND())</f>
        <v/>
      </c>
      <c r="EL6" s="18">
        <f>NORM.S.INV(RAND())</f>
        <v/>
      </c>
      <c r="EM6" s="18">
        <f>NORM.S.INV(RAND())</f>
        <v/>
      </c>
      <c r="EN6" s="18">
        <f>NORM.S.INV(RAND())</f>
        <v/>
      </c>
      <c r="EO6" s="18">
        <f>NORM.S.INV(RAND())</f>
        <v/>
      </c>
      <c r="EP6" s="18">
        <f>NORM.S.INV(RAND())</f>
        <v/>
      </c>
      <c r="EQ6" s="18">
        <f>NORM.S.INV(RAND())</f>
        <v/>
      </c>
      <c r="ER6" s="18">
        <f>NORM.S.INV(RAND())</f>
        <v/>
      </c>
      <c r="ES6" s="18">
        <f>NORM.S.INV(RAND())</f>
        <v/>
      </c>
      <c r="ET6" s="18">
        <f>NORM.S.INV(RAND())</f>
        <v/>
      </c>
      <c r="EU6" s="18">
        <f>NORM.S.INV(RAND())</f>
        <v/>
      </c>
      <c r="EV6" s="18">
        <f>NORM.S.INV(RAND())</f>
        <v/>
      </c>
      <c r="EW6" s="18">
        <f>NORM.S.INV(RAND())</f>
        <v/>
      </c>
      <c r="EX6" s="18">
        <f>NORM.S.INV(RAND())</f>
        <v/>
      </c>
      <c r="EY6" s="18">
        <f>NORM.S.INV(RAND())</f>
        <v/>
      </c>
      <c r="EZ6" s="18">
        <f>NORM.S.INV(RAND())</f>
        <v/>
      </c>
      <c r="FA6" s="18">
        <f>NORM.S.INV(RAND())</f>
        <v/>
      </c>
      <c r="FB6" s="18">
        <f>NORM.S.INV(RAND())</f>
        <v/>
      </c>
      <c r="FC6" s="18">
        <f>NORM.S.INV(RAND())</f>
        <v/>
      </c>
      <c r="FD6" s="18">
        <f>NORM.S.INV(RAND())</f>
        <v/>
      </c>
      <c r="FE6" s="18">
        <f>NORM.S.INV(RAND())</f>
        <v/>
      </c>
      <c r="FF6" s="18">
        <f>NORM.S.INV(RAND())</f>
        <v/>
      </c>
      <c r="FG6" s="18">
        <f>NORM.S.INV(RAND())</f>
        <v/>
      </c>
      <c r="FH6" s="18">
        <f>NORM.S.INV(RAND())</f>
        <v/>
      </c>
      <c r="FI6" s="18">
        <f>NORM.S.INV(RAND())</f>
        <v/>
      </c>
      <c r="FJ6" s="18">
        <f>NORM.S.INV(RAND())</f>
        <v/>
      </c>
      <c r="FK6" s="18">
        <f>NORM.S.INV(RAND())</f>
        <v/>
      </c>
      <c r="FL6" s="18">
        <f>NORM.S.INV(RAND())</f>
        <v/>
      </c>
      <c r="FM6" s="18">
        <f>NORM.S.INV(RAND())</f>
        <v/>
      </c>
      <c r="FN6" s="18">
        <f>NORM.S.INV(RAND())</f>
        <v/>
      </c>
      <c r="FO6" s="18">
        <f>NORM.S.INV(RAND())</f>
        <v/>
      </c>
      <c r="FP6" s="18">
        <f>NORM.S.INV(RAND())</f>
        <v/>
      </c>
      <c r="FQ6" s="18">
        <f>NORM.S.INV(RAND())</f>
        <v/>
      </c>
      <c r="FR6" s="18">
        <f>NORM.S.INV(RAND())</f>
        <v/>
      </c>
      <c r="FS6" s="18">
        <f>NORM.S.INV(RAND())</f>
        <v/>
      </c>
      <c r="FT6" s="18">
        <f>NORM.S.INV(RAND())</f>
        <v/>
      </c>
      <c r="FU6" s="18">
        <f>NORM.S.INV(RAND())</f>
        <v/>
      </c>
      <c r="FV6" s="18">
        <f>NORM.S.INV(RAND())</f>
        <v/>
      </c>
      <c r="FW6" s="18">
        <f>NORM.S.INV(RAND())</f>
        <v/>
      </c>
      <c r="FX6" s="18">
        <f>NORM.S.INV(RAND())</f>
        <v/>
      </c>
      <c r="FY6" s="18">
        <f>NORM.S.INV(RAND())</f>
        <v/>
      </c>
      <c r="FZ6" s="18">
        <f>NORM.S.INV(RAND())</f>
        <v/>
      </c>
      <c r="GA6" s="18">
        <f>NORM.S.INV(RAND())</f>
        <v/>
      </c>
      <c r="GB6" s="18">
        <f>NORM.S.INV(RAND())</f>
        <v/>
      </c>
      <c r="GC6" s="18">
        <f>NORM.S.INV(RAND())</f>
        <v/>
      </c>
      <c r="GD6" s="18">
        <f>NORM.S.INV(RAND())</f>
        <v/>
      </c>
      <c r="GE6" s="18">
        <f>NORM.S.INV(RAND())</f>
        <v/>
      </c>
      <c r="GF6" s="18">
        <f>NORM.S.INV(RAND())</f>
        <v/>
      </c>
      <c r="GG6" s="18">
        <f>NORM.S.INV(RAND())</f>
        <v/>
      </c>
      <c r="GH6" s="18">
        <f>NORM.S.INV(RAND())</f>
        <v/>
      </c>
      <c r="GI6" s="18">
        <f>NORM.S.INV(RAND())</f>
        <v/>
      </c>
      <c r="GJ6" s="18">
        <f>NORM.S.INV(RAND())</f>
        <v/>
      </c>
      <c r="GK6" s="18">
        <f>NORM.S.INV(RAND())</f>
        <v/>
      </c>
      <c r="GL6" s="18">
        <f>NORM.S.INV(RAND())</f>
        <v/>
      </c>
      <c r="GM6" s="18">
        <f>NORM.S.INV(RAND())</f>
        <v/>
      </c>
      <c r="GN6" s="18">
        <f>NORM.S.INV(RAND())</f>
        <v/>
      </c>
      <c r="GO6" s="18">
        <f>NORM.S.INV(RAND())</f>
        <v/>
      </c>
      <c r="GP6" s="18">
        <f>NORM.S.INV(RAND())</f>
        <v/>
      </c>
      <c r="GQ6" s="18">
        <f>NORM.S.INV(RAND())</f>
        <v/>
      </c>
      <c r="GR6" s="18">
        <f>NORM.S.INV(RAND())</f>
        <v/>
      </c>
      <c r="GS6" s="18">
        <f>NORM.S.INV(RAND())</f>
        <v/>
      </c>
      <c r="GT6" s="18">
        <f>NORM.S.INV(RAND())</f>
        <v/>
      </c>
      <c r="GU6" s="18">
        <f>NORM.S.INV(RAND())</f>
        <v/>
      </c>
      <c r="GV6" s="18">
        <f>NORM.S.INV(RAND())</f>
        <v/>
      </c>
      <c r="GW6" s="18">
        <f>NORM.S.INV(RAND())</f>
        <v/>
      </c>
      <c r="GX6" s="18">
        <f>NORM.S.INV(RAND())</f>
        <v/>
      </c>
      <c r="GY6" s="18">
        <f>NORM.S.INV(RAND())</f>
        <v/>
      </c>
      <c r="GZ6" s="18">
        <f>NORM.S.INV(RAND())</f>
        <v/>
      </c>
      <c r="HA6" s="18">
        <f>NORM.S.INV(RAND())</f>
        <v/>
      </c>
      <c r="HB6" s="18">
        <f>NORM.S.INV(RAND())</f>
        <v/>
      </c>
      <c r="HC6" s="18">
        <f>NORM.S.INV(RAND())</f>
        <v/>
      </c>
      <c r="HD6" s="18">
        <f>NORM.S.INV(RAND())</f>
        <v/>
      </c>
      <c r="HE6" s="18">
        <f>NORM.S.INV(RAND())</f>
        <v/>
      </c>
      <c r="HF6" s="18">
        <f>NORM.S.INV(RAND())</f>
        <v/>
      </c>
      <c r="HG6" s="18">
        <f>NORM.S.INV(RAND())</f>
        <v/>
      </c>
      <c r="HH6" s="18">
        <f>NORM.S.INV(RAND())</f>
        <v/>
      </c>
      <c r="HI6" s="18">
        <f>NORM.S.INV(RAND())</f>
        <v/>
      </c>
      <c r="HJ6" s="18">
        <f>NORM.S.INV(RAND())</f>
        <v/>
      </c>
      <c r="HK6" s="18">
        <f>NORM.S.INV(RAND())</f>
        <v/>
      </c>
      <c r="HL6" s="18">
        <f>NORM.S.INV(RAND())</f>
        <v/>
      </c>
      <c r="HM6" s="18">
        <f>NORM.S.INV(RAND())</f>
        <v/>
      </c>
      <c r="HN6" s="18">
        <f>NORM.S.INV(RAND())</f>
        <v/>
      </c>
      <c r="HO6" s="18">
        <f>NORM.S.INV(RAND())</f>
        <v/>
      </c>
      <c r="HP6" s="18">
        <f>NORM.S.INV(RAND())</f>
        <v/>
      </c>
      <c r="HQ6" s="18">
        <f>NORM.S.INV(RAND())</f>
        <v/>
      </c>
      <c r="HR6" s="18">
        <f>NORM.S.INV(RAND())</f>
        <v/>
      </c>
      <c r="HS6" s="18">
        <f>NORM.S.INV(RAND())</f>
        <v/>
      </c>
      <c r="HT6" s="18">
        <f>NORM.S.INV(RAND())</f>
        <v/>
      </c>
      <c r="HU6" s="18">
        <f>NORM.S.INV(RAND())</f>
        <v/>
      </c>
      <c r="HV6" s="18">
        <f>NORM.S.INV(RAND())</f>
        <v/>
      </c>
      <c r="HW6" s="18">
        <f>NORM.S.INV(RAND())</f>
        <v/>
      </c>
      <c r="HX6" s="18">
        <f>NORM.S.INV(RAND())</f>
        <v/>
      </c>
      <c r="HY6" s="18">
        <f>NORM.S.INV(RAND())</f>
        <v/>
      </c>
      <c r="HZ6" s="18">
        <f>NORM.S.INV(RAND())</f>
        <v/>
      </c>
      <c r="IA6" s="18">
        <f>NORM.S.INV(RAND())</f>
        <v/>
      </c>
      <c r="IB6" s="18">
        <f>NORM.S.INV(RAND())</f>
        <v/>
      </c>
      <c r="IC6" s="18">
        <f>NORM.S.INV(RAND())</f>
        <v/>
      </c>
      <c r="ID6" s="18">
        <f>NORM.S.INV(RAND())</f>
        <v/>
      </c>
      <c r="IE6" s="18">
        <f>NORM.S.INV(RAND())</f>
        <v/>
      </c>
      <c r="IF6" s="18">
        <f>NORM.S.INV(RAND())</f>
        <v/>
      </c>
      <c r="IG6" s="18">
        <f>NORM.S.INV(RAND())</f>
        <v/>
      </c>
      <c r="IH6" s="18">
        <f>NORM.S.INV(RAND())</f>
        <v/>
      </c>
      <c r="II6" s="18">
        <f>NORM.S.INV(RAND())</f>
        <v/>
      </c>
      <c r="IJ6" s="18">
        <f>NORM.S.INV(RAND())</f>
        <v/>
      </c>
      <c r="IK6" s="18">
        <f>NORM.S.INV(RAND())</f>
        <v/>
      </c>
      <c r="IL6" s="18">
        <f>NORM.S.INV(RAND())</f>
        <v/>
      </c>
      <c r="IM6" s="18">
        <f>NORM.S.INV(RAND())</f>
        <v/>
      </c>
      <c r="IN6" s="18">
        <f>NORM.S.INV(RAND())</f>
        <v/>
      </c>
      <c r="IO6" s="18">
        <f>NORM.S.INV(RAND())</f>
        <v/>
      </c>
      <c r="IP6" s="18">
        <f>NORM.S.INV(RAND())</f>
        <v/>
      </c>
      <c r="IQ6" s="18">
        <f>NORM.S.INV(RAND())</f>
        <v/>
      </c>
      <c r="IR6" s="18">
        <f>NORM.S.INV(RAND())</f>
        <v/>
      </c>
      <c r="IS6" s="18">
        <f>NORM.S.INV(RAND())</f>
        <v/>
      </c>
      <c r="IT6" s="18">
        <f>NORM.S.INV(RAND())</f>
        <v/>
      </c>
      <c r="IU6" s="18">
        <f>NORM.S.INV(RAND())</f>
        <v/>
      </c>
      <c r="IV6" s="18">
        <f>NORM.S.INV(RAND())</f>
        <v/>
      </c>
      <c r="IW6" s="18">
        <f>NORM.S.INV(RAND())</f>
        <v/>
      </c>
      <c r="IX6" s="18">
        <f>NORM.S.INV(RAND())</f>
        <v/>
      </c>
      <c r="IY6" s="18">
        <f>NORM.S.INV(RAND())</f>
        <v/>
      </c>
      <c r="IZ6" s="18">
        <f>NORM.S.INV(RAND())</f>
        <v/>
      </c>
      <c r="JA6" s="18">
        <f>NORM.S.INV(RAND())</f>
        <v/>
      </c>
      <c r="JB6" s="18">
        <f>NORM.S.INV(RAND())</f>
        <v/>
      </c>
      <c r="JC6" s="18">
        <f>NORM.S.INV(RAND())</f>
        <v/>
      </c>
      <c r="JD6" s="18">
        <f>NORM.S.INV(RAND())</f>
        <v/>
      </c>
      <c r="JE6" s="18">
        <f>NORM.S.INV(RAND())</f>
        <v/>
      </c>
      <c r="JF6" s="18">
        <f>NORM.S.INV(RAND())</f>
        <v/>
      </c>
      <c r="JG6" s="18">
        <f>NORM.S.INV(RAND())</f>
        <v/>
      </c>
      <c r="JH6" s="18">
        <f>NORM.S.INV(RAND())</f>
        <v/>
      </c>
      <c r="JI6" s="18">
        <f>NORM.S.INV(RAND())</f>
        <v/>
      </c>
      <c r="JJ6" s="18">
        <f>NORM.S.INV(RAND())</f>
        <v/>
      </c>
      <c r="JK6" s="18">
        <f>NORM.S.INV(RAND())</f>
        <v/>
      </c>
      <c r="JL6" s="18">
        <f>NORM.S.INV(RAND())</f>
        <v/>
      </c>
      <c r="JM6" s="18">
        <f>NORM.S.INV(RAND())</f>
        <v/>
      </c>
      <c r="JN6" s="18">
        <f>NORM.S.INV(RAND())</f>
        <v/>
      </c>
      <c r="JO6" s="18">
        <f>NORM.S.INV(RAND())</f>
        <v/>
      </c>
      <c r="JP6" s="18">
        <f>NORM.S.INV(RAND())</f>
        <v/>
      </c>
      <c r="JQ6" s="18">
        <f>NORM.S.INV(RAND())</f>
        <v/>
      </c>
      <c r="JR6" s="18">
        <f>NORM.S.INV(RAND())</f>
        <v/>
      </c>
      <c r="JS6" s="18">
        <f>NORM.S.INV(RAND())</f>
        <v/>
      </c>
      <c r="JT6" s="18">
        <f>NORM.S.INV(RAND())</f>
        <v/>
      </c>
      <c r="JU6" s="18">
        <f>NORM.S.INV(RAND())</f>
        <v/>
      </c>
      <c r="JV6" s="18">
        <f>NORM.S.INV(RAND())</f>
        <v/>
      </c>
      <c r="JW6" s="18">
        <f>NORM.S.INV(RAND())</f>
        <v/>
      </c>
      <c r="JX6" s="18">
        <f>NORM.S.INV(RAND())</f>
        <v/>
      </c>
      <c r="JY6" s="18">
        <f>NORM.S.INV(RAND())</f>
        <v/>
      </c>
      <c r="JZ6" s="18">
        <f>NORM.S.INV(RAND())</f>
        <v/>
      </c>
      <c r="KA6" s="18">
        <f>NORM.S.INV(RAND())</f>
        <v/>
      </c>
      <c r="KB6" s="18">
        <f>NORM.S.INV(RAND())</f>
        <v/>
      </c>
      <c r="KC6" s="18">
        <f>NORM.S.INV(RAND())</f>
        <v/>
      </c>
      <c r="KD6" s="18">
        <f>NORM.S.INV(RAND())</f>
        <v/>
      </c>
      <c r="KE6" s="18">
        <f>NORM.S.INV(RAND())</f>
        <v/>
      </c>
      <c r="KF6" s="18">
        <f>NORM.S.INV(RAND())</f>
        <v/>
      </c>
      <c r="KG6" s="18">
        <f>NORM.S.INV(RAND())</f>
        <v/>
      </c>
      <c r="KH6" s="18">
        <f>NORM.S.INV(RAND())</f>
        <v/>
      </c>
      <c r="KI6" s="18">
        <f>NORM.S.INV(RAND())</f>
        <v/>
      </c>
      <c r="KJ6" s="18">
        <f>NORM.S.INV(RAND())</f>
        <v/>
      </c>
      <c r="KK6" s="18">
        <f>NORM.S.INV(RAND())</f>
        <v/>
      </c>
      <c r="KL6" s="18">
        <f>NORM.S.INV(RAND())</f>
        <v/>
      </c>
      <c r="KM6" s="18">
        <f>NORM.S.INV(RAND())</f>
        <v/>
      </c>
      <c r="KN6" s="18">
        <f>NORM.S.INV(RAND())</f>
        <v/>
      </c>
      <c r="KO6" s="18">
        <f>NORM.S.INV(RAND())</f>
        <v/>
      </c>
      <c r="KP6" s="18">
        <f>NORM.S.INV(RAND())</f>
        <v/>
      </c>
      <c r="KQ6" s="18">
        <f>NORM.S.INV(RAND())</f>
        <v/>
      </c>
      <c r="KR6" s="18">
        <f>NORM.S.INV(RAND())</f>
        <v/>
      </c>
      <c r="KS6" s="18">
        <f>NORM.S.INV(RAND())</f>
        <v/>
      </c>
      <c r="KT6" s="18">
        <f>NORM.S.INV(RAND())</f>
        <v/>
      </c>
      <c r="KU6" s="18">
        <f>NORM.S.INV(RAND())</f>
        <v/>
      </c>
      <c r="KV6" s="18">
        <f>NORM.S.INV(RAND())</f>
        <v/>
      </c>
      <c r="KW6" s="18">
        <f>NORM.S.INV(RAND())</f>
        <v/>
      </c>
      <c r="KX6" s="18">
        <f>NORM.S.INV(RAND())</f>
        <v/>
      </c>
      <c r="KY6" s="18">
        <f>NORM.S.INV(RAND())</f>
        <v/>
      </c>
      <c r="KZ6" s="18">
        <f>NORM.S.INV(RAND())</f>
        <v/>
      </c>
      <c r="LA6" s="18">
        <f>NORM.S.INV(RAND())</f>
        <v/>
      </c>
      <c r="LB6" s="18">
        <f>NORM.S.INV(RAND())</f>
        <v/>
      </c>
      <c r="LC6" s="18">
        <f>NORM.S.INV(RAND())</f>
        <v/>
      </c>
      <c r="LD6" s="18">
        <f>NORM.S.INV(RAND())</f>
        <v/>
      </c>
      <c r="LE6" s="18">
        <f>NORM.S.INV(RAND())</f>
        <v/>
      </c>
      <c r="LF6" s="18">
        <f>NORM.S.INV(RAND())</f>
        <v/>
      </c>
      <c r="LG6" s="18">
        <f>NORM.S.INV(RAND())</f>
        <v/>
      </c>
      <c r="LH6" s="18">
        <f>NORM.S.INV(RAND())</f>
        <v/>
      </c>
      <c r="LI6" s="18">
        <f>NORM.S.INV(RAND())</f>
        <v/>
      </c>
      <c r="LJ6" s="18">
        <f>NORM.S.INV(RAND())</f>
        <v/>
      </c>
      <c r="LK6" s="18">
        <f>NORM.S.INV(RAND())</f>
        <v/>
      </c>
      <c r="LL6" s="18">
        <f>NORM.S.INV(RAND())</f>
        <v/>
      </c>
      <c r="LM6" s="18">
        <f>NORM.S.INV(RAND())</f>
        <v/>
      </c>
      <c r="LN6" s="18">
        <f>NORM.S.INV(RAND())</f>
        <v/>
      </c>
      <c r="LO6" s="18">
        <f>NORM.S.INV(RAND())</f>
        <v/>
      </c>
      <c r="LP6" s="18">
        <f>NORM.S.INV(RAND())</f>
        <v/>
      </c>
      <c r="LQ6" s="18">
        <f>NORM.S.INV(RAND())</f>
        <v/>
      </c>
      <c r="LR6" s="18">
        <f>NORM.S.INV(RAND())</f>
        <v/>
      </c>
      <c r="LS6" s="18">
        <f>NORM.S.INV(RAND())</f>
        <v/>
      </c>
      <c r="LT6" s="18">
        <f>NORM.S.INV(RAND())</f>
        <v/>
      </c>
      <c r="LU6" s="18">
        <f>NORM.S.INV(RAND())</f>
        <v/>
      </c>
      <c r="LV6" s="18">
        <f>NORM.S.INV(RAND())</f>
        <v/>
      </c>
      <c r="LW6" s="18">
        <f>NORM.S.INV(RAND())</f>
        <v/>
      </c>
      <c r="LX6" s="18">
        <f>NORM.S.INV(RAND())</f>
        <v/>
      </c>
      <c r="LY6" s="18">
        <f>NORM.S.INV(RAND())</f>
        <v/>
      </c>
      <c r="LZ6" s="18">
        <f>NORM.S.INV(RAND())</f>
        <v/>
      </c>
      <c r="MA6" s="18">
        <f>NORM.S.INV(RAND())</f>
        <v/>
      </c>
      <c r="MB6" s="18">
        <f>NORM.S.INV(RAND())</f>
        <v/>
      </c>
      <c r="MC6" s="18">
        <f>NORM.S.INV(RAND())</f>
        <v/>
      </c>
      <c r="MD6" s="18">
        <f>NORM.S.INV(RAND())</f>
        <v/>
      </c>
      <c r="ME6" s="18">
        <f>NORM.S.INV(RAND())</f>
        <v/>
      </c>
      <c r="MF6" s="18">
        <f>NORM.S.INV(RAND())</f>
        <v/>
      </c>
      <c r="MG6" s="18">
        <f>NORM.S.INV(RAND())</f>
        <v/>
      </c>
      <c r="MH6" s="18">
        <f>NORM.S.INV(RAND())</f>
        <v/>
      </c>
      <c r="MI6" s="18">
        <f>NORM.S.INV(RAND())</f>
        <v/>
      </c>
      <c r="MJ6" s="18">
        <f>NORM.S.INV(RAND())</f>
        <v/>
      </c>
      <c r="MK6" s="18">
        <f>NORM.S.INV(RAND())</f>
        <v/>
      </c>
      <c r="ML6" s="18">
        <f>NORM.S.INV(RAND())</f>
        <v/>
      </c>
      <c r="MM6" s="18">
        <f>NORM.S.INV(RAND())</f>
        <v/>
      </c>
      <c r="MN6" s="18">
        <f>NORM.S.INV(RAND())</f>
        <v/>
      </c>
      <c r="MO6" s="18">
        <f>NORM.S.INV(RAND())</f>
        <v/>
      </c>
      <c r="MP6" s="18">
        <f>NORM.S.INV(RAND())</f>
        <v/>
      </c>
      <c r="MQ6" s="18">
        <f>NORM.S.INV(RAND())</f>
        <v/>
      </c>
      <c r="MR6" s="18">
        <f>NORM.S.INV(RAND())</f>
        <v/>
      </c>
      <c r="MS6" s="18">
        <f>NORM.S.INV(RAND())</f>
        <v/>
      </c>
      <c r="MT6" s="18">
        <f>NORM.S.INV(RAND())</f>
        <v/>
      </c>
      <c r="MU6" s="18">
        <f>NORM.S.INV(RAND())</f>
        <v/>
      </c>
      <c r="MV6" s="18">
        <f>NORM.S.INV(RAND())</f>
        <v/>
      </c>
      <c r="MW6" s="18">
        <f>NORM.S.INV(RAND())</f>
        <v/>
      </c>
      <c r="MX6" s="18">
        <f>NORM.S.INV(RAND())</f>
        <v/>
      </c>
      <c r="MY6" s="18">
        <f>NORM.S.INV(RAND())</f>
        <v/>
      </c>
      <c r="MZ6" s="18">
        <f>NORM.S.INV(RAND())</f>
        <v/>
      </c>
      <c r="NA6" s="18">
        <f>NORM.S.INV(RAND())</f>
        <v/>
      </c>
      <c r="NB6" s="18">
        <f>NORM.S.INV(RAND())</f>
        <v/>
      </c>
      <c r="NC6" s="18">
        <f>NORM.S.INV(RAND())</f>
        <v/>
      </c>
      <c r="ND6" s="18">
        <f>NORM.S.INV(RAND())</f>
        <v/>
      </c>
      <c r="NE6" s="18">
        <f>NORM.S.INV(RAND())</f>
        <v/>
      </c>
      <c r="NF6" s="18">
        <f>NORM.S.INV(RAND())</f>
        <v/>
      </c>
      <c r="NG6" s="18">
        <f>NORM.S.INV(RAND())</f>
        <v/>
      </c>
      <c r="NH6" s="18">
        <f>NORM.S.INV(RAND())</f>
        <v/>
      </c>
      <c r="NI6" s="18">
        <f>NORM.S.INV(RAND())</f>
        <v/>
      </c>
      <c r="NJ6" s="18">
        <f>NORM.S.INV(RAND())</f>
        <v/>
      </c>
      <c r="NK6" s="18">
        <f>NORM.S.INV(RAND())</f>
        <v/>
      </c>
      <c r="NL6" s="18">
        <f>NORM.S.INV(RAND())</f>
        <v/>
      </c>
      <c r="NM6" s="18">
        <f>NORM.S.INV(RAND())</f>
        <v/>
      </c>
      <c r="NN6" s="18">
        <f>NORM.S.INV(RAND())</f>
        <v/>
      </c>
      <c r="NO6" s="18">
        <f>NORM.S.INV(RAND())</f>
        <v/>
      </c>
      <c r="NP6" s="18">
        <f>NORM.S.INV(RAND())</f>
        <v/>
      </c>
      <c r="NQ6" s="18">
        <f>NORM.S.INV(RAND())</f>
        <v/>
      </c>
      <c r="NR6" s="18">
        <f>NORM.S.INV(RAND())</f>
        <v/>
      </c>
      <c r="NS6" s="18">
        <f>NORM.S.INV(RAND())</f>
        <v/>
      </c>
      <c r="NT6" s="18">
        <f>NORM.S.INV(RAND())</f>
        <v/>
      </c>
      <c r="NU6" s="18">
        <f>NORM.S.INV(RAND())</f>
        <v/>
      </c>
      <c r="NV6" s="18">
        <f>NORM.S.INV(RAND())</f>
        <v/>
      </c>
      <c r="NW6" s="18">
        <f>NORM.S.INV(RAND())</f>
        <v/>
      </c>
      <c r="NX6" s="18">
        <f>NORM.S.INV(RAND())</f>
        <v/>
      </c>
      <c r="NY6" s="18">
        <f>NORM.S.INV(RAND())</f>
        <v/>
      </c>
      <c r="NZ6" s="18">
        <f>NORM.S.INV(RAND())</f>
        <v/>
      </c>
      <c r="OA6" s="18">
        <f>NORM.S.INV(RAND())</f>
        <v/>
      </c>
      <c r="OB6" s="18">
        <f>NORM.S.INV(RAND())</f>
        <v/>
      </c>
      <c r="OC6" s="18">
        <f>NORM.S.INV(RAND())</f>
        <v/>
      </c>
      <c r="OD6" s="18">
        <f>NORM.S.INV(RAND())</f>
        <v/>
      </c>
      <c r="OE6" s="18">
        <f>NORM.S.INV(RAND())</f>
        <v/>
      </c>
      <c r="OF6" s="18">
        <f>NORM.S.INV(RAND())</f>
        <v/>
      </c>
      <c r="OG6" s="18">
        <f>NORM.S.INV(RAND())</f>
        <v/>
      </c>
      <c r="OH6" s="18">
        <f>NORM.S.INV(RAND())</f>
        <v/>
      </c>
      <c r="OI6" s="18">
        <f>NORM.S.INV(RAND())</f>
        <v/>
      </c>
      <c r="OJ6" s="18">
        <f>NORM.S.INV(RAND())</f>
        <v/>
      </c>
      <c r="OK6" s="18">
        <f>NORM.S.INV(RAND())</f>
        <v/>
      </c>
      <c r="OL6" s="18">
        <f>NORM.S.INV(RAND())</f>
        <v/>
      </c>
      <c r="OM6" s="18">
        <f>NORM.S.INV(RAND())</f>
        <v/>
      </c>
      <c r="ON6" s="18">
        <f>NORM.S.INV(RAND())</f>
        <v/>
      </c>
      <c r="OO6" s="18">
        <f>NORM.S.INV(RAND())</f>
        <v/>
      </c>
      <c r="OP6" s="18">
        <f>NORM.S.INV(RAND())</f>
        <v/>
      </c>
      <c r="OQ6" s="18">
        <f>NORM.S.INV(RAND())</f>
        <v/>
      </c>
      <c r="OR6" s="18">
        <f>NORM.S.INV(RAND())</f>
        <v/>
      </c>
      <c r="OS6" s="18">
        <f>NORM.S.INV(RAND())</f>
        <v/>
      </c>
      <c r="OT6" s="18">
        <f>NORM.S.INV(RAND())</f>
        <v/>
      </c>
      <c r="OU6" s="18">
        <f>NORM.S.INV(RAND())</f>
        <v/>
      </c>
      <c r="OV6" s="18">
        <f>NORM.S.INV(RAND())</f>
        <v/>
      </c>
      <c r="OW6" s="18">
        <f>NORM.S.INV(RAND())</f>
        <v/>
      </c>
      <c r="OX6" s="18">
        <f>NORM.S.INV(RAND())</f>
        <v/>
      </c>
      <c r="OY6" s="18">
        <f>NORM.S.INV(RAND())</f>
        <v/>
      </c>
      <c r="OZ6" s="18">
        <f>NORM.S.INV(RAND())</f>
        <v/>
      </c>
      <c r="PA6" s="18">
        <f>NORM.S.INV(RAND())</f>
        <v/>
      </c>
      <c r="PB6" s="18">
        <f>NORM.S.INV(RAND())</f>
        <v/>
      </c>
      <c r="PC6" s="18">
        <f>NORM.S.INV(RAND())</f>
        <v/>
      </c>
      <c r="PD6" s="18">
        <f>NORM.S.INV(RAND())</f>
        <v/>
      </c>
      <c r="PE6" s="18">
        <f>NORM.S.INV(RAND())</f>
        <v/>
      </c>
      <c r="PF6" s="18">
        <f>NORM.S.INV(RAND())</f>
        <v/>
      </c>
      <c r="PG6" s="18">
        <f>NORM.S.INV(RAND())</f>
        <v/>
      </c>
      <c r="PH6" s="18">
        <f>NORM.S.INV(RAND())</f>
        <v/>
      </c>
      <c r="PI6" s="18">
        <f>NORM.S.INV(RAND())</f>
        <v/>
      </c>
      <c r="PJ6" s="18">
        <f>NORM.S.INV(RAND())</f>
        <v/>
      </c>
      <c r="PK6" s="18">
        <f>NORM.S.INV(RAND())</f>
        <v/>
      </c>
      <c r="PL6" s="18">
        <f>NORM.S.INV(RAND())</f>
        <v/>
      </c>
      <c r="PM6" s="18">
        <f>NORM.S.INV(RAND())</f>
        <v/>
      </c>
      <c r="PN6" s="18">
        <f>NORM.S.INV(RAND())</f>
        <v/>
      </c>
      <c r="PO6" s="18">
        <f>NORM.S.INV(RAND())</f>
        <v/>
      </c>
      <c r="PP6" s="18">
        <f>NORM.S.INV(RAND())</f>
        <v/>
      </c>
      <c r="PQ6" s="18">
        <f>NORM.S.INV(RAND())</f>
        <v/>
      </c>
      <c r="PR6" s="18">
        <f>NORM.S.INV(RAND())</f>
        <v/>
      </c>
      <c r="PS6" s="18">
        <f>NORM.S.INV(RAND())</f>
        <v/>
      </c>
      <c r="PT6" s="18">
        <f>NORM.S.INV(RAND())</f>
        <v/>
      </c>
      <c r="PU6" s="18">
        <f>NORM.S.INV(RAND())</f>
        <v/>
      </c>
      <c r="PV6" s="18">
        <f>NORM.S.INV(RAND())</f>
        <v/>
      </c>
      <c r="PW6" s="18">
        <f>NORM.S.INV(RAND())</f>
        <v/>
      </c>
      <c r="PX6" s="18">
        <f>NORM.S.INV(RAND())</f>
        <v/>
      </c>
      <c r="PY6" s="18">
        <f>NORM.S.INV(RAND())</f>
        <v/>
      </c>
      <c r="PZ6" s="18">
        <f>NORM.S.INV(RAND())</f>
        <v/>
      </c>
      <c r="QA6" s="18">
        <f>NORM.S.INV(RAND())</f>
        <v/>
      </c>
      <c r="QB6" s="18">
        <f>NORM.S.INV(RAND())</f>
        <v/>
      </c>
      <c r="QC6" s="18">
        <f>NORM.S.INV(RAND())</f>
        <v/>
      </c>
      <c r="QD6" s="18">
        <f>NORM.S.INV(RAND())</f>
        <v/>
      </c>
      <c r="QE6" s="18">
        <f>NORM.S.INV(RAND())</f>
        <v/>
      </c>
      <c r="QF6" s="18">
        <f>NORM.S.INV(RAND())</f>
        <v/>
      </c>
      <c r="QG6" s="18">
        <f>NORM.S.INV(RAND())</f>
        <v/>
      </c>
      <c r="QH6" s="18">
        <f>NORM.S.INV(RAND())</f>
        <v/>
      </c>
      <c r="QI6" s="18">
        <f>NORM.S.INV(RAND())</f>
        <v/>
      </c>
      <c r="QJ6" s="18">
        <f>NORM.S.INV(RAND())</f>
        <v/>
      </c>
      <c r="QK6" s="18">
        <f>NORM.S.INV(RAND())</f>
        <v/>
      </c>
      <c r="QL6" s="18">
        <f>NORM.S.INV(RAND())</f>
        <v/>
      </c>
      <c r="QM6" s="18">
        <f>NORM.S.INV(RAND())</f>
        <v/>
      </c>
      <c r="QN6" s="18">
        <f>NORM.S.INV(RAND())</f>
        <v/>
      </c>
      <c r="QO6" s="18">
        <f>NORM.S.INV(RAND())</f>
        <v/>
      </c>
      <c r="QP6" s="18">
        <f>NORM.S.INV(RAND())</f>
        <v/>
      </c>
      <c r="QQ6" s="18">
        <f>NORM.S.INV(RAND())</f>
        <v/>
      </c>
      <c r="QR6" s="18">
        <f>NORM.S.INV(RAND())</f>
        <v/>
      </c>
      <c r="QS6" s="18">
        <f>NORM.S.INV(RAND())</f>
        <v/>
      </c>
      <c r="QT6" s="18">
        <f>NORM.S.INV(RAND())</f>
        <v/>
      </c>
      <c r="QU6" s="18">
        <f>NORM.S.INV(RAND())</f>
        <v/>
      </c>
      <c r="QV6" s="18">
        <f>NORM.S.INV(RAND())</f>
        <v/>
      </c>
      <c r="QW6" s="18">
        <f>NORM.S.INV(RAND())</f>
        <v/>
      </c>
      <c r="QX6" s="18">
        <f>NORM.S.INV(RAND())</f>
        <v/>
      </c>
      <c r="QY6" s="18">
        <f>NORM.S.INV(RAND())</f>
        <v/>
      </c>
      <c r="QZ6" s="18">
        <f>NORM.S.INV(RAND())</f>
        <v/>
      </c>
      <c r="RA6" s="18">
        <f>NORM.S.INV(RAND())</f>
        <v/>
      </c>
      <c r="RB6" s="18">
        <f>NORM.S.INV(RAND())</f>
        <v/>
      </c>
      <c r="RC6" s="18">
        <f>NORM.S.INV(RAND())</f>
        <v/>
      </c>
      <c r="RD6" s="18">
        <f>NORM.S.INV(RAND())</f>
        <v/>
      </c>
      <c r="RE6" s="18">
        <f>NORM.S.INV(RAND())</f>
        <v/>
      </c>
      <c r="RF6" s="18">
        <f>NORM.S.INV(RAND())</f>
        <v/>
      </c>
      <c r="RG6" s="18">
        <f>NORM.S.INV(RAND())</f>
        <v/>
      </c>
      <c r="RH6" s="18">
        <f>NORM.S.INV(RAND())</f>
        <v/>
      </c>
      <c r="RI6" s="18">
        <f>NORM.S.INV(RAND())</f>
        <v/>
      </c>
      <c r="RJ6" s="18">
        <f>NORM.S.INV(RAND())</f>
        <v/>
      </c>
      <c r="RK6" s="18">
        <f>NORM.S.INV(RAND())</f>
        <v/>
      </c>
      <c r="RL6" s="18">
        <f>NORM.S.INV(RAND())</f>
        <v/>
      </c>
      <c r="RM6" s="18">
        <f>NORM.S.INV(RAND())</f>
        <v/>
      </c>
      <c r="RN6" s="18">
        <f>NORM.S.INV(RAND())</f>
        <v/>
      </c>
      <c r="RO6" s="18">
        <f>NORM.S.INV(RAND())</f>
        <v/>
      </c>
      <c r="RP6" s="18">
        <f>NORM.S.INV(RAND())</f>
        <v/>
      </c>
      <c r="RQ6" s="18">
        <f>NORM.S.INV(RAND())</f>
        <v/>
      </c>
      <c r="RR6" s="18">
        <f>NORM.S.INV(RAND())</f>
        <v/>
      </c>
      <c r="RS6" s="18">
        <f>NORM.S.INV(RAND())</f>
        <v/>
      </c>
      <c r="RT6" s="18">
        <f>NORM.S.INV(RAND())</f>
        <v/>
      </c>
      <c r="RU6" s="18">
        <f>NORM.S.INV(RAND())</f>
        <v/>
      </c>
      <c r="RV6" s="18">
        <f>NORM.S.INV(RAND())</f>
        <v/>
      </c>
      <c r="RW6" s="18">
        <f>NORM.S.INV(RAND())</f>
        <v/>
      </c>
      <c r="RX6" s="18">
        <f>NORM.S.INV(RAND())</f>
        <v/>
      </c>
      <c r="RY6" s="18">
        <f>NORM.S.INV(RAND())</f>
        <v/>
      </c>
      <c r="RZ6" s="18">
        <f>NORM.S.INV(RAND())</f>
        <v/>
      </c>
      <c r="SA6" s="18">
        <f>NORM.S.INV(RAND())</f>
        <v/>
      </c>
      <c r="SB6" s="18">
        <f>NORM.S.INV(RAND())</f>
        <v/>
      </c>
      <c r="SC6" s="18">
        <f>NORM.S.INV(RAND())</f>
        <v/>
      </c>
      <c r="SD6" s="18">
        <f>NORM.S.INV(RAND())</f>
        <v/>
      </c>
      <c r="SE6" s="18">
        <f>NORM.S.INV(RAND())</f>
        <v/>
      </c>
      <c r="SF6" s="18">
        <f>NORM.S.INV(RAND())</f>
        <v/>
      </c>
      <c r="SG6" s="18">
        <f>NORM.S.INV(RAND())</f>
        <v/>
      </c>
    </row>
    <row r="7">
      <c r="A7" s="17" t="inlineStr">
        <is>
          <t>Sector: Tech</t>
        </is>
      </c>
      <c r="B7" s="18">
        <f>NORM.S.INV(RAND())</f>
        <v/>
      </c>
      <c r="C7" s="18">
        <f>NORM.S.INV(RAND())</f>
        <v/>
      </c>
      <c r="D7" s="18">
        <f>NORM.S.INV(RAND())</f>
        <v/>
      </c>
      <c r="E7" s="18">
        <f>NORM.S.INV(RAND())</f>
        <v/>
      </c>
      <c r="F7" s="18">
        <f>NORM.S.INV(RAND())</f>
        <v/>
      </c>
      <c r="G7" s="18">
        <f>NORM.S.INV(RAND())</f>
        <v/>
      </c>
      <c r="H7" s="18">
        <f>NORM.S.INV(RAND())</f>
        <v/>
      </c>
      <c r="I7" s="18">
        <f>NORM.S.INV(RAND())</f>
        <v/>
      </c>
      <c r="J7" s="18">
        <f>NORM.S.INV(RAND())</f>
        <v/>
      </c>
      <c r="K7" s="18">
        <f>NORM.S.INV(RAND())</f>
        <v/>
      </c>
      <c r="L7" s="18">
        <f>NORM.S.INV(RAND())</f>
        <v/>
      </c>
      <c r="M7" s="18">
        <f>NORM.S.INV(RAND())</f>
        <v/>
      </c>
      <c r="N7" s="18">
        <f>NORM.S.INV(RAND())</f>
        <v/>
      </c>
      <c r="O7" s="18">
        <f>NORM.S.INV(RAND())</f>
        <v/>
      </c>
      <c r="P7" s="18">
        <f>NORM.S.INV(RAND())</f>
        <v/>
      </c>
      <c r="Q7" s="18">
        <f>NORM.S.INV(RAND())</f>
        <v/>
      </c>
      <c r="R7" s="18">
        <f>NORM.S.INV(RAND())</f>
        <v/>
      </c>
      <c r="S7" s="18">
        <f>NORM.S.INV(RAND())</f>
        <v/>
      </c>
      <c r="T7" s="18">
        <f>NORM.S.INV(RAND())</f>
        <v/>
      </c>
      <c r="U7" s="18">
        <f>NORM.S.INV(RAND())</f>
        <v/>
      </c>
      <c r="V7" s="18">
        <f>NORM.S.INV(RAND())</f>
        <v/>
      </c>
      <c r="W7" s="18">
        <f>NORM.S.INV(RAND())</f>
        <v/>
      </c>
      <c r="X7" s="18">
        <f>NORM.S.INV(RAND())</f>
        <v/>
      </c>
      <c r="Y7" s="18">
        <f>NORM.S.INV(RAND())</f>
        <v/>
      </c>
      <c r="Z7" s="18">
        <f>NORM.S.INV(RAND())</f>
        <v/>
      </c>
      <c r="AA7" s="18">
        <f>NORM.S.INV(RAND())</f>
        <v/>
      </c>
      <c r="AB7" s="18">
        <f>NORM.S.INV(RAND())</f>
        <v/>
      </c>
      <c r="AC7" s="18">
        <f>NORM.S.INV(RAND())</f>
        <v/>
      </c>
      <c r="AD7" s="18">
        <f>NORM.S.INV(RAND())</f>
        <v/>
      </c>
      <c r="AE7" s="18">
        <f>NORM.S.INV(RAND())</f>
        <v/>
      </c>
      <c r="AF7" s="18">
        <f>NORM.S.INV(RAND())</f>
        <v/>
      </c>
      <c r="AG7" s="18">
        <f>NORM.S.INV(RAND())</f>
        <v/>
      </c>
      <c r="AH7" s="18">
        <f>NORM.S.INV(RAND())</f>
        <v/>
      </c>
      <c r="AI7" s="18">
        <f>NORM.S.INV(RAND())</f>
        <v/>
      </c>
      <c r="AJ7" s="18">
        <f>NORM.S.INV(RAND())</f>
        <v/>
      </c>
      <c r="AK7" s="18">
        <f>NORM.S.INV(RAND())</f>
        <v/>
      </c>
      <c r="AL7" s="18">
        <f>NORM.S.INV(RAND())</f>
        <v/>
      </c>
      <c r="AM7" s="18">
        <f>NORM.S.INV(RAND())</f>
        <v/>
      </c>
      <c r="AN7" s="18">
        <f>NORM.S.INV(RAND())</f>
        <v/>
      </c>
      <c r="AO7" s="18">
        <f>NORM.S.INV(RAND())</f>
        <v/>
      </c>
      <c r="AP7" s="18">
        <f>NORM.S.INV(RAND())</f>
        <v/>
      </c>
      <c r="AQ7" s="18">
        <f>NORM.S.INV(RAND())</f>
        <v/>
      </c>
      <c r="AR7" s="18">
        <f>NORM.S.INV(RAND())</f>
        <v/>
      </c>
      <c r="AS7" s="18">
        <f>NORM.S.INV(RAND())</f>
        <v/>
      </c>
      <c r="AT7" s="18">
        <f>NORM.S.INV(RAND())</f>
        <v/>
      </c>
      <c r="AU7" s="18">
        <f>NORM.S.INV(RAND())</f>
        <v/>
      </c>
      <c r="AV7" s="18">
        <f>NORM.S.INV(RAND())</f>
        <v/>
      </c>
      <c r="AW7" s="18">
        <f>NORM.S.INV(RAND())</f>
        <v/>
      </c>
      <c r="AX7" s="18">
        <f>NORM.S.INV(RAND())</f>
        <v/>
      </c>
      <c r="AY7" s="18">
        <f>NORM.S.INV(RAND())</f>
        <v/>
      </c>
      <c r="AZ7" s="18">
        <f>NORM.S.INV(RAND())</f>
        <v/>
      </c>
      <c r="BA7" s="18">
        <f>NORM.S.INV(RAND())</f>
        <v/>
      </c>
      <c r="BB7" s="18">
        <f>NORM.S.INV(RAND())</f>
        <v/>
      </c>
      <c r="BC7" s="18">
        <f>NORM.S.INV(RAND())</f>
        <v/>
      </c>
      <c r="BD7" s="18">
        <f>NORM.S.INV(RAND())</f>
        <v/>
      </c>
      <c r="BE7" s="18">
        <f>NORM.S.INV(RAND())</f>
        <v/>
      </c>
      <c r="BF7" s="18">
        <f>NORM.S.INV(RAND())</f>
        <v/>
      </c>
      <c r="BG7" s="18">
        <f>NORM.S.INV(RAND())</f>
        <v/>
      </c>
      <c r="BH7" s="18">
        <f>NORM.S.INV(RAND())</f>
        <v/>
      </c>
      <c r="BI7" s="18">
        <f>NORM.S.INV(RAND())</f>
        <v/>
      </c>
      <c r="BJ7" s="18">
        <f>NORM.S.INV(RAND())</f>
        <v/>
      </c>
      <c r="BK7" s="18">
        <f>NORM.S.INV(RAND())</f>
        <v/>
      </c>
      <c r="BL7" s="18">
        <f>NORM.S.INV(RAND())</f>
        <v/>
      </c>
      <c r="BM7" s="18">
        <f>NORM.S.INV(RAND())</f>
        <v/>
      </c>
      <c r="BN7" s="18">
        <f>NORM.S.INV(RAND())</f>
        <v/>
      </c>
      <c r="BO7" s="18">
        <f>NORM.S.INV(RAND())</f>
        <v/>
      </c>
      <c r="BP7" s="18">
        <f>NORM.S.INV(RAND())</f>
        <v/>
      </c>
      <c r="BQ7" s="18">
        <f>NORM.S.INV(RAND())</f>
        <v/>
      </c>
      <c r="BR7" s="18">
        <f>NORM.S.INV(RAND())</f>
        <v/>
      </c>
      <c r="BS7" s="18">
        <f>NORM.S.INV(RAND())</f>
        <v/>
      </c>
      <c r="BT7" s="18">
        <f>NORM.S.INV(RAND())</f>
        <v/>
      </c>
      <c r="BU7" s="18">
        <f>NORM.S.INV(RAND())</f>
        <v/>
      </c>
      <c r="BV7" s="18">
        <f>NORM.S.INV(RAND())</f>
        <v/>
      </c>
      <c r="BW7" s="18">
        <f>NORM.S.INV(RAND())</f>
        <v/>
      </c>
      <c r="BX7" s="18">
        <f>NORM.S.INV(RAND())</f>
        <v/>
      </c>
      <c r="BY7" s="18">
        <f>NORM.S.INV(RAND())</f>
        <v/>
      </c>
      <c r="BZ7" s="18">
        <f>NORM.S.INV(RAND())</f>
        <v/>
      </c>
      <c r="CA7" s="18">
        <f>NORM.S.INV(RAND())</f>
        <v/>
      </c>
      <c r="CB7" s="18">
        <f>NORM.S.INV(RAND())</f>
        <v/>
      </c>
      <c r="CC7" s="18">
        <f>NORM.S.INV(RAND())</f>
        <v/>
      </c>
      <c r="CD7" s="18">
        <f>NORM.S.INV(RAND())</f>
        <v/>
      </c>
      <c r="CE7" s="18">
        <f>NORM.S.INV(RAND())</f>
        <v/>
      </c>
      <c r="CF7" s="18">
        <f>NORM.S.INV(RAND())</f>
        <v/>
      </c>
      <c r="CG7" s="18">
        <f>NORM.S.INV(RAND())</f>
        <v/>
      </c>
      <c r="CH7" s="18">
        <f>NORM.S.INV(RAND())</f>
        <v/>
      </c>
      <c r="CI7" s="18">
        <f>NORM.S.INV(RAND())</f>
        <v/>
      </c>
      <c r="CJ7" s="18">
        <f>NORM.S.INV(RAND())</f>
        <v/>
      </c>
      <c r="CK7" s="18">
        <f>NORM.S.INV(RAND())</f>
        <v/>
      </c>
      <c r="CL7" s="18">
        <f>NORM.S.INV(RAND())</f>
        <v/>
      </c>
      <c r="CM7" s="18">
        <f>NORM.S.INV(RAND())</f>
        <v/>
      </c>
      <c r="CN7" s="18">
        <f>NORM.S.INV(RAND())</f>
        <v/>
      </c>
      <c r="CO7" s="18">
        <f>NORM.S.INV(RAND())</f>
        <v/>
      </c>
      <c r="CP7" s="18">
        <f>NORM.S.INV(RAND())</f>
        <v/>
      </c>
      <c r="CQ7" s="18">
        <f>NORM.S.INV(RAND())</f>
        <v/>
      </c>
      <c r="CR7" s="18">
        <f>NORM.S.INV(RAND())</f>
        <v/>
      </c>
      <c r="CS7" s="18">
        <f>NORM.S.INV(RAND())</f>
        <v/>
      </c>
      <c r="CT7" s="18">
        <f>NORM.S.INV(RAND())</f>
        <v/>
      </c>
      <c r="CU7" s="18">
        <f>NORM.S.INV(RAND())</f>
        <v/>
      </c>
      <c r="CV7" s="18">
        <f>NORM.S.INV(RAND())</f>
        <v/>
      </c>
      <c r="CW7" s="18">
        <f>NORM.S.INV(RAND())</f>
        <v/>
      </c>
      <c r="CX7" s="18">
        <f>NORM.S.INV(RAND())</f>
        <v/>
      </c>
      <c r="CY7" s="18">
        <f>NORM.S.INV(RAND())</f>
        <v/>
      </c>
      <c r="CZ7" s="18">
        <f>NORM.S.INV(RAND())</f>
        <v/>
      </c>
      <c r="DA7" s="18">
        <f>NORM.S.INV(RAND())</f>
        <v/>
      </c>
      <c r="DB7" s="18">
        <f>NORM.S.INV(RAND())</f>
        <v/>
      </c>
      <c r="DC7" s="18">
        <f>NORM.S.INV(RAND())</f>
        <v/>
      </c>
      <c r="DD7" s="18">
        <f>NORM.S.INV(RAND())</f>
        <v/>
      </c>
      <c r="DE7" s="18">
        <f>NORM.S.INV(RAND())</f>
        <v/>
      </c>
      <c r="DF7" s="18">
        <f>NORM.S.INV(RAND())</f>
        <v/>
      </c>
      <c r="DG7" s="18">
        <f>NORM.S.INV(RAND())</f>
        <v/>
      </c>
      <c r="DH7" s="18">
        <f>NORM.S.INV(RAND())</f>
        <v/>
      </c>
      <c r="DI7" s="18">
        <f>NORM.S.INV(RAND())</f>
        <v/>
      </c>
      <c r="DJ7" s="18">
        <f>NORM.S.INV(RAND())</f>
        <v/>
      </c>
      <c r="DK7" s="18">
        <f>NORM.S.INV(RAND())</f>
        <v/>
      </c>
      <c r="DL7" s="18">
        <f>NORM.S.INV(RAND())</f>
        <v/>
      </c>
      <c r="DM7" s="18">
        <f>NORM.S.INV(RAND())</f>
        <v/>
      </c>
      <c r="DN7" s="18">
        <f>NORM.S.INV(RAND())</f>
        <v/>
      </c>
      <c r="DO7" s="18">
        <f>NORM.S.INV(RAND())</f>
        <v/>
      </c>
      <c r="DP7" s="18">
        <f>NORM.S.INV(RAND())</f>
        <v/>
      </c>
      <c r="DQ7" s="18">
        <f>NORM.S.INV(RAND())</f>
        <v/>
      </c>
      <c r="DR7" s="18">
        <f>NORM.S.INV(RAND())</f>
        <v/>
      </c>
      <c r="DS7" s="18">
        <f>NORM.S.INV(RAND())</f>
        <v/>
      </c>
      <c r="DT7" s="18">
        <f>NORM.S.INV(RAND())</f>
        <v/>
      </c>
      <c r="DU7" s="18">
        <f>NORM.S.INV(RAND())</f>
        <v/>
      </c>
      <c r="DV7" s="18">
        <f>NORM.S.INV(RAND())</f>
        <v/>
      </c>
      <c r="DW7" s="18">
        <f>NORM.S.INV(RAND())</f>
        <v/>
      </c>
      <c r="DX7" s="18">
        <f>NORM.S.INV(RAND())</f>
        <v/>
      </c>
      <c r="DY7" s="18">
        <f>NORM.S.INV(RAND())</f>
        <v/>
      </c>
      <c r="DZ7" s="18">
        <f>NORM.S.INV(RAND())</f>
        <v/>
      </c>
      <c r="EA7" s="18">
        <f>NORM.S.INV(RAND())</f>
        <v/>
      </c>
      <c r="EB7" s="18">
        <f>NORM.S.INV(RAND())</f>
        <v/>
      </c>
      <c r="EC7" s="18">
        <f>NORM.S.INV(RAND())</f>
        <v/>
      </c>
      <c r="ED7" s="18">
        <f>NORM.S.INV(RAND())</f>
        <v/>
      </c>
      <c r="EE7" s="18">
        <f>NORM.S.INV(RAND())</f>
        <v/>
      </c>
      <c r="EF7" s="18">
        <f>NORM.S.INV(RAND())</f>
        <v/>
      </c>
      <c r="EG7" s="18">
        <f>NORM.S.INV(RAND())</f>
        <v/>
      </c>
      <c r="EH7" s="18">
        <f>NORM.S.INV(RAND())</f>
        <v/>
      </c>
      <c r="EI7" s="18">
        <f>NORM.S.INV(RAND())</f>
        <v/>
      </c>
      <c r="EJ7" s="18">
        <f>NORM.S.INV(RAND())</f>
        <v/>
      </c>
      <c r="EK7" s="18">
        <f>NORM.S.INV(RAND())</f>
        <v/>
      </c>
      <c r="EL7" s="18">
        <f>NORM.S.INV(RAND())</f>
        <v/>
      </c>
      <c r="EM7" s="18">
        <f>NORM.S.INV(RAND())</f>
        <v/>
      </c>
      <c r="EN7" s="18">
        <f>NORM.S.INV(RAND())</f>
        <v/>
      </c>
      <c r="EO7" s="18">
        <f>NORM.S.INV(RAND())</f>
        <v/>
      </c>
      <c r="EP7" s="18">
        <f>NORM.S.INV(RAND())</f>
        <v/>
      </c>
      <c r="EQ7" s="18">
        <f>NORM.S.INV(RAND())</f>
        <v/>
      </c>
      <c r="ER7" s="18">
        <f>NORM.S.INV(RAND())</f>
        <v/>
      </c>
      <c r="ES7" s="18">
        <f>NORM.S.INV(RAND())</f>
        <v/>
      </c>
      <c r="ET7" s="18">
        <f>NORM.S.INV(RAND())</f>
        <v/>
      </c>
      <c r="EU7" s="18">
        <f>NORM.S.INV(RAND())</f>
        <v/>
      </c>
      <c r="EV7" s="18">
        <f>NORM.S.INV(RAND())</f>
        <v/>
      </c>
      <c r="EW7" s="18">
        <f>NORM.S.INV(RAND())</f>
        <v/>
      </c>
      <c r="EX7" s="18">
        <f>NORM.S.INV(RAND())</f>
        <v/>
      </c>
      <c r="EY7" s="18">
        <f>NORM.S.INV(RAND())</f>
        <v/>
      </c>
      <c r="EZ7" s="18">
        <f>NORM.S.INV(RAND())</f>
        <v/>
      </c>
      <c r="FA7" s="18">
        <f>NORM.S.INV(RAND())</f>
        <v/>
      </c>
      <c r="FB7" s="18">
        <f>NORM.S.INV(RAND())</f>
        <v/>
      </c>
      <c r="FC7" s="18">
        <f>NORM.S.INV(RAND())</f>
        <v/>
      </c>
      <c r="FD7" s="18">
        <f>NORM.S.INV(RAND())</f>
        <v/>
      </c>
      <c r="FE7" s="18">
        <f>NORM.S.INV(RAND())</f>
        <v/>
      </c>
      <c r="FF7" s="18">
        <f>NORM.S.INV(RAND())</f>
        <v/>
      </c>
      <c r="FG7" s="18">
        <f>NORM.S.INV(RAND())</f>
        <v/>
      </c>
      <c r="FH7" s="18">
        <f>NORM.S.INV(RAND())</f>
        <v/>
      </c>
      <c r="FI7" s="18">
        <f>NORM.S.INV(RAND())</f>
        <v/>
      </c>
      <c r="FJ7" s="18">
        <f>NORM.S.INV(RAND())</f>
        <v/>
      </c>
      <c r="FK7" s="18">
        <f>NORM.S.INV(RAND())</f>
        <v/>
      </c>
      <c r="FL7" s="18">
        <f>NORM.S.INV(RAND())</f>
        <v/>
      </c>
      <c r="FM7" s="18">
        <f>NORM.S.INV(RAND())</f>
        <v/>
      </c>
      <c r="FN7" s="18">
        <f>NORM.S.INV(RAND())</f>
        <v/>
      </c>
      <c r="FO7" s="18">
        <f>NORM.S.INV(RAND())</f>
        <v/>
      </c>
      <c r="FP7" s="18">
        <f>NORM.S.INV(RAND())</f>
        <v/>
      </c>
      <c r="FQ7" s="18">
        <f>NORM.S.INV(RAND())</f>
        <v/>
      </c>
      <c r="FR7" s="18">
        <f>NORM.S.INV(RAND())</f>
        <v/>
      </c>
      <c r="FS7" s="18">
        <f>NORM.S.INV(RAND())</f>
        <v/>
      </c>
      <c r="FT7" s="18">
        <f>NORM.S.INV(RAND())</f>
        <v/>
      </c>
      <c r="FU7" s="18">
        <f>NORM.S.INV(RAND())</f>
        <v/>
      </c>
      <c r="FV7" s="18">
        <f>NORM.S.INV(RAND())</f>
        <v/>
      </c>
      <c r="FW7" s="18">
        <f>NORM.S.INV(RAND())</f>
        <v/>
      </c>
      <c r="FX7" s="18">
        <f>NORM.S.INV(RAND())</f>
        <v/>
      </c>
      <c r="FY7" s="18">
        <f>NORM.S.INV(RAND())</f>
        <v/>
      </c>
      <c r="FZ7" s="18">
        <f>NORM.S.INV(RAND())</f>
        <v/>
      </c>
      <c r="GA7" s="18">
        <f>NORM.S.INV(RAND())</f>
        <v/>
      </c>
      <c r="GB7" s="18">
        <f>NORM.S.INV(RAND())</f>
        <v/>
      </c>
      <c r="GC7" s="18">
        <f>NORM.S.INV(RAND())</f>
        <v/>
      </c>
      <c r="GD7" s="18">
        <f>NORM.S.INV(RAND())</f>
        <v/>
      </c>
      <c r="GE7" s="18">
        <f>NORM.S.INV(RAND())</f>
        <v/>
      </c>
      <c r="GF7" s="18">
        <f>NORM.S.INV(RAND())</f>
        <v/>
      </c>
      <c r="GG7" s="18">
        <f>NORM.S.INV(RAND())</f>
        <v/>
      </c>
      <c r="GH7" s="18">
        <f>NORM.S.INV(RAND())</f>
        <v/>
      </c>
      <c r="GI7" s="18">
        <f>NORM.S.INV(RAND())</f>
        <v/>
      </c>
      <c r="GJ7" s="18">
        <f>NORM.S.INV(RAND())</f>
        <v/>
      </c>
      <c r="GK7" s="18">
        <f>NORM.S.INV(RAND())</f>
        <v/>
      </c>
      <c r="GL7" s="18">
        <f>NORM.S.INV(RAND())</f>
        <v/>
      </c>
      <c r="GM7" s="18">
        <f>NORM.S.INV(RAND())</f>
        <v/>
      </c>
      <c r="GN7" s="18">
        <f>NORM.S.INV(RAND())</f>
        <v/>
      </c>
      <c r="GO7" s="18">
        <f>NORM.S.INV(RAND())</f>
        <v/>
      </c>
      <c r="GP7" s="18">
        <f>NORM.S.INV(RAND())</f>
        <v/>
      </c>
      <c r="GQ7" s="18">
        <f>NORM.S.INV(RAND())</f>
        <v/>
      </c>
      <c r="GR7" s="18">
        <f>NORM.S.INV(RAND())</f>
        <v/>
      </c>
      <c r="GS7" s="18">
        <f>NORM.S.INV(RAND())</f>
        <v/>
      </c>
      <c r="GT7" s="18">
        <f>NORM.S.INV(RAND())</f>
        <v/>
      </c>
      <c r="GU7" s="18">
        <f>NORM.S.INV(RAND())</f>
        <v/>
      </c>
      <c r="GV7" s="18">
        <f>NORM.S.INV(RAND())</f>
        <v/>
      </c>
      <c r="GW7" s="18">
        <f>NORM.S.INV(RAND())</f>
        <v/>
      </c>
      <c r="GX7" s="18">
        <f>NORM.S.INV(RAND())</f>
        <v/>
      </c>
      <c r="GY7" s="18">
        <f>NORM.S.INV(RAND())</f>
        <v/>
      </c>
      <c r="GZ7" s="18">
        <f>NORM.S.INV(RAND())</f>
        <v/>
      </c>
      <c r="HA7" s="18">
        <f>NORM.S.INV(RAND())</f>
        <v/>
      </c>
      <c r="HB7" s="18">
        <f>NORM.S.INV(RAND())</f>
        <v/>
      </c>
      <c r="HC7" s="18">
        <f>NORM.S.INV(RAND())</f>
        <v/>
      </c>
      <c r="HD7" s="18">
        <f>NORM.S.INV(RAND())</f>
        <v/>
      </c>
      <c r="HE7" s="18">
        <f>NORM.S.INV(RAND())</f>
        <v/>
      </c>
      <c r="HF7" s="18">
        <f>NORM.S.INV(RAND())</f>
        <v/>
      </c>
      <c r="HG7" s="18">
        <f>NORM.S.INV(RAND())</f>
        <v/>
      </c>
      <c r="HH7" s="18">
        <f>NORM.S.INV(RAND())</f>
        <v/>
      </c>
      <c r="HI7" s="18">
        <f>NORM.S.INV(RAND())</f>
        <v/>
      </c>
      <c r="HJ7" s="18">
        <f>NORM.S.INV(RAND())</f>
        <v/>
      </c>
      <c r="HK7" s="18">
        <f>NORM.S.INV(RAND())</f>
        <v/>
      </c>
      <c r="HL7" s="18">
        <f>NORM.S.INV(RAND())</f>
        <v/>
      </c>
      <c r="HM7" s="18">
        <f>NORM.S.INV(RAND())</f>
        <v/>
      </c>
      <c r="HN7" s="18">
        <f>NORM.S.INV(RAND())</f>
        <v/>
      </c>
      <c r="HO7" s="18">
        <f>NORM.S.INV(RAND())</f>
        <v/>
      </c>
      <c r="HP7" s="18">
        <f>NORM.S.INV(RAND())</f>
        <v/>
      </c>
      <c r="HQ7" s="18">
        <f>NORM.S.INV(RAND())</f>
        <v/>
      </c>
      <c r="HR7" s="18">
        <f>NORM.S.INV(RAND())</f>
        <v/>
      </c>
      <c r="HS7" s="18">
        <f>NORM.S.INV(RAND())</f>
        <v/>
      </c>
      <c r="HT7" s="18">
        <f>NORM.S.INV(RAND())</f>
        <v/>
      </c>
      <c r="HU7" s="18">
        <f>NORM.S.INV(RAND())</f>
        <v/>
      </c>
      <c r="HV7" s="18">
        <f>NORM.S.INV(RAND())</f>
        <v/>
      </c>
      <c r="HW7" s="18">
        <f>NORM.S.INV(RAND())</f>
        <v/>
      </c>
      <c r="HX7" s="18">
        <f>NORM.S.INV(RAND())</f>
        <v/>
      </c>
      <c r="HY7" s="18">
        <f>NORM.S.INV(RAND())</f>
        <v/>
      </c>
      <c r="HZ7" s="18">
        <f>NORM.S.INV(RAND())</f>
        <v/>
      </c>
      <c r="IA7" s="18">
        <f>NORM.S.INV(RAND())</f>
        <v/>
      </c>
      <c r="IB7" s="18">
        <f>NORM.S.INV(RAND())</f>
        <v/>
      </c>
      <c r="IC7" s="18">
        <f>NORM.S.INV(RAND())</f>
        <v/>
      </c>
      <c r="ID7" s="18">
        <f>NORM.S.INV(RAND())</f>
        <v/>
      </c>
      <c r="IE7" s="18">
        <f>NORM.S.INV(RAND())</f>
        <v/>
      </c>
      <c r="IF7" s="18">
        <f>NORM.S.INV(RAND())</f>
        <v/>
      </c>
      <c r="IG7" s="18">
        <f>NORM.S.INV(RAND())</f>
        <v/>
      </c>
      <c r="IH7" s="18">
        <f>NORM.S.INV(RAND())</f>
        <v/>
      </c>
      <c r="II7" s="18">
        <f>NORM.S.INV(RAND())</f>
        <v/>
      </c>
      <c r="IJ7" s="18">
        <f>NORM.S.INV(RAND())</f>
        <v/>
      </c>
      <c r="IK7" s="18">
        <f>NORM.S.INV(RAND())</f>
        <v/>
      </c>
      <c r="IL7" s="18">
        <f>NORM.S.INV(RAND())</f>
        <v/>
      </c>
      <c r="IM7" s="18">
        <f>NORM.S.INV(RAND())</f>
        <v/>
      </c>
      <c r="IN7" s="18">
        <f>NORM.S.INV(RAND())</f>
        <v/>
      </c>
      <c r="IO7" s="18">
        <f>NORM.S.INV(RAND())</f>
        <v/>
      </c>
      <c r="IP7" s="18">
        <f>NORM.S.INV(RAND())</f>
        <v/>
      </c>
      <c r="IQ7" s="18">
        <f>NORM.S.INV(RAND())</f>
        <v/>
      </c>
      <c r="IR7" s="18">
        <f>NORM.S.INV(RAND())</f>
        <v/>
      </c>
      <c r="IS7" s="18">
        <f>NORM.S.INV(RAND())</f>
        <v/>
      </c>
      <c r="IT7" s="18">
        <f>NORM.S.INV(RAND())</f>
        <v/>
      </c>
      <c r="IU7" s="18">
        <f>NORM.S.INV(RAND())</f>
        <v/>
      </c>
      <c r="IV7" s="18">
        <f>NORM.S.INV(RAND())</f>
        <v/>
      </c>
      <c r="IW7" s="18">
        <f>NORM.S.INV(RAND())</f>
        <v/>
      </c>
      <c r="IX7" s="18">
        <f>NORM.S.INV(RAND())</f>
        <v/>
      </c>
      <c r="IY7" s="18">
        <f>NORM.S.INV(RAND())</f>
        <v/>
      </c>
      <c r="IZ7" s="18">
        <f>NORM.S.INV(RAND())</f>
        <v/>
      </c>
      <c r="JA7" s="18">
        <f>NORM.S.INV(RAND())</f>
        <v/>
      </c>
      <c r="JB7" s="18">
        <f>NORM.S.INV(RAND())</f>
        <v/>
      </c>
      <c r="JC7" s="18">
        <f>NORM.S.INV(RAND())</f>
        <v/>
      </c>
      <c r="JD7" s="18">
        <f>NORM.S.INV(RAND())</f>
        <v/>
      </c>
      <c r="JE7" s="18">
        <f>NORM.S.INV(RAND())</f>
        <v/>
      </c>
      <c r="JF7" s="18">
        <f>NORM.S.INV(RAND())</f>
        <v/>
      </c>
      <c r="JG7" s="18">
        <f>NORM.S.INV(RAND())</f>
        <v/>
      </c>
      <c r="JH7" s="18">
        <f>NORM.S.INV(RAND())</f>
        <v/>
      </c>
      <c r="JI7" s="18">
        <f>NORM.S.INV(RAND())</f>
        <v/>
      </c>
      <c r="JJ7" s="18">
        <f>NORM.S.INV(RAND())</f>
        <v/>
      </c>
      <c r="JK7" s="18">
        <f>NORM.S.INV(RAND())</f>
        <v/>
      </c>
      <c r="JL7" s="18">
        <f>NORM.S.INV(RAND())</f>
        <v/>
      </c>
      <c r="JM7" s="18">
        <f>NORM.S.INV(RAND())</f>
        <v/>
      </c>
      <c r="JN7" s="18">
        <f>NORM.S.INV(RAND())</f>
        <v/>
      </c>
      <c r="JO7" s="18">
        <f>NORM.S.INV(RAND())</f>
        <v/>
      </c>
      <c r="JP7" s="18">
        <f>NORM.S.INV(RAND())</f>
        <v/>
      </c>
      <c r="JQ7" s="18">
        <f>NORM.S.INV(RAND())</f>
        <v/>
      </c>
      <c r="JR7" s="18">
        <f>NORM.S.INV(RAND())</f>
        <v/>
      </c>
      <c r="JS7" s="18">
        <f>NORM.S.INV(RAND())</f>
        <v/>
      </c>
      <c r="JT7" s="18">
        <f>NORM.S.INV(RAND())</f>
        <v/>
      </c>
      <c r="JU7" s="18">
        <f>NORM.S.INV(RAND())</f>
        <v/>
      </c>
      <c r="JV7" s="18">
        <f>NORM.S.INV(RAND())</f>
        <v/>
      </c>
      <c r="JW7" s="18">
        <f>NORM.S.INV(RAND())</f>
        <v/>
      </c>
      <c r="JX7" s="18">
        <f>NORM.S.INV(RAND())</f>
        <v/>
      </c>
      <c r="JY7" s="18">
        <f>NORM.S.INV(RAND())</f>
        <v/>
      </c>
      <c r="JZ7" s="18">
        <f>NORM.S.INV(RAND())</f>
        <v/>
      </c>
      <c r="KA7" s="18">
        <f>NORM.S.INV(RAND())</f>
        <v/>
      </c>
      <c r="KB7" s="18">
        <f>NORM.S.INV(RAND())</f>
        <v/>
      </c>
      <c r="KC7" s="18">
        <f>NORM.S.INV(RAND())</f>
        <v/>
      </c>
      <c r="KD7" s="18">
        <f>NORM.S.INV(RAND())</f>
        <v/>
      </c>
      <c r="KE7" s="18">
        <f>NORM.S.INV(RAND())</f>
        <v/>
      </c>
      <c r="KF7" s="18">
        <f>NORM.S.INV(RAND())</f>
        <v/>
      </c>
      <c r="KG7" s="18">
        <f>NORM.S.INV(RAND())</f>
        <v/>
      </c>
      <c r="KH7" s="18">
        <f>NORM.S.INV(RAND())</f>
        <v/>
      </c>
      <c r="KI7" s="18">
        <f>NORM.S.INV(RAND())</f>
        <v/>
      </c>
      <c r="KJ7" s="18">
        <f>NORM.S.INV(RAND())</f>
        <v/>
      </c>
      <c r="KK7" s="18">
        <f>NORM.S.INV(RAND())</f>
        <v/>
      </c>
      <c r="KL7" s="18">
        <f>NORM.S.INV(RAND())</f>
        <v/>
      </c>
      <c r="KM7" s="18">
        <f>NORM.S.INV(RAND())</f>
        <v/>
      </c>
      <c r="KN7" s="18">
        <f>NORM.S.INV(RAND())</f>
        <v/>
      </c>
      <c r="KO7" s="18">
        <f>NORM.S.INV(RAND())</f>
        <v/>
      </c>
      <c r="KP7" s="18">
        <f>NORM.S.INV(RAND())</f>
        <v/>
      </c>
      <c r="KQ7" s="18">
        <f>NORM.S.INV(RAND())</f>
        <v/>
      </c>
      <c r="KR7" s="18">
        <f>NORM.S.INV(RAND())</f>
        <v/>
      </c>
      <c r="KS7" s="18">
        <f>NORM.S.INV(RAND())</f>
        <v/>
      </c>
      <c r="KT7" s="18">
        <f>NORM.S.INV(RAND())</f>
        <v/>
      </c>
      <c r="KU7" s="18">
        <f>NORM.S.INV(RAND())</f>
        <v/>
      </c>
      <c r="KV7" s="18">
        <f>NORM.S.INV(RAND())</f>
        <v/>
      </c>
      <c r="KW7" s="18">
        <f>NORM.S.INV(RAND())</f>
        <v/>
      </c>
      <c r="KX7" s="18">
        <f>NORM.S.INV(RAND())</f>
        <v/>
      </c>
      <c r="KY7" s="18">
        <f>NORM.S.INV(RAND())</f>
        <v/>
      </c>
      <c r="KZ7" s="18">
        <f>NORM.S.INV(RAND())</f>
        <v/>
      </c>
      <c r="LA7" s="18">
        <f>NORM.S.INV(RAND())</f>
        <v/>
      </c>
      <c r="LB7" s="18">
        <f>NORM.S.INV(RAND())</f>
        <v/>
      </c>
      <c r="LC7" s="18">
        <f>NORM.S.INV(RAND())</f>
        <v/>
      </c>
      <c r="LD7" s="18">
        <f>NORM.S.INV(RAND())</f>
        <v/>
      </c>
      <c r="LE7" s="18">
        <f>NORM.S.INV(RAND())</f>
        <v/>
      </c>
      <c r="LF7" s="18">
        <f>NORM.S.INV(RAND())</f>
        <v/>
      </c>
      <c r="LG7" s="18">
        <f>NORM.S.INV(RAND())</f>
        <v/>
      </c>
      <c r="LH7" s="18">
        <f>NORM.S.INV(RAND())</f>
        <v/>
      </c>
      <c r="LI7" s="18">
        <f>NORM.S.INV(RAND())</f>
        <v/>
      </c>
      <c r="LJ7" s="18">
        <f>NORM.S.INV(RAND())</f>
        <v/>
      </c>
      <c r="LK7" s="18">
        <f>NORM.S.INV(RAND())</f>
        <v/>
      </c>
      <c r="LL7" s="18">
        <f>NORM.S.INV(RAND())</f>
        <v/>
      </c>
      <c r="LM7" s="18">
        <f>NORM.S.INV(RAND())</f>
        <v/>
      </c>
      <c r="LN7" s="18">
        <f>NORM.S.INV(RAND())</f>
        <v/>
      </c>
      <c r="LO7" s="18">
        <f>NORM.S.INV(RAND())</f>
        <v/>
      </c>
      <c r="LP7" s="18">
        <f>NORM.S.INV(RAND())</f>
        <v/>
      </c>
      <c r="LQ7" s="18">
        <f>NORM.S.INV(RAND())</f>
        <v/>
      </c>
      <c r="LR7" s="18">
        <f>NORM.S.INV(RAND())</f>
        <v/>
      </c>
      <c r="LS7" s="18">
        <f>NORM.S.INV(RAND())</f>
        <v/>
      </c>
      <c r="LT7" s="18">
        <f>NORM.S.INV(RAND())</f>
        <v/>
      </c>
      <c r="LU7" s="18">
        <f>NORM.S.INV(RAND())</f>
        <v/>
      </c>
      <c r="LV7" s="18">
        <f>NORM.S.INV(RAND())</f>
        <v/>
      </c>
      <c r="LW7" s="18">
        <f>NORM.S.INV(RAND())</f>
        <v/>
      </c>
      <c r="LX7" s="18">
        <f>NORM.S.INV(RAND())</f>
        <v/>
      </c>
      <c r="LY7" s="18">
        <f>NORM.S.INV(RAND())</f>
        <v/>
      </c>
      <c r="LZ7" s="18">
        <f>NORM.S.INV(RAND())</f>
        <v/>
      </c>
      <c r="MA7" s="18">
        <f>NORM.S.INV(RAND())</f>
        <v/>
      </c>
      <c r="MB7" s="18">
        <f>NORM.S.INV(RAND())</f>
        <v/>
      </c>
      <c r="MC7" s="18">
        <f>NORM.S.INV(RAND())</f>
        <v/>
      </c>
      <c r="MD7" s="18">
        <f>NORM.S.INV(RAND())</f>
        <v/>
      </c>
      <c r="ME7" s="18">
        <f>NORM.S.INV(RAND())</f>
        <v/>
      </c>
      <c r="MF7" s="18">
        <f>NORM.S.INV(RAND())</f>
        <v/>
      </c>
      <c r="MG7" s="18">
        <f>NORM.S.INV(RAND())</f>
        <v/>
      </c>
      <c r="MH7" s="18">
        <f>NORM.S.INV(RAND())</f>
        <v/>
      </c>
      <c r="MI7" s="18">
        <f>NORM.S.INV(RAND())</f>
        <v/>
      </c>
      <c r="MJ7" s="18">
        <f>NORM.S.INV(RAND())</f>
        <v/>
      </c>
      <c r="MK7" s="18">
        <f>NORM.S.INV(RAND())</f>
        <v/>
      </c>
      <c r="ML7" s="18">
        <f>NORM.S.INV(RAND())</f>
        <v/>
      </c>
      <c r="MM7" s="18">
        <f>NORM.S.INV(RAND())</f>
        <v/>
      </c>
      <c r="MN7" s="18">
        <f>NORM.S.INV(RAND())</f>
        <v/>
      </c>
      <c r="MO7" s="18">
        <f>NORM.S.INV(RAND())</f>
        <v/>
      </c>
      <c r="MP7" s="18">
        <f>NORM.S.INV(RAND())</f>
        <v/>
      </c>
      <c r="MQ7" s="18">
        <f>NORM.S.INV(RAND())</f>
        <v/>
      </c>
      <c r="MR7" s="18">
        <f>NORM.S.INV(RAND())</f>
        <v/>
      </c>
      <c r="MS7" s="18">
        <f>NORM.S.INV(RAND())</f>
        <v/>
      </c>
      <c r="MT7" s="18">
        <f>NORM.S.INV(RAND())</f>
        <v/>
      </c>
      <c r="MU7" s="18">
        <f>NORM.S.INV(RAND())</f>
        <v/>
      </c>
      <c r="MV7" s="18">
        <f>NORM.S.INV(RAND())</f>
        <v/>
      </c>
      <c r="MW7" s="18">
        <f>NORM.S.INV(RAND())</f>
        <v/>
      </c>
      <c r="MX7" s="18">
        <f>NORM.S.INV(RAND())</f>
        <v/>
      </c>
      <c r="MY7" s="18">
        <f>NORM.S.INV(RAND())</f>
        <v/>
      </c>
      <c r="MZ7" s="18">
        <f>NORM.S.INV(RAND())</f>
        <v/>
      </c>
      <c r="NA7" s="18">
        <f>NORM.S.INV(RAND())</f>
        <v/>
      </c>
      <c r="NB7" s="18">
        <f>NORM.S.INV(RAND())</f>
        <v/>
      </c>
      <c r="NC7" s="18">
        <f>NORM.S.INV(RAND())</f>
        <v/>
      </c>
      <c r="ND7" s="18">
        <f>NORM.S.INV(RAND())</f>
        <v/>
      </c>
      <c r="NE7" s="18">
        <f>NORM.S.INV(RAND())</f>
        <v/>
      </c>
      <c r="NF7" s="18">
        <f>NORM.S.INV(RAND())</f>
        <v/>
      </c>
      <c r="NG7" s="18">
        <f>NORM.S.INV(RAND())</f>
        <v/>
      </c>
      <c r="NH7" s="18">
        <f>NORM.S.INV(RAND())</f>
        <v/>
      </c>
      <c r="NI7" s="18">
        <f>NORM.S.INV(RAND())</f>
        <v/>
      </c>
      <c r="NJ7" s="18">
        <f>NORM.S.INV(RAND())</f>
        <v/>
      </c>
      <c r="NK7" s="18">
        <f>NORM.S.INV(RAND())</f>
        <v/>
      </c>
      <c r="NL7" s="18">
        <f>NORM.S.INV(RAND())</f>
        <v/>
      </c>
      <c r="NM7" s="18">
        <f>NORM.S.INV(RAND())</f>
        <v/>
      </c>
      <c r="NN7" s="18">
        <f>NORM.S.INV(RAND())</f>
        <v/>
      </c>
      <c r="NO7" s="18">
        <f>NORM.S.INV(RAND())</f>
        <v/>
      </c>
      <c r="NP7" s="18">
        <f>NORM.S.INV(RAND())</f>
        <v/>
      </c>
      <c r="NQ7" s="18">
        <f>NORM.S.INV(RAND())</f>
        <v/>
      </c>
      <c r="NR7" s="18">
        <f>NORM.S.INV(RAND())</f>
        <v/>
      </c>
      <c r="NS7" s="18">
        <f>NORM.S.INV(RAND())</f>
        <v/>
      </c>
      <c r="NT7" s="18">
        <f>NORM.S.INV(RAND())</f>
        <v/>
      </c>
      <c r="NU7" s="18">
        <f>NORM.S.INV(RAND())</f>
        <v/>
      </c>
      <c r="NV7" s="18">
        <f>NORM.S.INV(RAND())</f>
        <v/>
      </c>
      <c r="NW7" s="18">
        <f>NORM.S.INV(RAND())</f>
        <v/>
      </c>
      <c r="NX7" s="18">
        <f>NORM.S.INV(RAND())</f>
        <v/>
      </c>
      <c r="NY7" s="18">
        <f>NORM.S.INV(RAND())</f>
        <v/>
      </c>
      <c r="NZ7" s="18">
        <f>NORM.S.INV(RAND())</f>
        <v/>
      </c>
      <c r="OA7" s="18">
        <f>NORM.S.INV(RAND())</f>
        <v/>
      </c>
      <c r="OB7" s="18">
        <f>NORM.S.INV(RAND())</f>
        <v/>
      </c>
      <c r="OC7" s="18">
        <f>NORM.S.INV(RAND())</f>
        <v/>
      </c>
      <c r="OD7" s="18">
        <f>NORM.S.INV(RAND())</f>
        <v/>
      </c>
      <c r="OE7" s="18">
        <f>NORM.S.INV(RAND())</f>
        <v/>
      </c>
      <c r="OF7" s="18">
        <f>NORM.S.INV(RAND())</f>
        <v/>
      </c>
      <c r="OG7" s="18">
        <f>NORM.S.INV(RAND())</f>
        <v/>
      </c>
      <c r="OH7" s="18">
        <f>NORM.S.INV(RAND())</f>
        <v/>
      </c>
      <c r="OI7" s="18">
        <f>NORM.S.INV(RAND())</f>
        <v/>
      </c>
      <c r="OJ7" s="18">
        <f>NORM.S.INV(RAND())</f>
        <v/>
      </c>
      <c r="OK7" s="18">
        <f>NORM.S.INV(RAND())</f>
        <v/>
      </c>
      <c r="OL7" s="18">
        <f>NORM.S.INV(RAND())</f>
        <v/>
      </c>
      <c r="OM7" s="18">
        <f>NORM.S.INV(RAND())</f>
        <v/>
      </c>
      <c r="ON7" s="18">
        <f>NORM.S.INV(RAND())</f>
        <v/>
      </c>
      <c r="OO7" s="18">
        <f>NORM.S.INV(RAND())</f>
        <v/>
      </c>
      <c r="OP7" s="18">
        <f>NORM.S.INV(RAND())</f>
        <v/>
      </c>
      <c r="OQ7" s="18">
        <f>NORM.S.INV(RAND())</f>
        <v/>
      </c>
      <c r="OR7" s="18">
        <f>NORM.S.INV(RAND())</f>
        <v/>
      </c>
      <c r="OS7" s="18">
        <f>NORM.S.INV(RAND())</f>
        <v/>
      </c>
      <c r="OT7" s="18">
        <f>NORM.S.INV(RAND())</f>
        <v/>
      </c>
      <c r="OU7" s="18">
        <f>NORM.S.INV(RAND())</f>
        <v/>
      </c>
      <c r="OV7" s="18">
        <f>NORM.S.INV(RAND())</f>
        <v/>
      </c>
      <c r="OW7" s="18">
        <f>NORM.S.INV(RAND())</f>
        <v/>
      </c>
      <c r="OX7" s="18">
        <f>NORM.S.INV(RAND())</f>
        <v/>
      </c>
      <c r="OY7" s="18">
        <f>NORM.S.INV(RAND())</f>
        <v/>
      </c>
      <c r="OZ7" s="18">
        <f>NORM.S.INV(RAND())</f>
        <v/>
      </c>
      <c r="PA7" s="18">
        <f>NORM.S.INV(RAND())</f>
        <v/>
      </c>
      <c r="PB7" s="18">
        <f>NORM.S.INV(RAND())</f>
        <v/>
      </c>
      <c r="PC7" s="18">
        <f>NORM.S.INV(RAND())</f>
        <v/>
      </c>
      <c r="PD7" s="18">
        <f>NORM.S.INV(RAND())</f>
        <v/>
      </c>
      <c r="PE7" s="18">
        <f>NORM.S.INV(RAND())</f>
        <v/>
      </c>
      <c r="PF7" s="18">
        <f>NORM.S.INV(RAND())</f>
        <v/>
      </c>
      <c r="PG7" s="18">
        <f>NORM.S.INV(RAND())</f>
        <v/>
      </c>
      <c r="PH7" s="18">
        <f>NORM.S.INV(RAND())</f>
        <v/>
      </c>
      <c r="PI7" s="18">
        <f>NORM.S.INV(RAND())</f>
        <v/>
      </c>
      <c r="PJ7" s="18">
        <f>NORM.S.INV(RAND())</f>
        <v/>
      </c>
      <c r="PK7" s="18">
        <f>NORM.S.INV(RAND())</f>
        <v/>
      </c>
      <c r="PL7" s="18">
        <f>NORM.S.INV(RAND())</f>
        <v/>
      </c>
      <c r="PM7" s="18">
        <f>NORM.S.INV(RAND())</f>
        <v/>
      </c>
      <c r="PN7" s="18">
        <f>NORM.S.INV(RAND())</f>
        <v/>
      </c>
      <c r="PO7" s="18">
        <f>NORM.S.INV(RAND())</f>
        <v/>
      </c>
      <c r="PP7" s="18">
        <f>NORM.S.INV(RAND())</f>
        <v/>
      </c>
      <c r="PQ7" s="18">
        <f>NORM.S.INV(RAND())</f>
        <v/>
      </c>
      <c r="PR7" s="18">
        <f>NORM.S.INV(RAND())</f>
        <v/>
      </c>
      <c r="PS7" s="18">
        <f>NORM.S.INV(RAND())</f>
        <v/>
      </c>
      <c r="PT7" s="18">
        <f>NORM.S.INV(RAND())</f>
        <v/>
      </c>
      <c r="PU7" s="18">
        <f>NORM.S.INV(RAND())</f>
        <v/>
      </c>
      <c r="PV7" s="18">
        <f>NORM.S.INV(RAND())</f>
        <v/>
      </c>
      <c r="PW7" s="18">
        <f>NORM.S.INV(RAND())</f>
        <v/>
      </c>
      <c r="PX7" s="18">
        <f>NORM.S.INV(RAND())</f>
        <v/>
      </c>
      <c r="PY7" s="18">
        <f>NORM.S.INV(RAND())</f>
        <v/>
      </c>
      <c r="PZ7" s="18">
        <f>NORM.S.INV(RAND())</f>
        <v/>
      </c>
      <c r="QA7" s="18">
        <f>NORM.S.INV(RAND())</f>
        <v/>
      </c>
      <c r="QB7" s="18">
        <f>NORM.S.INV(RAND())</f>
        <v/>
      </c>
      <c r="QC7" s="18">
        <f>NORM.S.INV(RAND())</f>
        <v/>
      </c>
      <c r="QD7" s="18">
        <f>NORM.S.INV(RAND())</f>
        <v/>
      </c>
      <c r="QE7" s="18">
        <f>NORM.S.INV(RAND())</f>
        <v/>
      </c>
      <c r="QF7" s="18">
        <f>NORM.S.INV(RAND())</f>
        <v/>
      </c>
      <c r="QG7" s="18">
        <f>NORM.S.INV(RAND())</f>
        <v/>
      </c>
      <c r="QH7" s="18">
        <f>NORM.S.INV(RAND())</f>
        <v/>
      </c>
      <c r="QI7" s="18">
        <f>NORM.S.INV(RAND())</f>
        <v/>
      </c>
      <c r="QJ7" s="18">
        <f>NORM.S.INV(RAND())</f>
        <v/>
      </c>
      <c r="QK7" s="18">
        <f>NORM.S.INV(RAND())</f>
        <v/>
      </c>
      <c r="QL7" s="18">
        <f>NORM.S.INV(RAND())</f>
        <v/>
      </c>
      <c r="QM7" s="18">
        <f>NORM.S.INV(RAND())</f>
        <v/>
      </c>
      <c r="QN7" s="18">
        <f>NORM.S.INV(RAND())</f>
        <v/>
      </c>
      <c r="QO7" s="18">
        <f>NORM.S.INV(RAND())</f>
        <v/>
      </c>
      <c r="QP7" s="18">
        <f>NORM.S.INV(RAND())</f>
        <v/>
      </c>
      <c r="QQ7" s="18">
        <f>NORM.S.INV(RAND())</f>
        <v/>
      </c>
      <c r="QR7" s="18">
        <f>NORM.S.INV(RAND())</f>
        <v/>
      </c>
      <c r="QS7" s="18">
        <f>NORM.S.INV(RAND())</f>
        <v/>
      </c>
      <c r="QT7" s="18">
        <f>NORM.S.INV(RAND())</f>
        <v/>
      </c>
      <c r="QU7" s="18">
        <f>NORM.S.INV(RAND())</f>
        <v/>
      </c>
      <c r="QV7" s="18">
        <f>NORM.S.INV(RAND())</f>
        <v/>
      </c>
      <c r="QW7" s="18">
        <f>NORM.S.INV(RAND())</f>
        <v/>
      </c>
      <c r="QX7" s="18">
        <f>NORM.S.INV(RAND())</f>
        <v/>
      </c>
      <c r="QY7" s="18">
        <f>NORM.S.INV(RAND())</f>
        <v/>
      </c>
      <c r="QZ7" s="18">
        <f>NORM.S.INV(RAND())</f>
        <v/>
      </c>
      <c r="RA7" s="18">
        <f>NORM.S.INV(RAND())</f>
        <v/>
      </c>
      <c r="RB7" s="18">
        <f>NORM.S.INV(RAND())</f>
        <v/>
      </c>
      <c r="RC7" s="18">
        <f>NORM.S.INV(RAND())</f>
        <v/>
      </c>
      <c r="RD7" s="18">
        <f>NORM.S.INV(RAND())</f>
        <v/>
      </c>
      <c r="RE7" s="18">
        <f>NORM.S.INV(RAND())</f>
        <v/>
      </c>
      <c r="RF7" s="18">
        <f>NORM.S.INV(RAND())</f>
        <v/>
      </c>
      <c r="RG7" s="18">
        <f>NORM.S.INV(RAND())</f>
        <v/>
      </c>
      <c r="RH7" s="18">
        <f>NORM.S.INV(RAND())</f>
        <v/>
      </c>
      <c r="RI7" s="18">
        <f>NORM.S.INV(RAND())</f>
        <v/>
      </c>
      <c r="RJ7" s="18">
        <f>NORM.S.INV(RAND())</f>
        <v/>
      </c>
      <c r="RK7" s="18">
        <f>NORM.S.INV(RAND())</f>
        <v/>
      </c>
      <c r="RL7" s="18">
        <f>NORM.S.INV(RAND())</f>
        <v/>
      </c>
      <c r="RM7" s="18">
        <f>NORM.S.INV(RAND())</f>
        <v/>
      </c>
      <c r="RN7" s="18">
        <f>NORM.S.INV(RAND())</f>
        <v/>
      </c>
      <c r="RO7" s="18">
        <f>NORM.S.INV(RAND())</f>
        <v/>
      </c>
      <c r="RP7" s="18">
        <f>NORM.S.INV(RAND())</f>
        <v/>
      </c>
      <c r="RQ7" s="18">
        <f>NORM.S.INV(RAND())</f>
        <v/>
      </c>
      <c r="RR7" s="18">
        <f>NORM.S.INV(RAND())</f>
        <v/>
      </c>
      <c r="RS7" s="18">
        <f>NORM.S.INV(RAND())</f>
        <v/>
      </c>
      <c r="RT7" s="18">
        <f>NORM.S.INV(RAND())</f>
        <v/>
      </c>
      <c r="RU7" s="18">
        <f>NORM.S.INV(RAND())</f>
        <v/>
      </c>
      <c r="RV7" s="18">
        <f>NORM.S.INV(RAND())</f>
        <v/>
      </c>
      <c r="RW7" s="18">
        <f>NORM.S.INV(RAND())</f>
        <v/>
      </c>
      <c r="RX7" s="18">
        <f>NORM.S.INV(RAND())</f>
        <v/>
      </c>
      <c r="RY7" s="18">
        <f>NORM.S.INV(RAND())</f>
        <v/>
      </c>
      <c r="RZ7" s="18">
        <f>NORM.S.INV(RAND())</f>
        <v/>
      </c>
      <c r="SA7" s="18">
        <f>NORM.S.INV(RAND())</f>
        <v/>
      </c>
      <c r="SB7" s="18">
        <f>NORM.S.INV(RAND())</f>
        <v/>
      </c>
      <c r="SC7" s="18">
        <f>NORM.S.INV(RAND())</f>
        <v/>
      </c>
      <c r="SD7" s="18">
        <f>NORM.S.INV(RAND())</f>
        <v/>
      </c>
      <c r="SE7" s="18">
        <f>NORM.S.INV(RAND())</f>
        <v/>
      </c>
      <c r="SF7" s="18">
        <f>NORM.S.INV(RAND())</f>
        <v/>
      </c>
      <c r="SG7" s="18">
        <f>NORM.S.INV(RAND())</f>
        <v/>
      </c>
    </row>
    <row r="8">
      <c r="A8" s="17" t="inlineStr">
        <is>
          <t>Sector: Real Estate</t>
        </is>
      </c>
      <c r="B8" s="18">
        <f>NORM.S.INV(RAND())</f>
        <v/>
      </c>
      <c r="C8" s="18">
        <f>NORM.S.INV(RAND())</f>
        <v/>
      </c>
      <c r="D8" s="18">
        <f>NORM.S.INV(RAND())</f>
        <v/>
      </c>
      <c r="E8" s="18">
        <f>NORM.S.INV(RAND())</f>
        <v/>
      </c>
      <c r="F8" s="18">
        <f>NORM.S.INV(RAND())</f>
        <v/>
      </c>
      <c r="G8" s="18">
        <f>NORM.S.INV(RAND())</f>
        <v/>
      </c>
      <c r="H8" s="18">
        <f>NORM.S.INV(RAND())</f>
        <v/>
      </c>
      <c r="I8" s="18">
        <f>NORM.S.INV(RAND())</f>
        <v/>
      </c>
      <c r="J8" s="18">
        <f>NORM.S.INV(RAND())</f>
        <v/>
      </c>
      <c r="K8" s="18">
        <f>NORM.S.INV(RAND())</f>
        <v/>
      </c>
      <c r="L8" s="18">
        <f>NORM.S.INV(RAND())</f>
        <v/>
      </c>
      <c r="M8" s="18">
        <f>NORM.S.INV(RAND())</f>
        <v/>
      </c>
      <c r="N8" s="18">
        <f>NORM.S.INV(RAND())</f>
        <v/>
      </c>
      <c r="O8" s="18">
        <f>NORM.S.INV(RAND())</f>
        <v/>
      </c>
      <c r="P8" s="18">
        <f>NORM.S.INV(RAND())</f>
        <v/>
      </c>
      <c r="Q8" s="18">
        <f>NORM.S.INV(RAND())</f>
        <v/>
      </c>
      <c r="R8" s="18">
        <f>NORM.S.INV(RAND())</f>
        <v/>
      </c>
      <c r="S8" s="18">
        <f>NORM.S.INV(RAND())</f>
        <v/>
      </c>
      <c r="T8" s="18">
        <f>NORM.S.INV(RAND())</f>
        <v/>
      </c>
      <c r="U8" s="18">
        <f>NORM.S.INV(RAND())</f>
        <v/>
      </c>
      <c r="V8" s="18">
        <f>NORM.S.INV(RAND())</f>
        <v/>
      </c>
      <c r="W8" s="18">
        <f>NORM.S.INV(RAND())</f>
        <v/>
      </c>
      <c r="X8" s="18">
        <f>NORM.S.INV(RAND())</f>
        <v/>
      </c>
      <c r="Y8" s="18">
        <f>NORM.S.INV(RAND())</f>
        <v/>
      </c>
      <c r="Z8" s="18">
        <f>NORM.S.INV(RAND())</f>
        <v/>
      </c>
      <c r="AA8" s="18">
        <f>NORM.S.INV(RAND())</f>
        <v/>
      </c>
      <c r="AB8" s="18">
        <f>NORM.S.INV(RAND())</f>
        <v/>
      </c>
      <c r="AC8" s="18">
        <f>NORM.S.INV(RAND())</f>
        <v/>
      </c>
      <c r="AD8" s="18">
        <f>NORM.S.INV(RAND())</f>
        <v/>
      </c>
      <c r="AE8" s="18">
        <f>NORM.S.INV(RAND())</f>
        <v/>
      </c>
      <c r="AF8" s="18">
        <f>NORM.S.INV(RAND())</f>
        <v/>
      </c>
      <c r="AG8" s="18">
        <f>NORM.S.INV(RAND())</f>
        <v/>
      </c>
      <c r="AH8" s="18">
        <f>NORM.S.INV(RAND())</f>
        <v/>
      </c>
      <c r="AI8" s="18">
        <f>NORM.S.INV(RAND())</f>
        <v/>
      </c>
      <c r="AJ8" s="18">
        <f>NORM.S.INV(RAND())</f>
        <v/>
      </c>
      <c r="AK8" s="18">
        <f>NORM.S.INV(RAND())</f>
        <v/>
      </c>
      <c r="AL8" s="18">
        <f>NORM.S.INV(RAND())</f>
        <v/>
      </c>
      <c r="AM8" s="18">
        <f>NORM.S.INV(RAND())</f>
        <v/>
      </c>
      <c r="AN8" s="18">
        <f>NORM.S.INV(RAND())</f>
        <v/>
      </c>
      <c r="AO8" s="18">
        <f>NORM.S.INV(RAND())</f>
        <v/>
      </c>
      <c r="AP8" s="18">
        <f>NORM.S.INV(RAND())</f>
        <v/>
      </c>
      <c r="AQ8" s="18">
        <f>NORM.S.INV(RAND())</f>
        <v/>
      </c>
      <c r="AR8" s="18">
        <f>NORM.S.INV(RAND())</f>
        <v/>
      </c>
      <c r="AS8" s="18">
        <f>NORM.S.INV(RAND())</f>
        <v/>
      </c>
      <c r="AT8" s="18">
        <f>NORM.S.INV(RAND())</f>
        <v/>
      </c>
      <c r="AU8" s="18">
        <f>NORM.S.INV(RAND())</f>
        <v/>
      </c>
      <c r="AV8" s="18">
        <f>NORM.S.INV(RAND())</f>
        <v/>
      </c>
      <c r="AW8" s="18">
        <f>NORM.S.INV(RAND())</f>
        <v/>
      </c>
      <c r="AX8" s="18">
        <f>NORM.S.INV(RAND())</f>
        <v/>
      </c>
      <c r="AY8" s="18">
        <f>NORM.S.INV(RAND())</f>
        <v/>
      </c>
      <c r="AZ8" s="18">
        <f>NORM.S.INV(RAND())</f>
        <v/>
      </c>
      <c r="BA8" s="18">
        <f>NORM.S.INV(RAND())</f>
        <v/>
      </c>
      <c r="BB8" s="18">
        <f>NORM.S.INV(RAND())</f>
        <v/>
      </c>
      <c r="BC8" s="18">
        <f>NORM.S.INV(RAND())</f>
        <v/>
      </c>
      <c r="BD8" s="18">
        <f>NORM.S.INV(RAND())</f>
        <v/>
      </c>
      <c r="BE8" s="18">
        <f>NORM.S.INV(RAND())</f>
        <v/>
      </c>
      <c r="BF8" s="18">
        <f>NORM.S.INV(RAND())</f>
        <v/>
      </c>
      <c r="BG8" s="18">
        <f>NORM.S.INV(RAND())</f>
        <v/>
      </c>
      <c r="BH8" s="18">
        <f>NORM.S.INV(RAND())</f>
        <v/>
      </c>
      <c r="BI8" s="18">
        <f>NORM.S.INV(RAND())</f>
        <v/>
      </c>
      <c r="BJ8" s="18">
        <f>NORM.S.INV(RAND())</f>
        <v/>
      </c>
      <c r="BK8" s="18">
        <f>NORM.S.INV(RAND())</f>
        <v/>
      </c>
      <c r="BL8" s="18">
        <f>NORM.S.INV(RAND())</f>
        <v/>
      </c>
      <c r="BM8" s="18">
        <f>NORM.S.INV(RAND())</f>
        <v/>
      </c>
      <c r="BN8" s="18">
        <f>NORM.S.INV(RAND())</f>
        <v/>
      </c>
      <c r="BO8" s="18">
        <f>NORM.S.INV(RAND())</f>
        <v/>
      </c>
      <c r="BP8" s="18">
        <f>NORM.S.INV(RAND())</f>
        <v/>
      </c>
      <c r="BQ8" s="18">
        <f>NORM.S.INV(RAND())</f>
        <v/>
      </c>
      <c r="BR8" s="18">
        <f>NORM.S.INV(RAND())</f>
        <v/>
      </c>
      <c r="BS8" s="18">
        <f>NORM.S.INV(RAND())</f>
        <v/>
      </c>
      <c r="BT8" s="18">
        <f>NORM.S.INV(RAND())</f>
        <v/>
      </c>
      <c r="BU8" s="18">
        <f>NORM.S.INV(RAND())</f>
        <v/>
      </c>
      <c r="BV8" s="18">
        <f>NORM.S.INV(RAND())</f>
        <v/>
      </c>
      <c r="BW8" s="18">
        <f>NORM.S.INV(RAND())</f>
        <v/>
      </c>
      <c r="BX8" s="18">
        <f>NORM.S.INV(RAND())</f>
        <v/>
      </c>
      <c r="BY8" s="18">
        <f>NORM.S.INV(RAND())</f>
        <v/>
      </c>
      <c r="BZ8" s="18">
        <f>NORM.S.INV(RAND())</f>
        <v/>
      </c>
      <c r="CA8" s="18">
        <f>NORM.S.INV(RAND())</f>
        <v/>
      </c>
      <c r="CB8" s="18">
        <f>NORM.S.INV(RAND())</f>
        <v/>
      </c>
      <c r="CC8" s="18">
        <f>NORM.S.INV(RAND())</f>
        <v/>
      </c>
      <c r="CD8" s="18">
        <f>NORM.S.INV(RAND())</f>
        <v/>
      </c>
      <c r="CE8" s="18">
        <f>NORM.S.INV(RAND())</f>
        <v/>
      </c>
      <c r="CF8" s="18">
        <f>NORM.S.INV(RAND())</f>
        <v/>
      </c>
      <c r="CG8" s="18">
        <f>NORM.S.INV(RAND())</f>
        <v/>
      </c>
      <c r="CH8" s="18">
        <f>NORM.S.INV(RAND())</f>
        <v/>
      </c>
      <c r="CI8" s="18">
        <f>NORM.S.INV(RAND())</f>
        <v/>
      </c>
      <c r="CJ8" s="18">
        <f>NORM.S.INV(RAND())</f>
        <v/>
      </c>
      <c r="CK8" s="18">
        <f>NORM.S.INV(RAND())</f>
        <v/>
      </c>
      <c r="CL8" s="18">
        <f>NORM.S.INV(RAND())</f>
        <v/>
      </c>
      <c r="CM8" s="18">
        <f>NORM.S.INV(RAND())</f>
        <v/>
      </c>
      <c r="CN8" s="18">
        <f>NORM.S.INV(RAND())</f>
        <v/>
      </c>
      <c r="CO8" s="18">
        <f>NORM.S.INV(RAND())</f>
        <v/>
      </c>
      <c r="CP8" s="18">
        <f>NORM.S.INV(RAND())</f>
        <v/>
      </c>
      <c r="CQ8" s="18">
        <f>NORM.S.INV(RAND())</f>
        <v/>
      </c>
      <c r="CR8" s="18">
        <f>NORM.S.INV(RAND())</f>
        <v/>
      </c>
      <c r="CS8" s="18">
        <f>NORM.S.INV(RAND())</f>
        <v/>
      </c>
      <c r="CT8" s="18">
        <f>NORM.S.INV(RAND())</f>
        <v/>
      </c>
      <c r="CU8" s="18">
        <f>NORM.S.INV(RAND())</f>
        <v/>
      </c>
      <c r="CV8" s="18">
        <f>NORM.S.INV(RAND())</f>
        <v/>
      </c>
      <c r="CW8" s="18">
        <f>NORM.S.INV(RAND())</f>
        <v/>
      </c>
      <c r="CX8" s="18">
        <f>NORM.S.INV(RAND())</f>
        <v/>
      </c>
      <c r="CY8" s="18">
        <f>NORM.S.INV(RAND())</f>
        <v/>
      </c>
      <c r="CZ8" s="18">
        <f>NORM.S.INV(RAND())</f>
        <v/>
      </c>
      <c r="DA8" s="18">
        <f>NORM.S.INV(RAND())</f>
        <v/>
      </c>
      <c r="DB8" s="18">
        <f>NORM.S.INV(RAND())</f>
        <v/>
      </c>
      <c r="DC8" s="18">
        <f>NORM.S.INV(RAND())</f>
        <v/>
      </c>
      <c r="DD8" s="18">
        <f>NORM.S.INV(RAND())</f>
        <v/>
      </c>
      <c r="DE8" s="18">
        <f>NORM.S.INV(RAND())</f>
        <v/>
      </c>
      <c r="DF8" s="18">
        <f>NORM.S.INV(RAND())</f>
        <v/>
      </c>
      <c r="DG8" s="18">
        <f>NORM.S.INV(RAND())</f>
        <v/>
      </c>
      <c r="DH8" s="18">
        <f>NORM.S.INV(RAND())</f>
        <v/>
      </c>
      <c r="DI8" s="18">
        <f>NORM.S.INV(RAND())</f>
        <v/>
      </c>
      <c r="DJ8" s="18">
        <f>NORM.S.INV(RAND())</f>
        <v/>
      </c>
      <c r="DK8" s="18">
        <f>NORM.S.INV(RAND())</f>
        <v/>
      </c>
      <c r="DL8" s="18">
        <f>NORM.S.INV(RAND())</f>
        <v/>
      </c>
      <c r="DM8" s="18">
        <f>NORM.S.INV(RAND())</f>
        <v/>
      </c>
      <c r="DN8" s="18">
        <f>NORM.S.INV(RAND())</f>
        <v/>
      </c>
      <c r="DO8" s="18">
        <f>NORM.S.INV(RAND())</f>
        <v/>
      </c>
      <c r="DP8" s="18">
        <f>NORM.S.INV(RAND())</f>
        <v/>
      </c>
      <c r="DQ8" s="18">
        <f>NORM.S.INV(RAND())</f>
        <v/>
      </c>
      <c r="DR8" s="18">
        <f>NORM.S.INV(RAND())</f>
        <v/>
      </c>
      <c r="DS8" s="18">
        <f>NORM.S.INV(RAND())</f>
        <v/>
      </c>
      <c r="DT8" s="18">
        <f>NORM.S.INV(RAND())</f>
        <v/>
      </c>
      <c r="DU8" s="18">
        <f>NORM.S.INV(RAND())</f>
        <v/>
      </c>
      <c r="DV8" s="18">
        <f>NORM.S.INV(RAND())</f>
        <v/>
      </c>
      <c r="DW8" s="18">
        <f>NORM.S.INV(RAND())</f>
        <v/>
      </c>
      <c r="DX8" s="18">
        <f>NORM.S.INV(RAND())</f>
        <v/>
      </c>
      <c r="DY8" s="18">
        <f>NORM.S.INV(RAND())</f>
        <v/>
      </c>
      <c r="DZ8" s="18">
        <f>NORM.S.INV(RAND())</f>
        <v/>
      </c>
      <c r="EA8" s="18">
        <f>NORM.S.INV(RAND())</f>
        <v/>
      </c>
      <c r="EB8" s="18">
        <f>NORM.S.INV(RAND())</f>
        <v/>
      </c>
      <c r="EC8" s="18">
        <f>NORM.S.INV(RAND())</f>
        <v/>
      </c>
      <c r="ED8" s="18">
        <f>NORM.S.INV(RAND())</f>
        <v/>
      </c>
      <c r="EE8" s="18">
        <f>NORM.S.INV(RAND())</f>
        <v/>
      </c>
      <c r="EF8" s="18">
        <f>NORM.S.INV(RAND())</f>
        <v/>
      </c>
      <c r="EG8" s="18">
        <f>NORM.S.INV(RAND())</f>
        <v/>
      </c>
      <c r="EH8" s="18">
        <f>NORM.S.INV(RAND())</f>
        <v/>
      </c>
      <c r="EI8" s="18">
        <f>NORM.S.INV(RAND())</f>
        <v/>
      </c>
      <c r="EJ8" s="18">
        <f>NORM.S.INV(RAND())</f>
        <v/>
      </c>
      <c r="EK8" s="18">
        <f>NORM.S.INV(RAND())</f>
        <v/>
      </c>
      <c r="EL8" s="18">
        <f>NORM.S.INV(RAND())</f>
        <v/>
      </c>
      <c r="EM8" s="18">
        <f>NORM.S.INV(RAND())</f>
        <v/>
      </c>
      <c r="EN8" s="18">
        <f>NORM.S.INV(RAND())</f>
        <v/>
      </c>
      <c r="EO8" s="18">
        <f>NORM.S.INV(RAND())</f>
        <v/>
      </c>
      <c r="EP8" s="18">
        <f>NORM.S.INV(RAND())</f>
        <v/>
      </c>
      <c r="EQ8" s="18">
        <f>NORM.S.INV(RAND())</f>
        <v/>
      </c>
      <c r="ER8" s="18">
        <f>NORM.S.INV(RAND())</f>
        <v/>
      </c>
      <c r="ES8" s="18">
        <f>NORM.S.INV(RAND())</f>
        <v/>
      </c>
      <c r="ET8" s="18">
        <f>NORM.S.INV(RAND())</f>
        <v/>
      </c>
      <c r="EU8" s="18">
        <f>NORM.S.INV(RAND())</f>
        <v/>
      </c>
      <c r="EV8" s="18">
        <f>NORM.S.INV(RAND())</f>
        <v/>
      </c>
      <c r="EW8" s="18">
        <f>NORM.S.INV(RAND())</f>
        <v/>
      </c>
      <c r="EX8" s="18">
        <f>NORM.S.INV(RAND())</f>
        <v/>
      </c>
      <c r="EY8" s="18">
        <f>NORM.S.INV(RAND())</f>
        <v/>
      </c>
      <c r="EZ8" s="18">
        <f>NORM.S.INV(RAND())</f>
        <v/>
      </c>
      <c r="FA8" s="18">
        <f>NORM.S.INV(RAND())</f>
        <v/>
      </c>
      <c r="FB8" s="18">
        <f>NORM.S.INV(RAND())</f>
        <v/>
      </c>
      <c r="FC8" s="18">
        <f>NORM.S.INV(RAND())</f>
        <v/>
      </c>
      <c r="FD8" s="18">
        <f>NORM.S.INV(RAND())</f>
        <v/>
      </c>
      <c r="FE8" s="18">
        <f>NORM.S.INV(RAND())</f>
        <v/>
      </c>
      <c r="FF8" s="18">
        <f>NORM.S.INV(RAND())</f>
        <v/>
      </c>
      <c r="FG8" s="18">
        <f>NORM.S.INV(RAND())</f>
        <v/>
      </c>
      <c r="FH8" s="18">
        <f>NORM.S.INV(RAND())</f>
        <v/>
      </c>
      <c r="FI8" s="18">
        <f>NORM.S.INV(RAND())</f>
        <v/>
      </c>
      <c r="FJ8" s="18">
        <f>NORM.S.INV(RAND())</f>
        <v/>
      </c>
      <c r="FK8" s="18">
        <f>NORM.S.INV(RAND())</f>
        <v/>
      </c>
      <c r="FL8" s="18">
        <f>NORM.S.INV(RAND())</f>
        <v/>
      </c>
      <c r="FM8" s="18">
        <f>NORM.S.INV(RAND())</f>
        <v/>
      </c>
      <c r="FN8" s="18">
        <f>NORM.S.INV(RAND())</f>
        <v/>
      </c>
      <c r="FO8" s="18">
        <f>NORM.S.INV(RAND())</f>
        <v/>
      </c>
      <c r="FP8" s="18">
        <f>NORM.S.INV(RAND())</f>
        <v/>
      </c>
      <c r="FQ8" s="18">
        <f>NORM.S.INV(RAND())</f>
        <v/>
      </c>
      <c r="FR8" s="18">
        <f>NORM.S.INV(RAND())</f>
        <v/>
      </c>
      <c r="FS8" s="18">
        <f>NORM.S.INV(RAND())</f>
        <v/>
      </c>
      <c r="FT8" s="18">
        <f>NORM.S.INV(RAND())</f>
        <v/>
      </c>
      <c r="FU8" s="18">
        <f>NORM.S.INV(RAND())</f>
        <v/>
      </c>
      <c r="FV8" s="18">
        <f>NORM.S.INV(RAND())</f>
        <v/>
      </c>
      <c r="FW8" s="18">
        <f>NORM.S.INV(RAND())</f>
        <v/>
      </c>
      <c r="FX8" s="18">
        <f>NORM.S.INV(RAND())</f>
        <v/>
      </c>
      <c r="FY8" s="18">
        <f>NORM.S.INV(RAND())</f>
        <v/>
      </c>
      <c r="FZ8" s="18">
        <f>NORM.S.INV(RAND())</f>
        <v/>
      </c>
      <c r="GA8" s="18">
        <f>NORM.S.INV(RAND())</f>
        <v/>
      </c>
      <c r="GB8" s="18">
        <f>NORM.S.INV(RAND())</f>
        <v/>
      </c>
      <c r="GC8" s="18">
        <f>NORM.S.INV(RAND())</f>
        <v/>
      </c>
      <c r="GD8" s="18">
        <f>NORM.S.INV(RAND())</f>
        <v/>
      </c>
      <c r="GE8" s="18">
        <f>NORM.S.INV(RAND())</f>
        <v/>
      </c>
      <c r="GF8" s="18">
        <f>NORM.S.INV(RAND())</f>
        <v/>
      </c>
      <c r="GG8" s="18">
        <f>NORM.S.INV(RAND())</f>
        <v/>
      </c>
      <c r="GH8" s="18">
        <f>NORM.S.INV(RAND())</f>
        <v/>
      </c>
      <c r="GI8" s="18">
        <f>NORM.S.INV(RAND())</f>
        <v/>
      </c>
      <c r="GJ8" s="18">
        <f>NORM.S.INV(RAND())</f>
        <v/>
      </c>
      <c r="GK8" s="18">
        <f>NORM.S.INV(RAND())</f>
        <v/>
      </c>
      <c r="GL8" s="18">
        <f>NORM.S.INV(RAND())</f>
        <v/>
      </c>
      <c r="GM8" s="18">
        <f>NORM.S.INV(RAND())</f>
        <v/>
      </c>
      <c r="GN8" s="18">
        <f>NORM.S.INV(RAND())</f>
        <v/>
      </c>
      <c r="GO8" s="18">
        <f>NORM.S.INV(RAND())</f>
        <v/>
      </c>
      <c r="GP8" s="18">
        <f>NORM.S.INV(RAND())</f>
        <v/>
      </c>
      <c r="GQ8" s="18">
        <f>NORM.S.INV(RAND())</f>
        <v/>
      </c>
      <c r="GR8" s="18">
        <f>NORM.S.INV(RAND())</f>
        <v/>
      </c>
      <c r="GS8" s="18">
        <f>NORM.S.INV(RAND())</f>
        <v/>
      </c>
      <c r="GT8" s="18">
        <f>NORM.S.INV(RAND())</f>
        <v/>
      </c>
      <c r="GU8" s="18">
        <f>NORM.S.INV(RAND())</f>
        <v/>
      </c>
      <c r="GV8" s="18">
        <f>NORM.S.INV(RAND())</f>
        <v/>
      </c>
      <c r="GW8" s="18">
        <f>NORM.S.INV(RAND())</f>
        <v/>
      </c>
      <c r="GX8" s="18">
        <f>NORM.S.INV(RAND())</f>
        <v/>
      </c>
      <c r="GY8" s="18">
        <f>NORM.S.INV(RAND())</f>
        <v/>
      </c>
      <c r="GZ8" s="18">
        <f>NORM.S.INV(RAND())</f>
        <v/>
      </c>
      <c r="HA8" s="18">
        <f>NORM.S.INV(RAND())</f>
        <v/>
      </c>
      <c r="HB8" s="18">
        <f>NORM.S.INV(RAND())</f>
        <v/>
      </c>
      <c r="HC8" s="18">
        <f>NORM.S.INV(RAND())</f>
        <v/>
      </c>
      <c r="HD8" s="18">
        <f>NORM.S.INV(RAND())</f>
        <v/>
      </c>
      <c r="HE8" s="18">
        <f>NORM.S.INV(RAND())</f>
        <v/>
      </c>
      <c r="HF8" s="18">
        <f>NORM.S.INV(RAND())</f>
        <v/>
      </c>
      <c r="HG8" s="18">
        <f>NORM.S.INV(RAND())</f>
        <v/>
      </c>
      <c r="HH8" s="18">
        <f>NORM.S.INV(RAND())</f>
        <v/>
      </c>
      <c r="HI8" s="18">
        <f>NORM.S.INV(RAND())</f>
        <v/>
      </c>
      <c r="HJ8" s="18">
        <f>NORM.S.INV(RAND())</f>
        <v/>
      </c>
      <c r="HK8" s="18">
        <f>NORM.S.INV(RAND())</f>
        <v/>
      </c>
      <c r="HL8" s="18">
        <f>NORM.S.INV(RAND())</f>
        <v/>
      </c>
      <c r="HM8" s="18">
        <f>NORM.S.INV(RAND())</f>
        <v/>
      </c>
      <c r="HN8" s="18">
        <f>NORM.S.INV(RAND())</f>
        <v/>
      </c>
      <c r="HO8" s="18">
        <f>NORM.S.INV(RAND())</f>
        <v/>
      </c>
      <c r="HP8" s="18">
        <f>NORM.S.INV(RAND())</f>
        <v/>
      </c>
      <c r="HQ8" s="18">
        <f>NORM.S.INV(RAND())</f>
        <v/>
      </c>
      <c r="HR8" s="18">
        <f>NORM.S.INV(RAND())</f>
        <v/>
      </c>
      <c r="HS8" s="18">
        <f>NORM.S.INV(RAND())</f>
        <v/>
      </c>
      <c r="HT8" s="18">
        <f>NORM.S.INV(RAND())</f>
        <v/>
      </c>
      <c r="HU8" s="18">
        <f>NORM.S.INV(RAND())</f>
        <v/>
      </c>
      <c r="HV8" s="18">
        <f>NORM.S.INV(RAND())</f>
        <v/>
      </c>
      <c r="HW8" s="18">
        <f>NORM.S.INV(RAND())</f>
        <v/>
      </c>
      <c r="HX8" s="18">
        <f>NORM.S.INV(RAND())</f>
        <v/>
      </c>
      <c r="HY8" s="18">
        <f>NORM.S.INV(RAND())</f>
        <v/>
      </c>
      <c r="HZ8" s="18">
        <f>NORM.S.INV(RAND())</f>
        <v/>
      </c>
      <c r="IA8" s="18">
        <f>NORM.S.INV(RAND())</f>
        <v/>
      </c>
      <c r="IB8" s="18">
        <f>NORM.S.INV(RAND())</f>
        <v/>
      </c>
      <c r="IC8" s="18">
        <f>NORM.S.INV(RAND())</f>
        <v/>
      </c>
      <c r="ID8" s="18">
        <f>NORM.S.INV(RAND())</f>
        <v/>
      </c>
      <c r="IE8" s="18">
        <f>NORM.S.INV(RAND())</f>
        <v/>
      </c>
      <c r="IF8" s="18">
        <f>NORM.S.INV(RAND())</f>
        <v/>
      </c>
      <c r="IG8" s="18">
        <f>NORM.S.INV(RAND())</f>
        <v/>
      </c>
      <c r="IH8" s="18">
        <f>NORM.S.INV(RAND())</f>
        <v/>
      </c>
      <c r="II8" s="18">
        <f>NORM.S.INV(RAND())</f>
        <v/>
      </c>
      <c r="IJ8" s="18">
        <f>NORM.S.INV(RAND())</f>
        <v/>
      </c>
      <c r="IK8" s="18">
        <f>NORM.S.INV(RAND())</f>
        <v/>
      </c>
      <c r="IL8" s="18">
        <f>NORM.S.INV(RAND())</f>
        <v/>
      </c>
      <c r="IM8" s="18">
        <f>NORM.S.INV(RAND())</f>
        <v/>
      </c>
      <c r="IN8" s="18">
        <f>NORM.S.INV(RAND())</f>
        <v/>
      </c>
      <c r="IO8" s="18">
        <f>NORM.S.INV(RAND())</f>
        <v/>
      </c>
      <c r="IP8" s="18">
        <f>NORM.S.INV(RAND())</f>
        <v/>
      </c>
      <c r="IQ8" s="18">
        <f>NORM.S.INV(RAND())</f>
        <v/>
      </c>
      <c r="IR8" s="18">
        <f>NORM.S.INV(RAND())</f>
        <v/>
      </c>
      <c r="IS8" s="18">
        <f>NORM.S.INV(RAND())</f>
        <v/>
      </c>
      <c r="IT8" s="18">
        <f>NORM.S.INV(RAND())</f>
        <v/>
      </c>
      <c r="IU8" s="18">
        <f>NORM.S.INV(RAND())</f>
        <v/>
      </c>
      <c r="IV8" s="18">
        <f>NORM.S.INV(RAND())</f>
        <v/>
      </c>
      <c r="IW8" s="18">
        <f>NORM.S.INV(RAND())</f>
        <v/>
      </c>
      <c r="IX8" s="18">
        <f>NORM.S.INV(RAND())</f>
        <v/>
      </c>
      <c r="IY8" s="18">
        <f>NORM.S.INV(RAND())</f>
        <v/>
      </c>
      <c r="IZ8" s="18">
        <f>NORM.S.INV(RAND())</f>
        <v/>
      </c>
      <c r="JA8" s="18">
        <f>NORM.S.INV(RAND())</f>
        <v/>
      </c>
      <c r="JB8" s="18">
        <f>NORM.S.INV(RAND())</f>
        <v/>
      </c>
      <c r="JC8" s="18">
        <f>NORM.S.INV(RAND())</f>
        <v/>
      </c>
      <c r="JD8" s="18">
        <f>NORM.S.INV(RAND())</f>
        <v/>
      </c>
      <c r="JE8" s="18">
        <f>NORM.S.INV(RAND())</f>
        <v/>
      </c>
      <c r="JF8" s="18">
        <f>NORM.S.INV(RAND())</f>
        <v/>
      </c>
      <c r="JG8" s="18">
        <f>NORM.S.INV(RAND())</f>
        <v/>
      </c>
      <c r="JH8" s="18">
        <f>NORM.S.INV(RAND())</f>
        <v/>
      </c>
      <c r="JI8" s="18">
        <f>NORM.S.INV(RAND())</f>
        <v/>
      </c>
      <c r="JJ8" s="18">
        <f>NORM.S.INV(RAND())</f>
        <v/>
      </c>
      <c r="JK8" s="18">
        <f>NORM.S.INV(RAND())</f>
        <v/>
      </c>
      <c r="JL8" s="18">
        <f>NORM.S.INV(RAND())</f>
        <v/>
      </c>
      <c r="JM8" s="18">
        <f>NORM.S.INV(RAND())</f>
        <v/>
      </c>
      <c r="JN8" s="18">
        <f>NORM.S.INV(RAND())</f>
        <v/>
      </c>
      <c r="JO8" s="18">
        <f>NORM.S.INV(RAND())</f>
        <v/>
      </c>
      <c r="JP8" s="18">
        <f>NORM.S.INV(RAND())</f>
        <v/>
      </c>
      <c r="JQ8" s="18">
        <f>NORM.S.INV(RAND())</f>
        <v/>
      </c>
      <c r="JR8" s="18">
        <f>NORM.S.INV(RAND())</f>
        <v/>
      </c>
      <c r="JS8" s="18">
        <f>NORM.S.INV(RAND())</f>
        <v/>
      </c>
      <c r="JT8" s="18">
        <f>NORM.S.INV(RAND())</f>
        <v/>
      </c>
      <c r="JU8" s="18">
        <f>NORM.S.INV(RAND())</f>
        <v/>
      </c>
      <c r="JV8" s="18">
        <f>NORM.S.INV(RAND())</f>
        <v/>
      </c>
      <c r="JW8" s="18">
        <f>NORM.S.INV(RAND())</f>
        <v/>
      </c>
      <c r="JX8" s="18">
        <f>NORM.S.INV(RAND())</f>
        <v/>
      </c>
      <c r="JY8" s="18">
        <f>NORM.S.INV(RAND())</f>
        <v/>
      </c>
      <c r="JZ8" s="18">
        <f>NORM.S.INV(RAND())</f>
        <v/>
      </c>
      <c r="KA8" s="18">
        <f>NORM.S.INV(RAND())</f>
        <v/>
      </c>
      <c r="KB8" s="18">
        <f>NORM.S.INV(RAND())</f>
        <v/>
      </c>
      <c r="KC8" s="18">
        <f>NORM.S.INV(RAND())</f>
        <v/>
      </c>
      <c r="KD8" s="18">
        <f>NORM.S.INV(RAND())</f>
        <v/>
      </c>
      <c r="KE8" s="18">
        <f>NORM.S.INV(RAND())</f>
        <v/>
      </c>
      <c r="KF8" s="18">
        <f>NORM.S.INV(RAND())</f>
        <v/>
      </c>
      <c r="KG8" s="18">
        <f>NORM.S.INV(RAND())</f>
        <v/>
      </c>
      <c r="KH8" s="18">
        <f>NORM.S.INV(RAND())</f>
        <v/>
      </c>
      <c r="KI8" s="18">
        <f>NORM.S.INV(RAND())</f>
        <v/>
      </c>
      <c r="KJ8" s="18">
        <f>NORM.S.INV(RAND())</f>
        <v/>
      </c>
      <c r="KK8" s="18">
        <f>NORM.S.INV(RAND())</f>
        <v/>
      </c>
      <c r="KL8" s="18">
        <f>NORM.S.INV(RAND())</f>
        <v/>
      </c>
      <c r="KM8" s="18">
        <f>NORM.S.INV(RAND())</f>
        <v/>
      </c>
      <c r="KN8" s="18">
        <f>NORM.S.INV(RAND())</f>
        <v/>
      </c>
      <c r="KO8" s="18">
        <f>NORM.S.INV(RAND())</f>
        <v/>
      </c>
      <c r="KP8" s="18">
        <f>NORM.S.INV(RAND())</f>
        <v/>
      </c>
      <c r="KQ8" s="18">
        <f>NORM.S.INV(RAND())</f>
        <v/>
      </c>
      <c r="KR8" s="18">
        <f>NORM.S.INV(RAND())</f>
        <v/>
      </c>
      <c r="KS8" s="18">
        <f>NORM.S.INV(RAND())</f>
        <v/>
      </c>
      <c r="KT8" s="18">
        <f>NORM.S.INV(RAND())</f>
        <v/>
      </c>
      <c r="KU8" s="18">
        <f>NORM.S.INV(RAND())</f>
        <v/>
      </c>
      <c r="KV8" s="18">
        <f>NORM.S.INV(RAND())</f>
        <v/>
      </c>
      <c r="KW8" s="18">
        <f>NORM.S.INV(RAND())</f>
        <v/>
      </c>
      <c r="KX8" s="18">
        <f>NORM.S.INV(RAND())</f>
        <v/>
      </c>
      <c r="KY8" s="18">
        <f>NORM.S.INV(RAND())</f>
        <v/>
      </c>
      <c r="KZ8" s="18">
        <f>NORM.S.INV(RAND())</f>
        <v/>
      </c>
      <c r="LA8" s="18">
        <f>NORM.S.INV(RAND())</f>
        <v/>
      </c>
      <c r="LB8" s="18">
        <f>NORM.S.INV(RAND())</f>
        <v/>
      </c>
      <c r="LC8" s="18">
        <f>NORM.S.INV(RAND())</f>
        <v/>
      </c>
      <c r="LD8" s="18">
        <f>NORM.S.INV(RAND())</f>
        <v/>
      </c>
      <c r="LE8" s="18">
        <f>NORM.S.INV(RAND())</f>
        <v/>
      </c>
      <c r="LF8" s="18">
        <f>NORM.S.INV(RAND())</f>
        <v/>
      </c>
      <c r="LG8" s="18">
        <f>NORM.S.INV(RAND())</f>
        <v/>
      </c>
      <c r="LH8" s="18">
        <f>NORM.S.INV(RAND())</f>
        <v/>
      </c>
      <c r="LI8" s="18">
        <f>NORM.S.INV(RAND())</f>
        <v/>
      </c>
      <c r="LJ8" s="18">
        <f>NORM.S.INV(RAND())</f>
        <v/>
      </c>
      <c r="LK8" s="18">
        <f>NORM.S.INV(RAND())</f>
        <v/>
      </c>
      <c r="LL8" s="18">
        <f>NORM.S.INV(RAND())</f>
        <v/>
      </c>
      <c r="LM8" s="18">
        <f>NORM.S.INV(RAND())</f>
        <v/>
      </c>
      <c r="LN8" s="18">
        <f>NORM.S.INV(RAND())</f>
        <v/>
      </c>
      <c r="LO8" s="18">
        <f>NORM.S.INV(RAND())</f>
        <v/>
      </c>
      <c r="LP8" s="18">
        <f>NORM.S.INV(RAND())</f>
        <v/>
      </c>
      <c r="LQ8" s="18">
        <f>NORM.S.INV(RAND())</f>
        <v/>
      </c>
      <c r="LR8" s="18">
        <f>NORM.S.INV(RAND())</f>
        <v/>
      </c>
      <c r="LS8" s="18">
        <f>NORM.S.INV(RAND())</f>
        <v/>
      </c>
      <c r="LT8" s="18">
        <f>NORM.S.INV(RAND())</f>
        <v/>
      </c>
      <c r="LU8" s="18">
        <f>NORM.S.INV(RAND())</f>
        <v/>
      </c>
      <c r="LV8" s="18">
        <f>NORM.S.INV(RAND())</f>
        <v/>
      </c>
      <c r="LW8" s="18">
        <f>NORM.S.INV(RAND())</f>
        <v/>
      </c>
      <c r="LX8" s="18">
        <f>NORM.S.INV(RAND())</f>
        <v/>
      </c>
      <c r="LY8" s="18">
        <f>NORM.S.INV(RAND())</f>
        <v/>
      </c>
      <c r="LZ8" s="18">
        <f>NORM.S.INV(RAND())</f>
        <v/>
      </c>
      <c r="MA8" s="18">
        <f>NORM.S.INV(RAND())</f>
        <v/>
      </c>
      <c r="MB8" s="18">
        <f>NORM.S.INV(RAND())</f>
        <v/>
      </c>
      <c r="MC8" s="18">
        <f>NORM.S.INV(RAND())</f>
        <v/>
      </c>
      <c r="MD8" s="18">
        <f>NORM.S.INV(RAND())</f>
        <v/>
      </c>
      <c r="ME8" s="18">
        <f>NORM.S.INV(RAND())</f>
        <v/>
      </c>
      <c r="MF8" s="18">
        <f>NORM.S.INV(RAND())</f>
        <v/>
      </c>
      <c r="MG8" s="18">
        <f>NORM.S.INV(RAND())</f>
        <v/>
      </c>
      <c r="MH8" s="18">
        <f>NORM.S.INV(RAND())</f>
        <v/>
      </c>
      <c r="MI8" s="18">
        <f>NORM.S.INV(RAND())</f>
        <v/>
      </c>
      <c r="MJ8" s="18">
        <f>NORM.S.INV(RAND())</f>
        <v/>
      </c>
      <c r="MK8" s="18">
        <f>NORM.S.INV(RAND())</f>
        <v/>
      </c>
      <c r="ML8" s="18">
        <f>NORM.S.INV(RAND())</f>
        <v/>
      </c>
      <c r="MM8" s="18">
        <f>NORM.S.INV(RAND())</f>
        <v/>
      </c>
      <c r="MN8" s="18">
        <f>NORM.S.INV(RAND())</f>
        <v/>
      </c>
      <c r="MO8" s="18">
        <f>NORM.S.INV(RAND())</f>
        <v/>
      </c>
      <c r="MP8" s="18">
        <f>NORM.S.INV(RAND())</f>
        <v/>
      </c>
      <c r="MQ8" s="18">
        <f>NORM.S.INV(RAND())</f>
        <v/>
      </c>
      <c r="MR8" s="18">
        <f>NORM.S.INV(RAND())</f>
        <v/>
      </c>
      <c r="MS8" s="18">
        <f>NORM.S.INV(RAND())</f>
        <v/>
      </c>
      <c r="MT8" s="18">
        <f>NORM.S.INV(RAND())</f>
        <v/>
      </c>
      <c r="MU8" s="18">
        <f>NORM.S.INV(RAND())</f>
        <v/>
      </c>
      <c r="MV8" s="18">
        <f>NORM.S.INV(RAND())</f>
        <v/>
      </c>
      <c r="MW8" s="18">
        <f>NORM.S.INV(RAND())</f>
        <v/>
      </c>
      <c r="MX8" s="18">
        <f>NORM.S.INV(RAND())</f>
        <v/>
      </c>
      <c r="MY8" s="18">
        <f>NORM.S.INV(RAND())</f>
        <v/>
      </c>
      <c r="MZ8" s="18">
        <f>NORM.S.INV(RAND())</f>
        <v/>
      </c>
      <c r="NA8" s="18">
        <f>NORM.S.INV(RAND())</f>
        <v/>
      </c>
      <c r="NB8" s="18">
        <f>NORM.S.INV(RAND())</f>
        <v/>
      </c>
      <c r="NC8" s="18">
        <f>NORM.S.INV(RAND())</f>
        <v/>
      </c>
      <c r="ND8" s="18">
        <f>NORM.S.INV(RAND())</f>
        <v/>
      </c>
      <c r="NE8" s="18">
        <f>NORM.S.INV(RAND())</f>
        <v/>
      </c>
      <c r="NF8" s="18">
        <f>NORM.S.INV(RAND())</f>
        <v/>
      </c>
      <c r="NG8" s="18">
        <f>NORM.S.INV(RAND())</f>
        <v/>
      </c>
      <c r="NH8" s="18">
        <f>NORM.S.INV(RAND())</f>
        <v/>
      </c>
      <c r="NI8" s="18">
        <f>NORM.S.INV(RAND())</f>
        <v/>
      </c>
      <c r="NJ8" s="18">
        <f>NORM.S.INV(RAND())</f>
        <v/>
      </c>
      <c r="NK8" s="18">
        <f>NORM.S.INV(RAND())</f>
        <v/>
      </c>
      <c r="NL8" s="18">
        <f>NORM.S.INV(RAND())</f>
        <v/>
      </c>
      <c r="NM8" s="18">
        <f>NORM.S.INV(RAND())</f>
        <v/>
      </c>
      <c r="NN8" s="18">
        <f>NORM.S.INV(RAND())</f>
        <v/>
      </c>
      <c r="NO8" s="18">
        <f>NORM.S.INV(RAND())</f>
        <v/>
      </c>
      <c r="NP8" s="18">
        <f>NORM.S.INV(RAND())</f>
        <v/>
      </c>
      <c r="NQ8" s="18">
        <f>NORM.S.INV(RAND())</f>
        <v/>
      </c>
      <c r="NR8" s="18">
        <f>NORM.S.INV(RAND())</f>
        <v/>
      </c>
      <c r="NS8" s="18">
        <f>NORM.S.INV(RAND())</f>
        <v/>
      </c>
      <c r="NT8" s="18">
        <f>NORM.S.INV(RAND())</f>
        <v/>
      </c>
      <c r="NU8" s="18">
        <f>NORM.S.INV(RAND())</f>
        <v/>
      </c>
      <c r="NV8" s="18">
        <f>NORM.S.INV(RAND())</f>
        <v/>
      </c>
      <c r="NW8" s="18">
        <f>NORM.S.INV(RAND())</f>
        <v/>
      </c>
      <c r="NX8" s="18">
        <f>NORM.S.INV(RAND())</f>
        <v/>
      </c>
      <c r="NY8" s="18">
        <f>NORM.S.INV(RAND())</f>
        <v/>
      </c>
      <c r="NZ8" s="18">
        <f>NORM.S.INV(RAND())</f>
        <v/>
      </c>
      <c r="OA8" s="18">
        <f>NORM.S.INV(RAND())</f>
        <v/>
      </c>
      <c r="OB8" s="18">
        <f>NORM.S.INV(RAND())</f>
        <v/>
      </c>
      <c r="OC8" s="18">
        <f>NORM.S.INV(RAND())</f>
        <v/>
      </c>
      <c r="OD8" s="18">
        <f>NORM.S.INV(RAND())</f>
        <v/>
      </c>
      <c r="OE8" s="18">
        <f>NORM.S.INV(RAND())</f>
        <v/>
      </c>
      <c r="OF8" s="18">
        <f>NORM.S.INV(RAND())</f>
        <v/>
      </c>
      <c r="OG8" s="18">
        <f>NORM.S.INV(RAND())</f>
        <v/>
      </c>
      <c r="OH8" s="18">
        <f>NORM.S.INV(RAND())</f>
        <v/>
      </c>
      <c r="OI8" s="18">
        <f>NORM.S.INV(RAND())</f>
        <v/>
      </c>
      <c r="OJ8" s="18">
        <f>NORM.S.INV(RAND())</f>
        <v/>
      </c>
      <c r="OK8" s="18">
        <f>NORM.S.INV(RAND())</f>
        <v/>
      </c>
      <c r="OL8" s="18">
        <f>NORM.S.INV(RAND())</f>
        <v/>
      </c>
      <c r="OM8" s="18">
        <f>NORM.S.INV(RAND())</f>
        <v/>
      </c>
      <c r="ON8" s="18">
        <f>NORM.S.INV(RAND())</f>
        <v/>
      </c>
      <c r="OO8" s="18">
        <f>NORM.S.INV(RAND())</f>
        <v/>
      </c>
      <c r="OP8" s="18">
        <f>NORM.S.INV(RAND())</f>
        <v/>
      </c>
      <c r="OQ8" s="18">
        <f>NORM.S.INV(RAND())</f>
        <v/>
      </c>
      <c r="OR8" s="18">
        <f>NORM.S.INV(RAND())</f>
        <v/>
      </c>
      <c r="OS8" s="18">
        <f>NORM.S.INV(RAND())</f>
        <v/>
      </c>
      <c r="OT8" s="18">
        <f>NORM.S.INV(RAND())</f>
        <v/>
      </c>
      <c r="OU8" s="18">
        <f>NORM.S.INV(RAND())</f>
        <v/>
      </c>
      <c r="OV8" s="18">
        <f>NORM.S.INV(RAND())</f>
        <v/>
      </c>
      <c r="OW8" s="18">
        <f>NORM.S.INV(RAND())</f>
        <v/>
      </c>
      <c r="OX8" s="18">
        <f>NORM.S.INV(RAND())</f>
        <v/>
      </c>
      <c r="OY8" s="18">
        <f>NORM.S.INV(RAND())</f>
        <v/>
      </c>
      <c r="OZ8" s="18">
        <f>NORM.S.INV(RAND())</f>
        <v/>
      </c>
      <c r="PA8" s="18">
        <f>NORM.S.INV(RAND())</f>
        <v/>
      </c>
      <c r="PB8" s="18">
        <f>NORM.S.INV(RAND())</f>
        <v/>
      </c>
      <c r="PC8" s="18">
        <f>NORM.S.INV(RAND())</f>
        <v/>
      </c>
      <c r="PD8" s="18">
        <f>NORM.S.INV(RAND())</f>
        <v/>
      </c>
      <c r="PE8" s="18">
        <f>NORM.S.INV(RAND())</f>
        <v/>
      </c>
      <c r="PF8" s="18">
        <f>NORM.S.INV(RAND())</f>
        <v/>
      </c>
      <c r="PG8" s="18">
        <f>NORM.S.INV(RAND())</f>
        <v/>
      </c>
      <c r="PH8" s="18">
        <f>NORM.S.INV(RAND())</f>
        <v/>
      </c>
      <c r="PI8" s="18">
        <f>NORM.S.INV(RAND())</f>
        <v/>
      </c>
      <c r="PJ8" s="18">
        <f>NORM.S.INV(RAND())</f>
        <v/>
      </c>
      <c r="PK8" s="18">
        <f>NORM.S.INV(RAND())</f>
        <v/>
      </c>
      <c r="PL8" s="18">
        <f>NORM.S.INV(RAND())</f>
        <v/>
      </c>
      <c r="PM8" s="18">
        <f>NORM.S.INV(RAND())</f>
        <v/>
      </c>
      <c r="PN8" s="18">
        <f>NORM.S.INV(RAND())</f>
        <v/>
      </c>
      <c r="PO8" s="18">
        <f>NORM.S.INV(RAND())</f>
        <v/>
      </c>
      <c r="PP8" s="18">
        <f>NORM.S.INV(RAND())</f>
        <v/>
      </c>
      <c r="PQ8" s="18">
        <f>NORM.S.INV(RAND())</f>
        <v/>
      </c>
      <c r="PR8" s="18">
        <f>NORM.S.INV(RAND())</f>
        <v/>
      </c>
      <c r="PS8" s="18">
        <f>NORM.S.INV(RAND())</f>
        <v/>
      </c>
      <c r="PT8" s="18">
        <f>NORM.S.INV(RAND())</f>
        <v/>
      </c>
      <c r="PU8" s="18">
        <f>NORM.S.INV(RAND())</f>
        <v/>
      </c>
      <c r="PV8" s="18">
        <f>NORM.S.INV(RAND())</f>
        <v/>
      </c>
      <c r="PW8" s="18">
        <f>NORM.S.INV(RAND())</f>
        <v/>
      </c>
      <c r="PX8" s="18">
        <f>NORM.S.INV(RAND())</f>
        <v/>
      </c>
      <c r="PY8" s="18">
        <f>NORM.S.INV(RAND())</f>
        <v/>
      </c>
      <c r="PZ8" s="18">
        <f>NORM.S.INV(RAND())</f>
        <v/>
      </c>
      <c r="QA8" s="18">
        <f>NORM.S.INV(RAND())</f>
        <v/>
      </c>
      <c r="QB8" s="18">
        <f>NORM.S.INV(RAND())</f>
        <v/>
      </c>
      <c r="QC8" s="18">
        <f>NORM.S.INV(RAND())</f>
        <v/>
      </c>
      <c r="QD8" s="18">
        <f>NORM.S.INV(RAND())</f>
        <v/>
      </c>
      <c r="QE8" s="18">
        <f>NORM.S.INV(RAND())</f>
        <v/>
      </c>
      <c r="QF8" s="18">
        <f>NORM.S.INV(RAND())</f>
        <v/>
      </c>
      <c r="QG8" s="18">
        <f>NORM.S.INV(RAND())</f>
        <v/>
      </c>
      <c r="QH8" s="18">
        <f>NORM.S.INV(RAND())</f>
        <v/>
      </c>
      <c r="QI8" s="18">
        <f>NORM.S.INV(RAND())</f>
        <v/>
      </c>
      <c r="QJ8" s="18">
        <f>NORM.S.INV(RAND())</f>
        <v/>
      </c>
      <c r="QK8" s="18">
        <f>NORM.S.INV(RAND())</f>
        <v/>
      </c>
      <c r="QL8" s="18">
        <f>NORM.S.INV(RAND())</f>
        <v/>
      </c>
      <c r="QM8" s="18">
        <f>NORM.S.INV(RAND())</f>
        <v/>
      </c>
      <c r="QN8" s="18">
        <f>NORM.S.INV(RAND())</f>
        <v/>
      </c>
      <c r="QO8" s="18">
        <f>NORM.S.INV(RAND())</f>
        <v/>
      </c>
      <c r="QP8" s="18">
        <f>NORM.S.INV(RAND())</f>
        <v/>
      </c>
      <c r="QQ8" s="18">
        <f>NORM.S.INV(RAND())</f>
        <v/>
      </c>
      <c r="QR8" s="18">
        <f>NORM.S.INV(RAND())</f>
        <v/>
      </c>
      <c r="QS8" s="18">
        <f>NORM.S.INV(RAND())</f>
        <v/>
      </c>
      <c r="QT8" s="18">
        <f>NORM.S.INV(RAND())</f>
        <v/>
      </c>
      <c r="QU8" s="18">
        <f>NORM.S.INV(RAND())</f>
        <v/>
      </c>
      <c r="QV8" s="18">
        <f>NORM.S.INV(RAND())</f>
        <v/>
      </c>
      <c r="QW8" s="18">
        <f>NORM.S.INV(RAND())</f>
        <v/>
      </c>
      <c r="QX8" s="18">
        <f>NORM.S.INV(RAND())</f>
        <v/>
      </c>
      <c r="QY8" s="18">
        <f>NORM.S.INV(RAND())</f>
        <v/>
      </c>
      <c r="QZ8" s="18">
        <f>NORM.S.INV(RAND())</f>
        <v/>
      </c>
      <c r="RA8" s="18">
        <f>NORM.S.INV(RAND())</f>
        <v/>
      </c>
      <c r="RB8" s="18">
        <f>NORM.S.INV(RAND())</f>
        <v/>
      </c>
      <c r="RC8" s="18">
        <f>NORM.S.INV(RAND())</f>
        <v/>
      </c>
      <c r="RD8" s="18">
        <f>NORM.S.INV(RAND())</f>
        <v/>
      </c>
      <c r="RE8" s="18">
        <f>NORM.S.INV(RAND())</f>
        <v/>
      </c>
      <c r="RF8" s="18">
        <f>NORM.S.INV(RAND())</f>
        <v/>
      </c>
      <c r="RG8" s="18">
        <f>NORM.S.INV(RAND())</f>
        <v/>
      </c>
      <c r="RH8" s="18">
        <f>NORM.S.INV(RAND())</f>
        <v/>
      </c>
      <c r="RI8" s="18">
        <f>NORM.S.INV(RAND())</f>
        <v/>
      </c>
      <c r="RJ8" s="18">
        <f>NORM.S.INV(RAND())</f>
        <v/>
      </c>
      <c r="RK8" s="18">
        <f>NORM.S.INV(RAND())</f>
        <v/>
      </c>
      <c r="RL8" s="18">
        <f>NORM.S.INV(RAND())</f>
        <v/>
      </c>
      <c r="RM8" s="18">
        <f>NORM.S.INV(RAND())</f>
        <v/>
      </c>
      <c r="RN8" s="18">
        <f>NORM.S.INV(RAND())</f>
        <v/>
      </c>
      <c r="RO8" s="18">
        <f>NORM.S.INV(RAND())</f>
        <v/>
      </c>
      <c r="RP8" s="18">
        <f>NORM.S.INV(RAND())</f>
        <v/>
      </c>
      <c r="RQ8" s="18">
        <f>NORM.S.INV(RAND())</f>
        <v/>
      </c>
      <c r="RR8" s="18">
        <f>NORM.S.INV(RAND())</f>
        <v/>
      </c>
      <c r="RS8" s="18">
        <f>NORM.S.INV(RAND())</f>
        <v/>
      </c>
      <c r="RT8" s="18">
        <f>NORM.S.INV(RAND())</f>
        <v/>
      </c>
      <c r="RU8" s="18">
        <f>NORM.S.INV(RAND())</f>
        <v/>
      </c>
      <c r="RV8" s="18">
        <f>NORM.S.INV(RAND())</f>
        <v/>
      </c>
      <c r="RW8" s="18">
        <f>NORM.S.INV(RAND())</f>
        <v/>
      </c>
      <c r="RX8" s="18">
        <f>NORM.S.INV(RAND())</f>
        <v/>
      </c>
      <c r="RY8" s="18">
        <f>NORM.S.INV(RAND())</f>
        <v/>
      </c>
      <c r="RZ8" s="18">
        <f>NORM.S.INV(RAND())</f>
        <v/>
      </c>
      <c r="SA8" s="18">
        <f>NORM.S.INV(RAND())</f>
        <v/>
      </c>
      <c r="SB8" s="18">
        <f>NORM.S.INV(RAND())</f>
        <v/>
      </c>
      <c r="SC8" s="18">
        <f>NORM.S.INV(RAND())</f>
        <v/>
      </c>
      <c r="SD8" s="18">
        <f>NORM.S.INV(RAND())</f>
        <v/>
      </c>
      <c r="SE8" s="18">
        <f>NORM.S.INV(RAND())</f>
        <v/>
      </c>
      <c r="SF8" s="18">
        <f>NORM.S.INV(RAND())</f>
        <v/>
      </c>
      <c r="SG8" s="18">
        <f>NORM.S.INV(RAND())</f>
        <v/>
      </c>
    </row>
    <row r="9">
      <c r="A9" s="17" t="inlineStr">
        <is>
          <t>HNWI: No</t>
        </is>
      </c>
      <c r="B9" s="18">
        <f>NORM.S.INV(RAND())</f>
        <v/>
      </c>
      <c r="C9" s="18">
        <f>NORM.S.INV(RAND())</f>
        <v/>
      </c>
      <c r="D9" s="18">
        <f>NORM.S.INV(RAND())</f>
        <v/>
      </c>
      <c r="E9" s="18">
        <f>NORM.S.INV(RAND())</f>
        <v/>
      </c>
      <c r="F9" s="18">
        <f>NORM.S.INV(RAND())</f>
        <v/>
      </c>
      <c r="G9" s="18">
        <f>NORM.S.INV(RAND())</f>
        <v/>
      </c>
      <c r="H9" s="18">
        <f>NORM.S.INV(RAND())</f>
        <v/>
      </c>
      <c r="I9" s="18">
        <f>NORM.S.INV(RAND())</f>
        <v/>
      </c>
      <c r="J9" s="18">
        <f>NORM.S.INV(RAND())</f>
        <v/>
      </c>
      <c r="K9" s="18">
        <f>NORM.S.INV(RAND())</f>
        <v/>
      </c>
      <c r="L9" s="18">
        <f>NORM.S.INV(RAND())</f>
        <v/>
      </c>
      <c r="M9" s="18">
        <f>NORM.S.INV(RAND())</f>
        <v/>
      </c>
      <c r="N9" s="18">
        <f>NORM.S.INV(RAND())</f>
        <v/>
      </c>
      <c r="O9" s="18">
        <f>NORM.S.INV(RAND())</f>
        <v/>
      </c>
      <c r="P9" s="18">
        <f>NORM.S.INV(RAND())</f>
        <v/>
      </c>
      <c r="Q9" s="18">
        <f>NORM.S.INV(RAND())</f>
        <v/>
      </c>
      <c r="R9" s="18">
        <f>NORM.S.INV(RAND())</f>
        <v/>
      </c>
      <c r="S9" s="18">
        <f>NORM.S.INV(RAND())</f>
        <v/>
      </c>
      <c r="T9" s="18">
        <f>NORM.S.INV(RAND())</f>
        <v/>
      </c>
      <c r="U9" s="18">
        <f>NORM.S.INV(RAND())</f>
        <v/>
      </c>
      <c r="V9" s="18">
        <f>NORM.S.INV(RAND())</f>
        <v/>
      </c>
      <c r="W9" s="18">
        <f>NORM.S.INV(RAND())</f>
        <v/>
      </c>
      <c r="X9" s="18">
        <f>NORM.S.INV(RAND())</f>
        <v/>
      </c>
      <c r="Y9" s="18">
        <f>NORM.S.INV(RAND())</f>
        <v/>
      </c>
      <c r="Z9" s="18">
        <f>NORM.S.INV(RAND())</f>
        <v/>
      </c>
      <c r="AA9" s="18">
        <f>NORM.S.INV(RAND())</f>
        <v/>
      </c>
      <c r="AB9" s="18">
        <f>NORM.S.INV(RAND())</f>
        <v/>
      </c>
      <c r="AC9" s="18">
        <f>NORM.S.INV(RAND())</f>
        <v/>
      </c>
      <c r="AD9" s="18">
        <f>NORM.S.INV(RAND())</f>
        <v/>
      </c>
      <c r="AE9" s="18">
        <f>NORM.S.INV(RAND())</f>
        <v/>
      </c>
      <c r="AF9" s="18">
        <f>NORM.S.INV(RAND())</f>
        <v/>
      </c>
      <c r="AG9" s="18">
        <f>NORM.S.INV(RAND())</f>
        <v/>
      </c>
      <c r="AH9" s="18">
        <f>NORM.S.INV(RAND())</f>
        <v/>
      </c>
      <c r="AI9" s="18">
        <f>NORM.S.INV(RAND())</f>
        <v/>
      </c>
      <c r="AJ9" s="18">
        <f>NORM.S.INV(RAND())</f>
        <v/>
      </c>
      <c r="AK9" s="18">
        <f>NORM.S.INV(RAND())</f>
        <v/>
      </c>
      <c r="AL9" s="18">
        <f>NORM.S.INV(RAND())</f>
        <v/>
      </c>
      <c r="AM9" s="18">
        <f>NORM.S.INV(RAND())</f>
        <v/>
      </c>
      <c r="AN9" s="18">
        <f>NORM.S.INV(RAND())</f>
        <v/>
      </c>
      <c r="AO9" s="18">
        <f>NORM.S.INV(RAND())</f>
        <v/>
      </c>
      <c r="AP9" s="18">
        <f>NORM.S.INV(RAND())</f>
        <v/>
      </c>
      <c r="AQ9" s="18">
        <f>NORM.S.INV(RAND())</f>
        <v/>
      </c>
      <c r="AR9" s="18">
        <f>NORM.S.INV(RAND())</f>
        <v/>
      </c>
      <c r="AS9" s="18">
        <f>NORM.S.INV(RAND())</f>
        <v/>
      </c>
      <c r="AT9" s="18">
        <f>NORM.S.INV(RAND())</f>
        <v/>
      </c>
      <c r="AU9" s="18">
        <f>NORM.S.INV(RAND())</f>
        <v/>
      </c>
      <c r="AV9" s="18">
        <f>NORM.S.INV(RAND())</f>
        <v/>
      </c>
      <c r="AW9" s="18">
        <f>NORM.S.INV(RAND())</f>
        <v/>
      </c>
      <c r="AX9" s="18">
        <f>NORM.S.INV(RAND())</f>
        <v/>
      </c>
      <c r="AY9" s="18">
        <f>NORM.S.INV(RAND())</f>
        <v/>
      </c>
      <c r="AZ9" s="18">
        <f>NORM.S.INV(RAND())</f>
        <v/>
      </c>
      <c r="BA9" s="18">
        <f>NORM.S.INV(RAND())</f>
        <v/>
      </c>
      <c r="BB9" s="18">
        <f>NORM.S.INV(RAND())</f>
        <v/>
      </c>
      <c r="BC9" s="18">
        <f>NORM.S.INV(RAND())</f>
        <v/>
      </c>
      <c r="BD9" s="18">
        <f>NORM.S.INV(RAND())</f>
        <v/>
      </c>
      <c r="BE9" s="18">
        <f>NORM.S.INV(RAND())</f>
        <v/>
      </c>
      <c r="BF9" s="18">
        <f>NORM.S.INV(RAND())</f>
        <v/>
      </c>
      <c r="BG9" s="18">
        <f>NORM.S.INV(RAND())</f>
        <v/>
      </c>
      <c r="BH9" s="18">
        <f>NORM.S.INV(RAND())</f>
        <v/>
      </c>
      <c r="BI9" s="18">
        <f>NORM.S.INV(RAND())</f>
        <v/>
      </c>
      <c r="BJ9" s="18">
        <f>NORM.S.INV(RAND())</f>
        <v/>
      </c>
      <c r="BK9" s="18">
        <f>NORM.S.INV(RAND())</f>
        <v/>
      </c>
      <c r="BL9" s="18">
        <f>NORM.S.INV(RAND())</f>
        <v/>
      </c>
      <c r="BM9" s="18">
        <f>NORM.S.INV(RAND())</f>
        <v/>
      </c>
      <c r="BN9" s="18">
        <f>NORM.S.INV(RAND())</f>
        <v/>
      </c>
      <c r="BO9" s="18">
        <f>NORM.S.INV(RAND())</f>
        <v/>
      </c>
      <c r="BP9" s="18">
        <f>NORM.S.INV(RAND())</f>
        <v/>
      </c>
      <c r="BQ9" s="18">
        <f>NORM.S.INV(RAND())</f>
        <v/>
      </c>
      <c r="BR9" s="18">
        <f>NORM.S.INV(RAND())</f>
        <v/>
      </c>
      <c r="BS9" s="18">
        <f>NORM.S.INV(RAND())</f>
        <v/>
      </c>
      <c r="BT9" s="18">
        <f>NORM.S.INV(RAND())</f>
        <v/>
      </c>
      <c r="BU9" s="18">
        <f>NORM.S.INV(RAND())</f>
        <v/>
      </c>
      <c r="BV9" s="18">
        <f>NORM.S.INV(RAND())</f>
        <v/>
      </c>
      <c r="BW9" s="18">
        <f>NORM.S.INV(RAND())</f>
        <v/>
      </c>
      <c r="BX9" s="18">
        <f>NORM.S.INV(RAND())</f>
        <v/>
      </c>
      <c r="BY9" s="18">
        <f>NORM.S.INV(RAND())</f>
        <v/>
      </c>
      <c r="BZ9" s="18">
        <f>NORM.S.INV(RAND())</f>
        <v/>
      </c>
      <c r="CA9" s="18">
        <f>NORM.S.INV(RAND())</f>
        <v/>
      </c>
      <c r="CB9" s="18">
        <f>NORM.S.INV(RAND())</f>
        <v/>
      </c>
      <c r="CC9" s="18">
        <f>NORM.S.INV(RAND())</f>
        <v/>
      </c>
      <c r="CD9" s="18">
        <f>NORM.S.INV(RAND())</f>
        <v/>
      </c>
      <c r="CE9" s="18">
        <f>NORM.S.INV(RAND())</f>
        <v/>
      </c>
      <c r="CF9" s="18">
        <f>NORM.S.INV(RAND())</f>
        <v/>
      </c>
      <c r="CG9" s="18">
        <f>NORM.S.INV(RAND())</f>
        <v/>
      </c>
      <c r="CH9" s="18">
        <f>NORM.S.INV(RAND())</f>
        <v/>
      </c>
      <c r="CI9" s="18">
        <f>NORM.S.INV(RAND())</f>
        <v/>
      </c>
      <c r="CJ9" s="18">
        <f>NORM.S.INV(RAND())</f>
        <v/>
      </c>
      <c r="CK9" s="18">
        <f>NORM.S.INV(RAND())</f>
        <v/>
      </c>
      <c r="CL9" s="18">
        <f>NORM.S.INV(RAND())</f>
        <v/>
      </c>
      <c r="CM9" s="18">
        <f>NORM.S.INV(RAND())</f>
        <v/>
      </c>
      <c r="CN9" s="18">
        <f>NORM.S.INV(RAND())</f>
        <v/>
      </c>
      <c r="CO9" s="18">
        <f>NORM.S.INV(RAND())</f>
        <v/>
      </c>
      <c r="CP9" s="18">
        <f>NORM.S.INV(RAND())</f>
        <v/>
      </c>
      <c r="CQ9" s="18">
        <f>NORM.S.INV(RAND())</f>
        <v/>
      </c>
      <c r="CR9" s="18">
        <f>NORM.S.INV(RAND())</f>
        <v/>
      </c>
      <c r="CS9" s="18">
        <f>NORM.S.INV(RAND())</f>
        <v/>
      </c>
      <c r="CT9" s="18">
        <f>NORM.S.INV(RAND())</f>
        <v/>
      </c>
      <c r="CU9" s="18">
        <f>NORM.S.INV(RAND())</f>
        <v/>
      </c>
      <c r="CV9" s="18">
        <f>NORM.S.INV(RAND())</f>
        <v/>
      </c>
      <c r="CW9" s="18">
        <f>NORM.S.INV(RAND())</f>
        <v/>
      </c>
      <c r="CX9" s="18">
        <f>NORM.S.INV(RAND())</f>
        <v/>
      </c>
      <c r="CY9" s="18">
        <f>NORM.S.INV(RAND())</f>
        <v/>
      </c>
      <c r="CZ9" s="18">
        <f>NORM.S.INV(RAND())</f>
        <v/>
      </c>
      <c r="DA9" s="18">
        <f>NORM.S.INV(RAND())</f>
        <v/>
      </c>
      <c r="DB9" s="18">
        <f>NORM.S.INV(RAND())</f>
        <v/>
      </c>
      <c r="DC9" s="18">
        <f>NORM.S.INV(RAND())</f>
        <v/>
      </c>
      <c r="DD9" s="18">
        <f>NORM.S.INV(RAND())</f>
        <v/>
      </c>
      <c r="DE9" s="18">
        <f>NORM.S.INV(RAND())</f>
        <v/>
      </c>
      <c r="DF9" s="18">
        <f>NORM.S.INV(RAND())</f>
        <v/>
      </c>
      <c r="DG9" s="18">
        <f>NORM.S.INV(RAND())</f>
        <v/>
      </c>
      <c r="DH9" s="18">
        <f>NORM.S.INV(RAND())</f>
        <v/>
      </c>
      <c r="DI9" s="18">
        <f>NORM.S.INV(RAND())</f>
        <v/>
      </c>
      <c r="DJ9" s="18">
        <f>NORM.S.INV(RAND())</f>
        <v/>
      </c>
      <c r="DK9" s="18">
        <f>NORM.S.INV(RAND())</f>
        <v/>
      </c>
      <c r="DL9" s="18">
        <f>NORM.S.INV(RAND())</f>
        <v/>
      </c>
      <c r="DM9" s="18">
        <f>NORM.S.INV(RAND())</f>
        <v/>
      </c>
      <c r="DN9" s="18">
        <f>NORM.S.INV(RAND())</f>
        <v/>
      </c>
      <c r="DO9" s="18">
        <f>NORM.S.INV(RAND())</f>
        <v/>
      </c>
      <c r="DP9" s="18">
        <f>NORM.S.INV(RAND())</f>
        <v/>
      </c>
      <c r="DQ9" s="18">
        <f>NORM.S.INV(RAND())</f>
        <v/>
      </c>
      <c r="DR9" s="18">
        <f>NORM.S.INV(RAND())</f>
        <v/>
      </c>
      <c r="DS9" s="18">
        <f>NORM.S.INV(RAND())</f>
        <v/>
      </c>
      <c r="DT9" s="18">
        <f>NORM.S.INV(RAND())</f>
        <v/>
      </c>
      <c r="DU9" s="18">
        <f>NORM.S.INV(RAND())</f>
        <v/>
      </c>
      <c r="DV9" s="18">
        <f>NORM.S.INV(RAND())</f>
        <v/>
      </c>
      <c r="DW9" s="18">
        <f>NORM.S.INV(RAND())</f>
        <v/>
      </c>
      <c r="DX9" s="18">
        <f>NORM.S.INV(RAND())</f>
        <v/>
      </c>
      <c r="DY9" s="18">
        <f>NORM.S.INV(RAND())</f>
        <v/>
      </c>
      <c r="DZ9" s="18">
        <f>NORM.S.INV(RAND())</f>
        <v/>
      </c>
      <c r="EA9" s="18">
        <f>NORM.S.INV(RAND())</f>
        <v/>
      </c>
      <c r="EB9" s="18">
        <f>NORM.S.INV(RAND())</f>
        <v/>
      </c>
      <c r="EC9" s="18">
        <f>NORM.S.INV(RAND())</f>
        <v/>
      </c>
      <c r="ED9" s="18">
        <f>NORM.S.INV(RAND())</f>
        <v/>
      </c>
      <c r="EE9" s="18">
        <f>NORM.S.INV(RAND())</f>
        <v/>
      </c>
      <c r="EF9" s="18">
        <f>NORM.S.INV(RAND())</f>
        <v/>
      </c>
      <c r="EG9" s="18">
        <f>NORM.S.INV(RAND())</f>
        <v/>
      </c>
      <c r="EH9" s="18">
        <f>NORM.S.INV(RAND())</f>
        <v/>
      </c>
      <c r="EI9" s="18">
        <f>NORM.S.INV(RAND())</f>
        <v/>
      </c>
      <c r="EJ9" s="18">
        <f>NORM.S.INV(RAND())</f>
        <v/>
      </c>
      <c r="EK9" s="18">
        <f>NORM.S.INV(RAND())</f>
        <v/>
      </c>
      <c r="EL9" s="18">
        <f>NORM.S.INV(RAND())</f>
        <v/>
      </c>
      <c r="EM9" s="18">
        <f>NORM.S.INV(RAND())</f>
        <v/>
      </c>
      <c r="EN9" s="18">
        <f>NORM.S.INV(RAND())</f>
        <v/>
      </c>
      <c r="EO9" s="18">
        <f>NORM.S.INV(RAND())</f>
        <v/>
      </c>
      <c r="EP9" s="18">
        <f>NORM.S.INV(RAND())</f>
        <v/>
      </c>
      <c r="EQ9" s="18">
        <f>NORM.S.INV(RAND())</f>
        <v/>
      </c>
      <c r="ER9" s="18">
        <f>NORM.S.INV(RAND())</f>
        <v/>
      </c>
      <c r="ES9" s="18">
        <f>NORM.S.INV(RAND())</f>
        <v/>
      </c>
      <c r="ET9" s="18">
        <f>NORM.S.INV(RAND())</f>
        <v/>
      </c>
      <c r="EU9" s="18">
        <f>NORM.S.INV(RAND())</f>
        <v/>
      </c>
      <c r="EV9" s="18">
        <f>NORM.S.INV(RAND())</f>
        <v/>
      </c>
      <c r="EW9" s="18">
        <f>NORM.S.INV(RAND())</f>
        <v/>
      </c>
      <c r="EX9" s="18">
        <f>NORM.S.INV(RAND())</f>
        <v/>
      </c>
      <c r="EY9" s="18">
        <f>NORM.S.INV(RAND())</f>
        <v/>
      </c>
      <c r="EZ9" s="18">
        <f>NORM.S.INV(RAND())</f>
        <v/>
      </c>
      <c r="FA9" s="18">
        <f>NORM.S.INV(RAND())</f>
        <v/>
      </c>
      <c r="FB9" s="18">
        <f>NORM.S.INV(RAND())</f>
        <v/>
      </c>
      <c r="FC9" s="18">
        <f>NORM.S.INV(RAND())</f>
        <v/>
      </c>
      <c r="FD9" s="18">
        <f>NORM.S.INV(RAND())</f>
        <v/>
      </c>
      <c r="FE9" s="18">
        <f>NORM.S.INV(RAND())</f>
        <v/>
      </c>
      <c r="FF9" s="18">
        <f>NORM.S.INV(RAND())</f>
        <v/>
      </c>
      <c r="FG9" s="18">
        <f>NORM.S.INV(RAND())</f>
        <v/>
      </c>
      <c r="FH9" s="18">
        <f>NORM.S.INV(RAND())</f>
        <v/>
      </c>
      <c r="FI9" s="18">
        <f>NORM.S.INV(RAND())</f>
        <v/>
      </c>
      <c r="FJ9" s="18">
        <f>NORM.S.INV(RAND())</f>
        <v/>
      </c>
      <c r="FK9" s="18">
        <f>NORM.S.INV(RAND())</f>
        <v/>
      </c>
      <c r="FL9" s="18">
        <f>NORM.S.INV(RAND())</f>
        <v/>
      </c>
      <c r="FM9" s="18">
        <f>NORM.S.INV(RAND())</f>
        <v/>
      </c>
      <c r="FN9" s="18">
        <f>NORM.S.INV(RAND())</f>
        <v/>
      </c>
      <c r="FO9" s="18">
        <f>NORM.S.INV(RAND())</f>
        <v/>
      </c>
      <c r="FP9" s="18">
        <f>NORM.S.INV(RAND())</f>
        <v/>
      </c>
      <c r="FQ9" s="18">
        <f>NORM.S.INV(RAND())</f>
        <v/>
      </c>
      <c r="FR9" s="18">
        <f>NORM.S.INV(RAND())</f>
        <v/>
      </c>
      <c r="FS9" s="18">
        <f>NORM.S.INV(RAND())</f>
        <v/>
      </c>
      <c r="FT9" s="18">
        <f>NORM.S.INV(RAND())</f>
        <v/>
      </c>
      <c r="FU9" s="18">
        <f>NORM.S.INV(RAND())</f>
        <v/>
      </c>
      <c r="FV9" s="18">
        <f>NORM.S.INV(RAND())</f>
        <v/>
      </c>
      <c r="FW9" s="18">
        <f>NORM.S.INV(RAND())</f>
        <v/>
      </c>
      <c r="FX9" s="18">
        <f>NORM.S.INV(RAND())</f>
        <v/>
      </c>
      <c r="FY9" s="18">
        <f>NORM.S.INV(RAND())</f>
        <v/>
      </c>
      <c r="FZ9" s="18">
        <f>NORM.S.INV(RAND())</f>
        <v/>
      </c>
      <c r="GA9" s="18">
        <f>NORM.S.INV(RAND())</f>
        <v/>
      </c>
      <c r="GB9" s="18">
        <f>NORM.S.INV(RAND())</f>
        <v/>
      </c>
      <c r="GC9" s="18">
        <f>NORM.S.INV(RAND())</f>
        <v/>
      </c>
      <c r="GD9" s="18">
        <f>NORM.S.INV(RAND())</f>
        <v/>
      </c>
      <c r="GE9" s="18">
        <f>NORM.S.INV(RAND())</f>
        <v/>
      </c>
      <c r="GF9" s="18">
        <f>NORM.S.INV(RAND())</f>
        <v/>
      </c>
      <c r="GG9" s="18">
        <f>NORM.S.INV(RAND())</f>
        <v/>
      </c>
      <c r="GH9" s="18">
        <f>NORM.S.INV(RAND())</f>
        <v/>
      </c>
      <c r="GI9" s="18">
        <f>NORM.S.INV(RAND())</f>
        <v/>
      </c>
      <c r="GJ9" s="18">
        <f>NORM.S.INV(RAND())</f>
        <v/>
      </c>
      <c r="GK9" s="18">
        <f>NORM.S.INV(RAND())</f>
        <v/>
      </c>
      <c r="GL9" s="18">
        <f>NORM.S.INV(RAND())</f>
        <v/>
      </c>
      <c r="GM9" s="18">
        <f>NORM.S.INV(RAND())</f>
        <v/>
      </c>
      <c r="GN9" s="18">
        <f>NORM.S.INV(RAND())</f>
        <v/>
      </c>
      <c r="GO9" s="18">
        <f>NORM.S.INV(RAND())</f>
        <v/>
      </c>
      <c r="GP9" s="18">
        <f>NORM.S.INV(RAND())</f>
        <v/>
      </c>
      <c r="GQ9" s="18">
        <f>NORM.S.INV(RAND())</f>
        <v/>
      </c>
      <c r="GR9" s="18">
        <f>NORM.S.INV(RAND())</f>
        <v/>
      </c>
      <c r="GS9" s="18">
        <f>NORM.S.INV(RAND())</f>
        <v/>
      </c>
      <c r="GT9" s="18">
        <f>NORM.S.INV(RAND())</f>
        <v/>
      </c>
      <c r="GU9" s="18">
        <f>NORM.S.INV(RAND())</f>
        <v/>
      </c>
      <c r="GV9" s="18">
        <f>NORM.S.INV(RAND())</f>
        <v/>
      </c>
      <c r="GW9" s="18">
        <f>NORM.S.INV(RAND())</f>
        <v/>
      </c>
      <c r="GX9" s="18">
        <f>NORM.S.INV(RAND())</f>
        <v/>
      </c>
      <c r="GY9" s="18">
        <f>NORM.S.INV(RAND())</f>
        <v/>
      </c>
      <c r="GZ9" s="18">
        <f>NORM.S.INV(RAND())</f>
        <v/>
      </c>
      <c r="HA9" s="18">
        <f>NORM.S.INV(RAND())</f>
        <v/>
      </c>
      <c r="HB9" s="18">
        <f>NORM.S.INV(RAND())</f>
        <v/>
      </c>
      <c r="HC9" s="18">
        <f>NORM.S.INV(RAND())</f>
        <v/>
      </c>
      <c r="HD9" s="18">
        <f>NORM.S.INV(RAND())</f>
        <v/>
      </c>
      <c r="HE9" s="18">
        <f>NORM.S.INV(RAND())</f>
        <v/>
      </c>
      <c r="HF9" s="18">
        <f>NORM.S.INV(RAND())</f>
        <v/>
      </c>
      <c r="HG9" s="18">
        <f>NORM.S.INV(RAND())</f>
        <v/>
      </c>
      <c r="HH9" s="18">
        <f>NORM.S.INV(RAND())</f>
        <v/>
      </c>
      <c r="HI9" s="18">
        <f>NORM.S.INV(RAND())</f>
        <v/>
      </c>
      <c r="HJ9" s="18">
        <f>NORM.S.INV(RAND())</f>
        <v/>
      </c>
      <c r="HK9" s="18">
        <f>NORM.S.INV(RAND())</f>
        <v/>
      </c>
      <c r="HL9" s="18">
        <f>NORM.S.INV(RAND())</f>
        <v/>
      </c>
      <c r="HM9" s="18">
        <f>NORM.S.INV(RAND())</f>
        <v/>
      </c>
      <c r="HN9" s="18">
        <f>NORM.S.INV(RAND())</f>
        <v/>
      </c>
      <c r="HO9" s="18">
        <f>NORM.S.INV(RAND())</f>
        <v/>
      </c>
      <c r="HP9" s="18">
        <f>NORM.S.INV(RAND())</f>
        <v/>
      </c>
      <c r="HQ9" s="18">
        <f>NORM.S.INV(RAND())</f>
        <v/>
      </c>
      <c r="HR9" s="18">
        <f>NORM.S.INV(RAND())</f>
        <v/>
      </c>
      <c r="HS9" s="18">
        <f>NORM.S.INV(RAND())</f>
        <v/>
      </c>
      <c r="HT9" s="18">
        <f>NORM.S.INV(RAND())</f>
        <v/>
      </c>
      <c r="HU9" s="18">
        <f>NORM.S.INV(RAND())</f>
        <v/>
      </c>
      <c r="HV9" s="18">
        <f>NORM.S.INV(RAND())</f>
        <v/>
      </c>
      <c r="HW9" s="18">
        <f>NORM.S.INV(RAND())</f>
        <v/>
      </c>
      <c r="HX9" s="18">
        <f>NORM.S.INV(RAND())</f>
        <v/>
      </c>
      <c r="HY9" s="18">
        <f>NORM.S.INV(RAND())</f>
        <v/>
      </c>
      <c r="HZ9" s="18">
        <f>NORM.S.INV(RAND())</f>
        <v/>
      </c>
      <c r="IA9" s="18">
        <f>NORM.S.INV(RAND())</f>
        <v/>
      </c>
      <c r="IB9" s="18">
        <f>NORM.S.INV(RAND())</f>
        <v/>
      </c>
      <c r="IC9" s="18">
        <f>NORM.S.INV(RAND())</f>
        <v/>
      </c>
      <c r="ID9" s="18">
        <f>NORM.S.INV(RAND())</f>
        <v/>
      </c>
      <c r="IE9" s="18">
        <f>NORM.S.INV(RAND())</f>
        <v/>
      </c>
      <c r="IF9" s="18">
        <f>NORM.S.INV(RAND())</f>
        <v/>
      </c>
      <c r="IG9" s="18">
        <f>NORM.S.INV(RAND())</f>
        <v/>
      </c>
      <c r="IH9" s="18">
        <f>NORM.S.INV(RAND())</f>
        <v/>
      </c>
      <c r="II9" s="18">
        <f>NORM.S.INV(RAND())</f>
        <v/>
      </c>
      <c r="IJ9" s="18">
        <f>NORM.S.INV(RAND())</f>
        <v/>
      </c>
      <c r="IK9" s="18">
        <f>NORM.S.INV(RAND())</f>
        <v/>
      </c>
      <c r="IL9" s="18">
        <f>NORM.S.INV(RAND())</f>
        <v/>
      </c>
      <c r="IM9" s="18">
        <f>NORM.S.INV(RAND())</f>
        <v/>
      </c>
      <c r="IN9" s="18">
        <f>NORM.S.INV(RAND())</f>
        <v/>
      </c>
      <c r="IO9" s="18">
        <f>NORM.S.INV(RAND())</f>
        <v/>
      </c>
      <c r="IP9" s="18">
        <f>NORM.S.INV(RAND())</f>
        <v/>
      </c>
      <c r="IQ9" s="18">
        <f>NORM.S.INV(RAND())</f>
        <v/>
      </c>
      <c r="IR9" s="18">
        <f>NORM.S.INV(RAND())</f>
        <v/>
      </c>
      <c r="IS9" s="18">
        <f>NORM.S.INV(RAND())</f>
        <v/>
      </c>
      <c r="IT9" s="18">
        <f>NORM.S.INV(RAND())</f>
        <v/>
      </c>
      <c r="IU9" s="18">
        <f>NORM.S.INV(RAND())</f>
        <v/>
      </c>
      <c r="IV9" s="18">
        <f>NORM.S.INV(RAND())</f>
        <v/>
      </c>
      <c r="IW9" s="18">
        <f>NORM.S.INV(RAND())</f>
        <v/>
      </c>
      <c r="IX9" s="18">
        <f>NORM.S.INV(RAND())</f>
        <v/>
      </c>
      <c r="IY9" s="18">
        <f>NORM.S.INV(RAND())</f>
        <v/>
      </c>
      <c r="IZ9" s="18">
        <f>NORM.S.INV(RAND())</f>
        <v/>
      </c>
      <c r="JA9" s="18">
        <f>NORM.S.INV(RAND())</f>
        <v/>
      </c>
      <c r="JB9" s="18">
        <f>NORM.S.INV(RAND())</f>
        <v/>
      </c>
      <c r="JC9" s="18">
        <f>NORM.S.INV(RAND())</f>
        <v/>
      </c>
      <c r="JD9" s="18">
        <f>NORM.S.INV(RAND())</f>
        <v/>
      </c>
      <c r="JE9" s="18">
        <f>NORM.S.INV(RAND())</f>
        <v/>
      </c>
      <c r="JF9" s="18">
        <f>NORM.S.INV(RAND())</f>
        <v/>
      </c>
      <c r="JG9" s="18">
        <f>NORM.S.INV(RAND())</f>
        <v/>
      </c>
      <c r="JH9" s="18">
        <f>NORM.S.INV(RAND())</f>
        <v/>
      </c>
      <c r="JI9" s="18">
        <f>NORM.S.INV(RAND())</f>
        <v/>
      </c>
      <c r="JJ9" s="18">
        <f>NORM.S.INV(RAND())</f>
        <v/>
      </c>
      <c r="JK9" s="18">
        <f>NORM.S.INV(RAND())</f>
        <v/>
      </c>
      <c r="JL9" s="18">
        <f>NORM.S.INV(RAND())</f>
        <v/>
      </c>
      <c r="JM9" s="18">
        <f>NORM.S.INV(RAND())</f>
        <v/>
      </c>
      <c r="JN9" s="18">
        <f>NORM.S.INV(RAND())</f>
        <v/>
      </c>
      <c r="JO9" s="18">
        <f>NORM.S.INV(RAND())</f>
        <v/>
      </c>
      <c r="JP9" s="18">
        <f>NORM.S.INV(RAND())</f>
        <v/>
      </c>
      <c r="JQ9" s="18">
        <f>NORM.S.INV(RAND())</f>
        <v/>
      </c>
      <c r="JR9" s="18">
        <f>NORM.S.INV(RAND())</f>
        <v/>
      </c>
      <c r="JS9" s="18">
        <f>NORM.S.INV(RAND())</f>
        <v/>
      </c>
      <c r="JT9" s="18">
        <f>NORM.S.INV(RAND())</f>
        <v/>
      </c>
      <c r="JU9" s="18">
        <f>NORM.S.INV(RAND())</f>
        <v/>
      </c>
      <c r="JV9" s="18">
        <f>NORM.S.INV(RAND())</f>
        <v/>
      </c>
      <c r="JW9" s="18">
        <f>NORM.S.INV(RAND())</f>
        <v/>
      </c>
      <c r="JX9" s="18">
        <f>NORM.S.INV(RAND())</f>
        <v/>
      </c>
      <c r="JY9" s="18">
        <f>NORM.S.INV(RAND())</f>
        <v/>
      </c>
      <c r="JZ9" s="18">
        <f>NORM.S.INV(RAND())</f>
        <v/>
      </c>
      <c r="KA9" s="18">
        <f>NORM.S.INV(RAND())</f>
        <v/>
      </c>
      <c r="KB9" s="18">
        <f>NORM.S.INV(RAND())</f>
        <v/>
      </c>
      <c r="KC9" s="18">
        <f>NORM.S.INV(RAND())</f>
        <v/>
      </c>
      <c r="KD9" s="18">
        <f>NORM.S.INV(RAND())</f>
        <v/>
      </c>
      <c r="KE9" s="18">
        <f>NORM.S.INV(RAND())</f>
        <v/>
      </c>
      <c r="KF9" s="18">
        <f>NORM.S.INV(RAND())</f>
        <v/>
      </c>
      <c r="KG9" s="18">
        <f>NORM.S.INV(RAND())</f>
        <v/>
      </c>
      <c r="KH9" s="18">
        <f>NORM.S.INV(RAND())</f>
        <v/>
      </c>
      <c r="KI9" s="18">
        <f>NORM.S.INV(RAND())</f>
        <v/>
      </c>
      <c r="KJ9" s="18">
        <f>NORM.S.INV(RAND())</f>
        <v/>
      </c>
      <c r="KK9" s="18">
        <f>NORM.S.INV(RAND())</f>
        <v/>
      </c>
      <c r="KL9" s="18">
        <f>NORM.S.INV(RAND())</f>
        <v/>
      </c>
      <c r="KM9" s="18">
        <f>NORM.S.INV(RAND())</f>
        <v/>
      </c>
      <c r="KN9" s="18">
        <f>NORM.S.INV(RAND())</f>
        <v/>
      </c>
      <c r="KO9" s="18">
        <f>NORM.S.INV(RAND())</f>
        <v/>
      </c>
      <c r="KP9" s="18">
        <f>NORM.S.INV(RAND())</f>
        <v/>
      </c>
      <c r="KQ9" s="18">
        <f>NORM.S.INV(RAND())</f>
        <v/>
      </c>
      <c r="KR9" s="18">
        <f>NORM.S.INV(RAND())</f>
        <v/>
      </c>
      <c r="KS9" s="18">
        <f>NORM.S.INV(RAND())</f>
        <v/>
      </c>
      <c r="KT9" s="18">
        <f>NORM.S.INV(RAND())</f>
        <v/>
      </c>
      <c r="KU9" s="18">
        <f>NORM.S.INV(RAND())</f>
        <v/>
      </c>
      <c r="KV9" s="18">
        <f>NORM.S.INV(RAND())</f>
        <v/>
      </c>
      <c r="KW9" s="18">
        <f>NORM.S.INV(RAND())</f>
        <v/>
      </c>
      <c r="KX9" s="18">
        <f>NORM.S.INV(RAND())</f>
        <v/>
      </c>
      <c r="KY9" s="18">
        <f>NORM.S.INV(RAND())</f>
        <v/>
      </c>
      <c r="KZ9" s="18">
        <f>NORM.S.INV(RAND())</f>
        <v/>
      </c>
      <c r="LA9" s="18">
        <f>NORM.S.INV(RAND())</f>
        <v/>
      </c>
      <c r="LB9" s="18">
        <f>NORM.S.INV(RAND())</f>
        <v/>
      </c>
      <c r="LC9" s="18">
        <f>NORM.S.INV(RAND())</f>
        <v/>
      </c>
      <c r="LD9" s="18">
        <f>NORM.S.INV(RAND())</f>
        <v/>
      </c>
      <c r="LE9" s="18">
        <f>NORM.S.INV(RAND())</f>
        <v/>
      </c>
      <c r="LF9" s="18">
        <f>NORM.S.INV(RAND())</f>
        <v/>
      </c>
      <c r="LG9" s="18">
        <f>NORM.S.INV(RAND())</f>
        <v/>
      </c>
      <c r="LH9" s="18">
        <f>NORM.S.INV(RAND())</f>
        <v/>
      </c>
      <c r="LI9" s="18">
        <f>NORM.S.INV(RAND())</f>
        <v/>
      </c>
      <c r="LJ9" s="18">
        <f>NORM.S.INV(RAND())</f>
        <v/>
      </c>
      <c r="LK9" s="18">
        <f>NORM.S.INV(RAND())</f>
        <v/>
      </c>
      <c r="LL9" s="18">
        <f>NORM.S.INV(RAND())</f>
        <v/>
      </c>
      <c r="LM9" s="18">
        <f>NORM.S.INV(RAND())</f>
        <v/>
      </c>
      <c r="LN9" s="18">
        <f>NORM.S.INV(RAND())</f>
        <v/>
      </c>
      <c r="LO9" s="18">
        <f>NORM.S.INV(RAND())</f>
        <v/>
      </c>
      <c r="LP9" s="18">
        <f>NORM.S.INV(RAND())</f>
        <v/>
      </c>
      <c r="LQ9" s="18">
        <f>NORM.S.INV(RAND())</f>
        <v/>
      </c>
      <c r="LR9" s="18">
        <f>NORM.S.INV(RAND())</f>
        <v/>
      </c>
      <c r="LS9" s="18">
        <f>NORM.S.INV(RAND())</f>
        <v/>
      </c>
      <c r="LT9" s="18">
        <f>NORM.S.INV(RAND())</f>
        <v/>
      </c>
      <c r="LU9" s="18">
        <f>NORM.S.INV(RAND())</f>
        <v/>
      </c>
      <c r="LV9" s="18">
        <f>NORM.S.INV(RAND())</f>
        <v/>
      </c>
      <c r="LW9" s="18">
        <f>NORM.S.INV(RAND())</f>
        <v/>
      </c>
      <c r="LX9" s="18">
        <f>NORM.S.INV(RAND())</f>
        <v/>
      </c>
      <c r="LY9" s="18">
        <f>NORM.S.INV(RAND())</f>
        <v/>
      </c>
      <c r="LZ9" s="18">
        <f>NORM.S.INV(RAND())</f>
        <v/>
      </c>
      <c r="MA9" s="18">
        <f>NORM.S.INV(RAND())</f>
        <v/>
      </c>
      <c r="MB9" s="18">
        <f>NORM.S.INV(RAND())</f>
        <v/>
      </c>
      <c r="MC9" s="18">
        <f>NORM.S.INV(RAND())</f>
        <v/>
      </c>
      <c r="MD9" s="18">
        <f>NORM.S.INV(RAND())</f>
        <v/>
      </c>
      <c r="ME9" s="18">
        <f>NORM.S.INV(RAND())</f>
        <v/>
      </c>
      <c r="MF9" s="18">
        <f>NORM.S.INV(RAND())</f>
        <v/>
      </c>
      <c r="MG9" s="18">
        <f>NORM.S.INV(RAND())</f>
        <v/>
      </c>
      <c r="MH9" s="18">
        <f>NORM.S.INV(RAND())</f>
        <v/>
      </c>
      <c r="MI9" s="18">
        <f>NORM.S.INV(RAND())</f>
        <v/>
      </c>
      <c r="MJ9" s="18">
        <f>NORM.S.INV(RAND())</f>
        <v/>
      </c>
      <c r="MK9" s="18">
        <f>NORM.S.INV(RAND())</f>
        <v/>
      </c>
      <c r="ML9" s="18">
        <f>NORM.S.INV(RAND())</f>
        <v/>
      </c>
      <c r="MM9" s="18">
        <f>NORM.S.INV(RAND())</f>
        <v/>
      </c>
      <c r="MN9" s="18">
        <f>NORM.S.INV(RAND())</f>
        <v/>
      </c>
      <c r="MO9" s="18">
        <f>NORM.S.INV(RAND())</f>
        <v/>
      </c>
      <c r="MP9" s="18">
        <f>NORM.S.INV(RAND())</f>
        <v/>
      </c>
      <c r="MQ9" s="18">
        <f>NORM.S.INV(RAND())</f>
        <v/>
      </c>
      <c r="MR9" s="18">
        <f>NORM.S.INV(RAND())</f>
        <v/>
      </c>
      <c r="MS9" s="18">
        <f>NORM.S.INV(RAND())</f>
        <v/>
      </c>
      <c r="MT9" s="18">
        <f>NORM.S.INV(RAND())</f>
        <v/>
      </c>
      <c r="MU9" s="18">
        <f>NORM.S.INV(RAND())</f>
        <v/>
      </c>
      <c r="MV9" s="18">
        <f>NORM.S.INV(RAND())</f>
        <v/>
      </c>
      <c r="MW9" s="18">
        <f>NORM.S.INV(RAND())</f>
        <v/>
      </c>
      <c r="MX9" s="18">
        <f>NORM.S.INV(RAND())</f>
        <v/>
      </c>
      <c r="MY9" s="18">
        <f>NORM.S.INV(RAND())</f>
        <v/>
      </c>
      <c r="MZ9" s="18">
        <f>NORM.S.INV(RAND())</f>
        <v/>
      </c>
      <c r="NA9" s="18">
        <f>NORM.S.INV(RAND())</f>
        <v/>
      </c>
      <c r="NB9" s="18">
        <f>NORM.S.INV(RAND())</f>
        <v/>
      </c>
      <c r="NC9" s="18">
        <f>NORM.S.INV(RAND())</f>
        <v/>
      </c>
      <c r="ND9" s="18">
        <f>NORM.S.INV(RAND())</f>
        <v/>
      </c>
      <c r="NE9" s="18">
        <f>NORM.S.INV(RAND())</f>
        <v/>
      </c>
      <c r="NF9" s="18">
        <f>NORM.S.INV(RAND())</f>
        <v/>
      </c>
      <c r="NG9" s="18">
        <f>NORM.S.INV(RAND())</f>
        <v/>
      </c>
      <c r="NH9" s="18">
        <f>NORM.S.INV(RAND())</f>
        <v/>
      </c>
      <c r="NI9" s="18">
        <f>NORM.S.INV(RAND())</f>
        <v/>
      </c>
      <c r="NJ9" s="18">
        <f>NORM.S.INV(RAND())</f>
        <v/>
      </c>
      <c r="NK9" s="18">
        <f>NORM.S.INV(RAND())</f>
        <v/>
      </c>
      <c r="NL9" s="18">
        <f>NORM.S.INV(RAND())</f>
        <v/>
      </c>
      <c r="NM9" s="18">
        <f>NORM.S.INV(RAND())</f>
        <v/>
      </c>
      <c r="NN9" s="18">
        <f>NORM.S.INV(RAND())</f>
        <v/>
      </c>
      <c r="NO9" s="18">
        <f>NORM.S.INV(RAND())</f>
        <v/>
      </c>
      <c r="NP9" s="18">
        <f>NORM.S.INV(RAND())</f>
        <v/>
      </c>
      <c r="NQ9" s="18">
        <f>NORM.S.INV(RAND())</f>
        <v/>
      </c>
      <c r="NR9" s="18">
        <f>NORM.S.INV(RAND())</f>
        <v/>
      </c>
      <c r="NS9" s="18">
        <f>NORM.S.INV(RAND())</f>
        <v/>
      </c>
      <c r="NT9" s="18">
        <f>NORM.S.INV(RAND())</f>
        <v/>
      </c>
      <c r="NU9" s="18">
        <f>NORM.S.INV(RAND())</f>
        <v/>
      </c>
      <c r="NV9" s="18">
        <f>NORM.S.INV(RAND())</f>
        <v/>
      </c>
      <c r="NW9" s="18">
        <f>NORM.S.INV(RAND())</f>
        <v/>
      </c>
      <c r="NX9" s="18">
        <f>NORM.S.INV(RAND())</f>
        <v/>
      </c>
      <c r="NY9" s="18">
        <f>NORM.S.INV(RAND())</f>
        <v/>
      </c>
      <c r="NZ9" s="18">
        <f>NORM.S.INV(RAND())</f>
        <v/>
      </c>
      <c r="OA9" s="18">
        <f>NORM.S.INV(RAND())</f>
        <v/>
      </c>
      <c r="OB9" s="18">
        <f>NORM.S.INV(RAND())</f>
        <v/>
      </c>
      <c r="OC9" s="18">
        <f>NORM.S.INV(RAND())</f>
        <v/>
      </c>
      <c r="OD9" s="18">
        <f>NORM.S.INV(RAND())</f>
        <v/>
      </c>
      <c r="OE9" s="18">
        <f>NORM.S.INV(RAND())</f>
        <v/>
      </c>
      <c r="OF9" s="18">
        <f>NORM.S.INV(RAND())</f>
        <v/>
      </c>
      <c r="OG9" s="18">
        <f>NORM.S.INV(RAND())</f>
        <v/>
      </c>
      <c r="OH9" s="18">
        <f>NORM.S.INV(RAND())</f>
        <v/>
      </c>
      <c r="OI9" s="18">
        <f>NORM.S.INV(RAND())</f>
        <v/>
      </c>
      <c r="OJ9" s="18">
        <f>NORM.S.INV(RAND())</f>
        <v/>
      </c>
      <c r="OK9" s="18">
        <f>NORM.S.INV(RAND())</f>
        <v/>
      </c>
      <c r="OL9" s="18">
        <f>NORM.S.INV(RAND())</f>
        <v/>
      </c>
      <c r="OM9" s="18">
        <f>NORM.S.INV(RAND())</f>
        <v/>
      </c>
      <c r="ON9" s="18">
        <f>NORM.S.INV(RAND())</f>
        <v/>
      </c>
      <c r="OO9" s="18">
        <f>NORM.S.INV(RAND())</f>
        <v/>
      </c>
      <c r="OP9" s="18">
        <f>NORM.S.INV(RAND())</f>
        <v/>
      </c>
      <c r="OQ9" s="18">
        <f>NORM.S.INV(RAND())</f>
        <v/>
      </c>
      <c r="OR9" s="18">
        <f>NORM.S.INV(RAND())</f>
        <v/>
      </c>
      <c r="OS9" s="18">
        <f>NORM.S.INV(RAND())</f>
        <v/>
      </c>
      <c r="OT9" s="18">
        <f>NORM.S.INV(RAND())</f>
        <v/>
      </c>
      <c r="OU9" s="18">
        <f>NORM.S.INV(RAND())</f>
        <v/>
      </c>
      <c r="OV9" s="18">
        <f>NORM.S.INV(RAND())</f>
        <v/>
      </c>
      <c r="OW9" s="18">
        <f>NORM.S.INV(RAND())</f>
        <v/>
      </c>
      <c r="OX9" s="18">
        <f>NORM.S.INV(RAND())</f>
        <v/>
      </c>
      <c r="OY9" s="18">
        <f>NORM.S.INV(RAND())</f>
        <v/>
      </c>
      <c r="OZ9" s="18">
        <f>NORM.S.INV(RAND())</f>
        <v/>
      </c>
      <c r="PA9" s="18">
        <f>NORM.S.INV(RAND())</f>
        <v/>
      </c>
      <c r="PB9" s="18">
        <f>NORM.S.INV(RAND())</f>
        <v/>
      </c>
      <c r="PC9" s="18">
        <f>NORM.S.INV(RAND())</f>
        <v/>
      </c>
      <c r="PD9" s="18">
        <f>NORM.S.INV(RAND())</f>
        <v/>
      </c>
      <c r="PE9" s="18">
        <f>NORM.S.INV(RAND())</f>
        <v/>
      </c>
      <c r="PF9" s="18">
        <f>NORM.S.INV(RAND())</f>
        <v/>
      </c>
      <c r="PG9" s="18">
        <f>NORM.S.INV(RAND())</f>
        <v/>
      </c>
      <c r="PH9" s="18">
        <f>NORM.S.INV(RAND())</f>
        <v/>
      </c>
      <c r="PI9" s="18">
        <f>NORM.S.INV(RAND())</f>
        <v/>
      </c>
      <c r="PJ9" s="18">
        <f>NORM.S.INV(RAND())</f>
        <v/>
      </c>
      <c r="PK9" s="18">
        <f>NORM.S.INV(RAND())</f>
        <v/>
      </c>
      <c r="PL9" s="18">
        <f>NORM.S.INV(RAND())</f>
        <v/>
      </c>
      <c r="PM9" s="18">
        <f>NORM.S.INV(RAND())</f>
        <v/>
      </c>
      <c r="PN9" s="18">
        <f>NORM.S.INV(RAND())</f>
        <v/>
      </c>
      <c r="PO9" s="18">
        <f>NORM.S.INV(RAND())</f>
        <v/>
      </c>
      <c r="PP9" s="18">
        <f>NORM.S.INV(RAND())</f>
        <v/>
      </c>
      <c r="PQ9" s="18">
        <f>NORM.S.INV(RAND())</f>
        <v/>
      </c>
      <c r="PR9" s="18">
        <f>NORM.S.INV(RAND())</f>
        <v/>
      </c>
      <c r="PS9" s="18">
        <f>NORM.S.INV(RAND())</f>
        <v/>
      </c>
      <c r="PT9" s="18">
        <f>NORM.S.INV(RAND())</f>
        <v/>
      </c>
      <c r="PU9" s="18">
        <f>NORM.S.INV(RAND())</f>
        <v/>
      </c>
      <c r="PV9" s="18">
        <f>NORM.S.INV(RAND())</f>
        <v/>
      </c>
      <c r="PW9" s="18">
        <f>NORM.S.INV(RAND())</f>
        <v/>
      </c>
      <c r="PX9" s="18">
        <f>NORM.S.INV(RAND())</f>
        <v/>
      </c>
      <c r="PY9" s="18">
        <f>NORM.S.INV(RAND())</f>
        <v/>
      </c>
      <c r="PZ9" s="18">
        <f>NORM.S.INV(RAND())</f>
        <v/>
      </c>
      <c r="QA9" s="18">
        <f>NORM.S.INV(RAND())</f>
        <v/>
      </c>
      <c r="QB9" s="18">
        <f>NORM.S.INV(RAND())</f>
        <v/>
      </c>
      <c r="QC9" s="18">
        <f>NORM.S.INV(RAND())</f>
        <v/>
      </c>
      <c r="QD9" s="18">
        <f>NORM.S.INV(RAND())</f>
        <v/>
      </c>
      <c r="QE9" s="18">
        <f>NORM.S.INV(RAND())</f>
        <v/>
      </c>
      <c r="QF9" s="18">
        <f>NORM.S.INV(RAND())</f>
        <v/>
      </c>
      <c r="QG9" s="18">
        <f>NORM.S.INV(RAND())</f>
        <v/>
      </c>
      <c r="QH9" s="18">
        <f>NORM.S.INV(RAND())</f>
        <v/>
      </c>
      <c r="QI9" s="18">
        <f>NORM.S.INV(RAND())</f>
        <v/>
      </c>
      <c r="QJ9" s="18">
        <f>NORM.S.INV(RAND())</f>
        <v/>
      </c>
      <c r="QK9" s="18">
        <f>NORM.S.INV(RAND())</f>
        <v/>
      </c>
      <c r="QL9" s="18">
        <f>NORM.S.INV(RAND())</f>
        <v/>
      </c>
      <c r="QM9" s="18">
        <f>NORM.S.INV(RAND())</f>
        <v/>
      </c>
      <c r="QN9" s="18">
        <f>NORM.S.INV(RAND())</f>
        <v/>
      </c>
      <c r="QO9" s="18">
        <f>NORM.S.INV(RAND())</f>
        <v/>
      </c>
      <c r="QP9" s="18">
        <f>NORM.S.INV(RAND())</f>
        <v/>
      </c>
      <c r="QQ9" s="18">
        <f>NORM.S.INV(RAND())</f>
        <v/>
      </c>
      <c r="QR9" s="18">
        <f>NORM.S.INV(RAND())</f>
        <v/>
      </c>
      <c r="QS9" s="18">
        <f>NORM.S.INV(RAND())</f>
        <v/>
      </c>
      <c r="QT9" s="18">
        <f>NORM.S.INV(RAND())</f>
        <v/>
      </c>
      <c r="QU9" s="18">
        <f>NORM.S.INV(RAND())</f>
        <v/>
      </c>
      <c r="QV9" s="18">
        <f>NORM.S.INV(RAND())</f>
        <v/>
      </c>
      <c r="QW9" s="18">
        <f>NORM.S.INV(RAND())</f>
        <v/>
      </c>
      <c r="QX9" s="18">
        <f>NORM.S.INV(RAND())</f>
        <v/>
      </c>
      <c r="QY9" s="18">
        <f>NORM.S.INV(RAND())</f>
        <v/>
      </c>
      <c r="QZ9" s="18">
        <f>NORM.S.INV(RAND())</f>
        <v/>
      </c>
      <c r="RA9" s="18">
        <f>NORM.S.INV(RAND())</f>
        <v/>
      </c>
      <c r="RB9" s="18">
        <f>NORM.S.INV(RAND())</f>
        <v/>
      </c>
      <c r="RC9" s="18">
        <f>NORM.S.INV(RAND())</f>
        <v/>
      </c>
      <c r="RD9" s="18">
        <f>NORM.S.INV(RAND())</f>
        <v/>
      </c>
      <c r="RE9" s="18">
        <f>NORM.S.INV(RAND())</f>
        <v/>
      </c>
      <c r="RF9" s="18">
        <f>NORM.S.INV(RAND())</f>
        <v/>
      </c>
      <c r="RG9" s="18">
        <f>NORM.S.INV(RAND())</f>
        <v/>
      </c>
      <c r="RH9" s="18">
        <f>NORM.S.INV(RAND())</f>
        <v/>
      </c>
      <c r="RI9" s="18">
        <f>NORM.S.INV(RAND())</f>
        <v/>
      </c>
      <c r="RJ9" s="18">
        <f>NORM.S.INV(RAND())</f>
        <v/>
      </c>
      <c r="RK9" s="18">
        <f>NORM.S.INV(RAND())</f>
        <v/>
      </c>
      <c r="RL9" s="18">
        <f>NORM.S.INV(RAND())</f>
        <v/>
      </c>
      <c r="RM9" s="18">
        <f>NORM.S.INV(RAND())</f>
        <v/>
      </c>
      <c r="RN9" s="18">
        <f>NORM.S.INV(RAND())</f>
        <v/>
      </c>
      <c r="RO9" s="18">
        <f>NORM.S.INV(RAND())</f>
        <v/>
      </c>
      <c r="RP9" s="18">
        <f>NORM.S.INV(RAND())</f>
        <v/>
      </c>
      <c r="RQ9" s="18">
        <f>NORM.S.INV(RAND())</f>
        <v/>
      </c>
      <c r="RR9" s="18">
        <f>NORM.S.INV(RAND())</f>
        <v/>
      </c>
      <c r="RS9" s="18">
        <f>NORM.S.INV(RAND())</f>
        <v/>
      </c>
      <c r="RT9" s="18">
        <f>NORM.S.INV(RAND())</f>
        <v/>
      </c>
      <c r="RU9" s="18">
        <f>NORM.S.INV(RAND())</f>
        <v/>
      </c>
      <c r="RV9" s="18">
        <f>NORM.S.INV(RAND())</f>
        <v/>
      </c>
      <c r="RW9" s="18">
        <f>NORM.S.INV(RAND())</f>
        <v/>
      </c>
      <c r="RX9" s="18">
        <f>NORM.S.INV(RAND())</f>
        <v/>
      </c>
      <c r="RY9" s="18">
        <f>NORM.S.INV(RAND())</f>
        <v/>
      </c>
      <c r="RZ9" s="18">
        <f>NORM.S.INV(RAND())</f>
        <v/>
      </c>
      <c r="SA9" s="18">
        <f>NORM.S.INV(RAND())</f>
        <v/>
      </c>
      <c r="SB9" s="18">
        <f>NORM.S.INV(RAND())</f>
        <v/>
      </c>
      <c r="SC9" s="18">
        <f>NORM.S.INV(RAND())</f>
        <v/>
      </c>
      <c r="SD9" s="18">
        <f>NORM.S.INV(RAND())</f>
        <v/>
      </c>
      <c r="SE9" s="18">
        <f>NORM.S.INV(RAND())</f>
        <v/>
      </c>
      <c r="SF9" s="18">
        <f>NORM.S.INV(RAND())</f>
        <v/>
      </c>
      <c r="SG9" s="18">
        <f>NORM.S.INV(RAND())</f>
        <v/>
      </c>
    </row>
    <row r="10">
      <c r="A10" s="17" t="inlineStr">
        <is>
          <t>HNWI: Yes</t>
        </is>
      </c>
      <c r="B10" s="18">
        <f>NORM.S.INV(RAND())</f>
        <v/>
      </c>
      <c r="C10" s="18">
        <f>NORM.S.INV(RAND())</f>
        <v/>
      </c>
      <c r="D10" s="18">
        <f>NORM.S.INV(RAND())</f>
        <v/>
      </c>
      <c r="E10" s="18">
        <f>NORM.S.INV(RAND())</f>
        <v/>
      </c>
      <c r="F10" s="18">
        <f>NORM.S.INV(RAND())</f>
        <v/>
      </c>
      <c r="G10" s="18">
        <f>NORM.S.INV(RAND())</f>
        <v/>
      </c>
      <c r="H10" s="18">
        <f>NORM.S.INV(RAND())</f>
        <v/>
      </c>
      <c r="I10" s="18">
        <f>NORM.S.INV(RAND())</f>
        <v/>
      </c>
      <c r="J10" s="18">
        <f>NORM.S.INV(RAND())</f>
        <v/>
      </c>
      <c r="K10" s="18">
        <f>NORM.S.INV(RAND())</f>
        <v/>
      </c>
      <c r="L10" s="18">
        <f>NORM.S.INV(RAND())</f>
        <v/>
      </c>
      <c r="M10" s="18">
        <f>NORM.S.INV(RAND())</f>
        <v/>
      </c>
      <c r="N10" s="18">
        <f>NORM.S.INV(RAND())</f>
        <v/>
      </c>
      <c r="O10" s="18">
        <f>NORM.S.INV(RAND())</f>
        <v/>
      </c>
      <c r="P10" s="18">
        <f>NORM.S.INV(RAND())</f>
        <v/>
      </c>
      <c r="Q10" s="18">
        <f>NORM.S.INV(RAND())</f>
        <v/>
      </c>
      <c r="R10" s="18">
        <f>NORM.S.INV(RAND())</f>
        <v/>
      </c>
      <c r="S10" s="18">
        <f>NORM.S.INV(RAND())</f>
        <v/>
      </c>
      <c r="T10" s="18">
        <f>NORM.S.INV(RAND())</f>
        <v/>
      </c>
      <c r="U10" s="18">
        <f>NORM.S.INV(RAND())</f>
        <v/>
      </c>
      <c r="V10" s="18">
        <f>NORM.S.INV(RAND())</f>
        <v/>
      </c>
      <c r="W10" s="18">
        <f>NORM.S.INV(RAND())</f>
        <v/>
      </c>
      <c r="X10" s="18">
        <f>NORM.S.INV(RAND())</f>
        <v/>
      </c>
      <c r="Y10" s="18">
        <f>NORM.S.INV(RAND())</f>
        <v/>
      </c>
      <c r="Z10" s="18">
        <f>NORM.S.INV(RAND())</f>
        <v/>
      </c>
      <c r="AA10" s="18">
        <f>NORM.S.INV(RAND())</f>
        <v/>
      </c>
      <c r="AB10" s="18">
        <f>NORM.S.INV(RAND())</f>
        <v/>
      </c>
      <c r="AC10" s="18">
        <f>NORM.S.INV(RAND())</f>
        <v/>
      </c>
      <c r="AD10" s="18">
        <f>NORM.S.INV(RAND())</f>
        <v/>
      </c>
      <c r="AE10" s="18">
        <f>NORM.S.INV(RAND())</f>
        <v/>
      </c>
      <c r="AF10" s="18">
        <f>NORM.S.INV(RAND())</f>
        <v/>
      </c>
      <c r="AG10" s="18">
        <f>NORM.S.INV(RAND())</f>
        <v/>
      </c>
      <c r="AH10" s="18">
        <f>NORM.S.INV(RAND())</f>
        <v/>
      </c>
      <c r="AI10" s="18">
        <f>NORM.S.INV(RAND())</f>
        <v/>
      </c>
      <c r="AJ10" s="18">
        <f>NORM.S.INV(RAND())</f>
        <v/>
      </c>
      <c r="AK10" s="18">
        <f>NORM.S.INV(RAND())</f>
        <v/>
      </c>
      <c r="AL10" s="18">
        <f>NORM.S.INV(RAND())</f>
        <v/>
      </c>
      <c r="AM10" s="18">
        <f>NORM.S.INV(RAND())</f>
        <v/>
      </c>
      <c r="AN10" s="18">
        <f>NORM.S.INV(RAND())</f>
        <v/>
      </c>
      <c r="AO10" s="18">
        <f>NORM.S.INV(RAND())</f>
        <v/>
      </c>
      <c r="AP10" s="18">
        <f>NORM.S.INV(RAND())</f>
        <v/>
      </c>
      <c r="AQ10" s="18">
        <f>NORM.S.INV(RAND())</f>
        <v/>
      </c>
      <c r="AR10" s="18">
        <f>NORM.S.INV(RAND())</f>
        <v/>
      </c>
      <c r="AS10" s="18">
        <f>NORM.S.INV(RAND())</f>
        <v/>
      </c>
      <c r="AT10" s="18">
        <f>NORM.S.INV(RAND())</f>
        <v/>
      </c>
      <c r="AU10" s="18">
        <f>NORM.S.INV(RAND())</f>
        <v/>
      </c>
      <c r="AV10" s="18">
        <f>NORM.S.INV(RAND())</f>
        <v/>
      </c>
      <c r="AW10" s="18">
        <f>NORM.S.INV(RAND())</f>
        <v/>
      </c>
      <c r="AX10" s="18">
        <f>NORM.S.INV(RAND())</f>
        <v/>
      </c>
      <c r="AY10" s="18">
        <f>NORM.S.INV(RAND())</f>
        <v/>
      </c>
      <c r="AZ10" s="18">
        <f>NORM.S.INV(RAND())</f>
        <v/>
      </c>
      <c r="BA10" s="18">
        <f>NORM.S.INV(RAND())</f>
        <v/>
      </c>
      <c r="BB10" s="18">
        <f>NORM.S.INV(RAND())</f>
        <v/>
      </c>
      <c r="BC10" s="18">
        <f>NORM.S.INV(RAND())</f>
        <v/>
      </c>
      <c r="BD10" s="18">
        <f>NORM.S.INV(RAND())</f>
        <v/>
      </c>
      <c r="BE10" s="18">
        <f>NORM.S.INV(RAND())</f>
        <v/>
      </c>
      <c r="BF10" s="18">
        <f>NORM.S.INV(RAND())</f>
        <v/>
      </c>
      <c r="BG10" s="18">
        <f>NORM.S.INV(RAND())</f>
        <v/>
      </c>
      <c r="BH10" s="18">
        <f>NORM.S.INV(RAND())</f>
        <v/>
      </c>
      <c r="BI10" s="18">
        <f>NORM.S.INV(RAND())</f>
        <v/>
      </c>
      <c r="BJ10" s="18">
        <f>NORM.S.INV(RAND())</f>
        <v/>
      </c>
      <c r="BK10" s="18">
        <f>NORM.S.INV(RAND())</f>
        <v/>
      </c>
      <c r="BL10" s="18">
        <f>NORM.S.INV(RAND())</f>
        <v/>
      </c>
      <c r="BM10" s="18">
        <f>NORM.S.INV(RAND())</f>
        <v/>
      </c>
      <c r="BN10" s="18">
        <f>NORM.S.INV(RAND())</f>
        <v/>
      </c>
      <c r="BO10" s="18">
        <f>NORM.S.INV(RAND())</f>
        <v/>
      </c>
      <c r="BP10" s="18">
        <f>NORM.S.INV(RAND())</f>
        <v/>
      </c>
      <c r="BQ10" s="18">
        <f>NORM.S.INV(RAND())</f>
        <v/>
      </c>
      <c r="BR10" s="18">
        <f>NORM.S.INV(RAND())</f>
        <v/>
      </c>
      <c r="BS10" s="18">
        <f>NORM.S.INV(RAND())</f>
        <v/>
      </c>
      <c r="BT10" s="18">
        <f>NORM.S.INV(RAND())</f>
        <v/>
      </c>
      <c r="BU10" s="18">
        <f>NORM.S.INV(RAND())</f>
        <v/>
      </c>
      <c r="BV10" s="18">
        <f>NORM.S.INV(RAND())</f>
        <v/>
      </c>
      <c r="BW10" s="18">
        <f>NORM.S.INV(RAND())</f>
        <v/>
      </c>
      <c r="BX10" s="18">
        <f>NORM.S.INV(RAND())</f>
        <v/>
      </c>
      <c r="BY10" s="18">
        <f>NORM.S.INV(RAND())</f>
        <v/>
      </c>
      <c r="BZ10" s="18">
        <f>NORM.S.INV(RAND())</f>
        <v/>
      </c>
      <c r="CA10" s="18">
        <f>NORM.S.INV(RAND())</f>
        <v/>
      </c>
      <c r="CB10" s="18">
        <f>NORM.S.INV(RAND())</f>
        <v/>
      </c>
      <c r="CC10" s="18">
        <f>NORM.S.INV(RAND())</f>
        <v/>
      </c>
      <c r="CD10" s="18">
        <f>NORM.S.INV(RAND())</f>
        <v/>
      </c>
      <c r="CE10" s="18">
        <f>NORM.S.INV(RAND())</f>
        <v/>
      </c>
      <c r="CF10" s="18">
        <f>NORM.S.INV(RAND())</f>
        <v/>
      </c>
      <c r="CG10" s="18">
        <f>NORM.S.INV(RAND())</f>
        <v/>
      </c>
      <c r="CH10" s="18">
        <f>NORM.S.INV(RAND())</f>
        <v/>
      </c>
      <c r="CI10" s="18">
        <f>NORM.S.INV(RAND())</f>
        <v/>
      </c>
      <c r="CJ10" s="18">
        <f>NORM.S.INV(RAND())</f>
        <v/>
      </c>
      <c r="CK10" s="18">
        <f>NORM.S.INV(RAND())</f>
        <v/>
      </c>
      <c r="CL10" s="18">
        <f>NORM.S.INV(RAND())</f>
        <v/>
      </c>
      <c r="CM10" s="18">
        <f>NORM.S.INV(RAND())</f>
        <v/>
      </c>
      <c r="CN10" s="18">
        <f>NORM.S.INV(RAND())</f>
        <v/>
      </c>
      <c r="CO10" s="18">
        <f>NORM.S.INV(RAND())</f>
        <v/>
      </c>
      <c r="CP10" s="18">
        <f>NORM.S.INV(RAND())</f>
        <v/>
      </c>
      <c r="CQ10" s="18">
        <f>NORM.S.INV(RAND())</f>
        <v/>
      </c>
      <c r="CR10" s="18">
        <f>NORM.S.INV(RAND())</f>
        <v/>
      </c>
      <c r="CS10" s="18">
        <f>NORM.S.INV(RAND())</f>
        <v/>
      </c>
      <c r="CT10" s="18">
        <f>NORM.S.INV(RAND())</f>
        <v/>
      </c>
      <c r="CU10" s="18">
        <f>NORM.S.INV(RAND())</f>
        <v/>
      </c>
      <c r="CV10" s="18">
        <f>NORM.S.INV(RAND())</f>
        <v/>
      </c>
      <c r="CW10" s="18">
        <f>NORM.S.INV(RAND())</f>
        <v/>
      </c>
      <c r="CX10" s="18">
        <f>NORM.S.INV(RAND())</f>
        <v/>
      </c>
      <c r="CY10" s="18">
        <f>NORM.S.INV(RAND())</f>
        <v/>
      </c>
      <c r="CZ10" s="18">
        <f>NORM.S.INV(RAND())</f>
        <v/>
      </c>
      <c r="DA10" s="18">
        <f>NORM.S.INV(RAND())</f>
        <v/>
      </c>
      <c r="DB10" s="18">
        <f>NORM.S.INV(RAND())</f>
        <v/>
      </c>
      <c r="DC10" s="18">
        <f>NORM.S.INV(RAND())</f>
        <v/>
      </c>
      <c r="DD10" s="18">
        <f>NORM.S.INV(RAND())</f>
        <v/>
      </c>
      <c r="DE10" s="18">
        <f>NORM.S.INV(RAND())</f>
        <v/>
      </c>
      <c r="DF10" s="18">
        <f>NORM.S.INV(RAND())</f>
        <v/>
      </c>
      <c r="DG10" s="18">
        <f>NORM.S.INV(RAND())</f>
        <v/>
      </c>
      <c r="DH10" s="18">
        <f>NORM.S.INV(RAND())</f>
        <v/>
      </c>
      <c r="DI10" s="18">
        <f>NORM.S.INV(RAND())</f>
        <v/>
      </c>
      <c r="DJ10" s="18">
        <f>NORM.S.INV(RAND())</f>
        <v/>
      </c>
      <c r="DK10" s="18">
        <f>NORM.S.INV(RAND())</f>
        <v/>
      </c>
      <c r="DL10" s="18">
        <f>NORM.S.INV(RAND())</f>
        <v/>
      </c>
      <c r="DM10" s="18">
        <f>NORM.S.INV(RAND())</f>
        <v/>
      </c>
      <c r="DN10" s="18">
        <f>NORM.S.INV(RAND())</f>
        <v/>
      </c>
      <c r="DO10" s="18">
        <f>NORM.S.INV(RAND())</f>
        <v/>
      </c>
      <c r="DP10" s="18">
        <f>NORM.S.INV(RAND())</f>
        <v/>
      </c>
      <c r="DQ10" s="18">
        <f>NORM.S.INV(RAND())</f>
        <v/>
      </c>
      <c r="DR10" s="18">
        <f>NORM.S.INV(RAND())</f>
        <v/>
      </c>
      <c r="DS10" s="18">
        <f>NORM.S.INV(RAND())</f>
        <v/>
      </c>
      <c r="DT10" s="18">
        <f>NORM.S.INV(RAND())</f>
        <v/>
      </c>
      <c r="DU10" s="18">
        <f>NORM.S.INV(RAND())</f>
        <v/>
      </c>
      <c r="DV10" s="18">
        <f>NORM.S.INV(RAND())</f>
        <v/>
      </c>
      <c r="DW10" s="18">
        <f>NORM.S.INV(RAND())</f>
        <v/>
      </c>
      <c r="DX10" s="18">
        <f>NORM.S.INV(RAND())</f>
        <v/>
      </c>
      <c r="DY10" s="18">
        <f>NORM.S.INV(RAND())</f>
        <v/>
      </c>
      <c r="DZ10" s="18">
        <f>NORM.S.INV(RAND())</f>
        <v/>
      </c>
      <c r="EA10" s="18">
        <f>NORM.S.INV(RAND())</f>
        <v/>
      </c>
      <c r="EB10" s="18">
        <f>NORM.S.INV(RAND())</f>
        <v/>
      </c>
      <c r="EC10" s="18">
        <f>NORM.S.INV(RAND())</f>
        <v/>
      </c>
      <c r="ED10" s="18">
        <f>NORM.S.INV(RAND())</f>
        <v/>
      </c>
      <c r="EE10" s="18">
        <f>NORM.S.INV(RAND())</f>
        <v/>
      </c>
      <c r="EF10" s="18">
        <f>NORM.S.INV(RAND())</f>
        <v/>
      </c>
      <c r="EG10" s="18">
        <f>NORM.S.INV(RAND())</f>
        <v/>
      </c>
      <c r="EH10" s="18">
        <f>NORM.S.INV(RAND())</f>
        <v/>
      </c>
      <c r="EI10" s="18">
        <f>NORM.S.INV(RAND())</f>
        <v/>
      </c>
      <c r="EJ10" s="18">
        <f>NORM.S.INV(RAND())</f>
        <v/>
      </c>
      <c r="EK10" s="18">
        <f>NORM.S.INV(RAND())</f>
        <v/>
      </c>
      <c r="EL10" s="18">
        <f>NORM.S.INV(RAND())</f>
        <v/>
      </c>
      <c r="EM10" s="18">
        <f>NORM.S.INV(RAND())</f>
        <v/>
      </c>
      <c r="EN10" s="18">
        <f>NORM.S.INV(RAND())</f>
        <v/>
      </c>
      <c r="EO10" s="18">
        <f>NORM.S.INV(RAND())</f>
        <v/>
      </c>
      <c r="EP10" s="18">
        <f>NORM.S.INV(RAND())</f>
        <v/>
      </c>
      <c r="EQ10" s="18">
        <f>NORM.S.INV(RAND())</f>
        <v/>
      </c>
      <c r="ER10" s="18">
        <f>NORM.S.INV(RAND())</f>
        <v/>
      </c>
      <c r="ES10" s="18">
        <f>NORM.S.INV(RAND())</f>
        <v/>
      </c>
      <c r="ET10" s="18">
        <f>NORM.S.INV(RAND())</f>
        <v/>
      </c>
      <c r="EU10" s="18">
        <f>NORM.S.INV(RAND())</f>
        <v/>
      </c>
      <c r="EV10" s="18">
        <f>NORM.S.INV(RAND())</f>
        <v/>
      </c>
      <c r="EW10" s="18">
        <f>NORM.S.INV(RAND())</f>
        <v/>
      </c>
      <c r="EX10" s="18">
        <f>NORM.S.INV(RAND())</f>
        <v/>
      </c>
      <c r="EY10" s="18">
        <f>NORM.S.INV(RAND())</f>
        <v/>
      </c>
      <c r="EZ10" s="18">
        <f>NORM.S.INV(RAND())</f>
        <v/>
      </c>
      <c r="FA10" s="18">
        <f>NORM.S.INV(RAND())</f>
        <v/>
      </c>
      <c r="FB10" s="18">
        <f>NORM.S.INV(RAND())</f>
        <v/>
      </c>
      <c r="FC10" s="18">
        <f>NORM.S.INV(RAND())</f>
        <v/>
      </c>
      <c r="FD10" s="18">
        <f>NORM.S.INV(RAND())</f>
        <v/>
      </c>
      <c r="FE10" s="18">
        <f>NORM.S.INV(RAND())</f>
        <v/>
      </c>
      <c r="FF10" s="18">
        <f>NORM.S.INV(RAND())</f>
        <v/>
      </c>
      <c r="FG10" s="18">
        <f>NORM.S.INV(RAND())</f>
        <v/>
      </c>
      <c r="FH10" s="18">
        <f>NORM.S.INV(RAND())</f>
        <v/>
      </c>
      <c r="FI10" s="18">
        <f>NORM.S.INV(RAND())</f>
        <v/>
      </c>
      <c r="FJ10" s="18">
        <f>NORM.S.INV(RAND())</f>
        <v/>
      </c>
      <c r="FK10" s="18">
        <f>NORM.S.INV(RAND())</f>
        <v/>
      </c>
      <c r="FL10" s="18">
        <f>NORM.S.INV(RAND())</f>
        <v/>
      </c>
      <c r="FM10" s="18">
        <f>NORM.S.INV(RAND())</f>
        <v/>
      </c>
      <c r="FN10" s="18">
        <f>NORM.S.INV(RAND())</f>
        <v/>
      </c>
      <c r="FO10" s="18">
        <f>NORM.S.INV(RAND())</f>
        <v/>
      </c>
      <c r="FP10" s="18">
        <f>NORM.S.INV(RAND())</f>
        <v/>
      </c>
      <c r="FQ10" s="18">
        <f>NORM.S.INV(RAND())</f>
        <v/>
      </c>
      <c r="FR10" s="18">
        <f>NORM.S.INV(RAND())</f>
        <v/>
      </c>
      <c r="FS10" s="18">
        <f>NORM.S.INV(RAND())</f>
        <v/>
      </c>
      <c r="FT10" s="18">
        <f>NORM.S.INV(RAND())</f>
        <v/>
      </c>
      <c r="FU10" s="18">
        <f>NORM.S.INV(RAND())</f>
        <v/>
      </c>
      <c r="FV10" s="18">
        <f>NORM.S.INV(RAND())</f>
        <v/>
      </c>
      <c r="FW10" s="18">
        <f>NORM.S.INV(RAND())</f>
        <v/>
      </c>
      <c r="FX10" s="18">
        <f>NORM.S.INV(RAND())</f>
        <v/>
      </c>
      <c r="FY10" s="18">
        <f>NORM.S.INV(RAND())</f>
        <v/>
      </c>
      <c r="FZ10" s="18">
        <f>NORM.S.INV(RAND())</f>
        <v/>
      </c>
      <c r="GA10" s="18">
        <f>NORM.S.INV(RAND())</f>
        <v/>
      </c>
      <c r="GB10" s="18">
        <f>NORM.S.INV(RAND())</f>
        <v/>
      </c>
      <c r="GC10" s="18">
        <f>NORM.S.INV(RAND())</f>
        <v/>
      </c>
      <c r="GD10" s="18">
        <f>NORM.S.INV(RAND())</f>
        <v/>
      </c>
      <c r="GE10" s="18">
        <f>NORM.S.INV(RAND())</f>
        <v/>
      </c>
      <c r="GF10" s="18">
        <f>NORM.S.INV(RAND())</f>
        <v/>
      </c>
      <c r="GG10" s="18">
        <f>NORM.S.INV(RAND())</f>
        <v/>
      </c>
      <c r="GH10" s="18">
        <f>NORM.S.INV(RAND())</f>
        <v/>
      </c>
      <c r="GI10" s="18">
        <f>NORM.S.INV(RAND())</f>
        <v/>
      </c>
      <c r="GJ10" s="18">
        <f>NORM.S.INV(RAND())</f>
        <v/>
      </c>
      <c r="GK10" s="18">
        <f>NORM.S.INV(RAND())</f>
        <v/>
      </c>
      <c r="GL10" s="18">
        <f>NORM.S.INV(RAND())</f>
        <v/>
      </c>
      <c r="GM10" s="18">
        <f>NORM.S.INV(RAND())</f>
        <v/>
      </c>
      <c r="GN10" s="18">
        <f>NORM.S.INV(RAND())</f>
        <v/>
      </c>
      <c r="GO10" s="18">
        <f>NORM.S.INV(RAND())</f>
        <v/>
      </c>
      <c r="GP10" s="18">
        <f>NORM.S.INV(RAND())</f>
        <v/>
      </c>
      <c r="GQ10" s="18">
        <f>NORM.S.INV(RAND())</f>
        <v/>
      </c>
      <c r="GR10" s="18">
        <f>NORM.S.INV(RAND())</f>
        <v/>
      </c>
      <c r="GS10" s="18">
        <f>NORM.S.INV(RAND())</f>
        <v/>
      </c>
      <c r="GT10" s="18">
        <f>NORM.S.INV(RAND())</f>
        <v/>
      </c>
      <c r="GU10" s="18">
        <f>NORM.S.INV(RAND())</f>
        <v/>
      </c>
      <c r="GV10" s="18">
        <f>NORM.S.INV(RAND())</f>
        <v/>
      </c>
      <c r="GW10" s="18">
        <f>NORM.S.INV(RAND())</f>
        <v/>
      </c>
      <c r="GX10" s="18">
        <f>NORM.S.INV(RAND())</f>
        <v/>
      </c>
      <c r="GY10" s="18">
        <f>NORM.S.INV(RAND())</f>
        <v/>
      </c>
      <c r="GZ10" s="18">
        <f>NORM.S.INV(RAND())</f>
        <v/>
      </c>
      <c r="HA10" s="18">
        <f>NORM.S.INV(RAND())</f>
        <v/>
      </c>
      <c r="HB10" s="18">
        <f>NORM.S.INV(RAND())</f>
        <v/>
      </c>
      <c r="HC10" s="18">
        <f>NORM.S.INV(RAND())</f>
        <v/>
      </c>
      <c r="HD10" s="18">
        <f>NORM.S.INV(RAND())</f>
        <v/>
      </c>
      <c r="HE10" s="18">
        <f>NORM.S.INV(RAND())</f>
        <v/>
      </c>
      <c r="HF10" s="18">
        <f>NORM.S.INV(RAND())</f>
        <v/>
      </c>
      <c r="HG10" s="18">
        <f>NORM.S.INV(RAND())</f>
        <v/>
      </c>
      <c r="HH10" s="18">
        <f>NORM.S.INV(RAND())</f>
        <v/>
      </c>
      <c r="HI10" s="18">
        <f>NORM.S.INV(RAND())</f>
        <v/>
      </c>
      <c r="HJ10" s="18">
        <f>NORM.S.INV(RAND())</f>
        <v/>
      </c>
      <c r="HK10" s="18">
        <f>NORM.S.INV(RAND())</f>
        <v/>
      </c>
      <c r="HL10" s="18">
        <f>NORM.S.INV(RAND())</f>
        <v/>
      </c>
      <c r="HM10" s="18">
        <f>NORM.S.INV(RAND())</f>
        <v/>
      </c>
      <c r="HN10" s="18">
        <f>NORM.S.INV(RAND())</f>
        <v/>
      </c>
      <c r="HO10" s="18">
        <f>NORM.S.INV(RAND())</f>
        <v/>
      </c>
      <c r="HP10" s="18">
        <f>NORM.S.INV(RAND())</f>
        <v/>
      </c>
      <c r="HQ10" s="18">
        <f>NORM.S.INV(RAND())</f>
        <v/>
      </c>
      <c r="HR10" s="18">
        <f>NORM.S.INV(RAND())</f>
        <v/>
      </c>
      <c r="HS10" s="18">
        <f>NORM.S.INV(RAND())</f>
        <v/>
      </c>
      <c r="HT10" s="18">
        <f>NORM.S.INV(RAND())</f>
        <v/>
      </c>
      <c r="HU10" s="18">
        <f>NORM.S.INV(RAND())</f>
        <v/>
      </c>
      <c r="HV10" s="18">
        <f>NORM.S.INV(RAND())</f>
        <v/>
      </c>
      <c r="HW10" s="18">
        <f>NORM.S.INV(RAND())</f>
        <v/>
      </c>
      <c r="HX10" s="18">
        <f>NORM.S.INV(RAND())</f>
        <v/>
      </c>
      <c r="HY10" s="18">
        <f>NORM.S.INV(RAND())</f>
        <v/>
      </c>
      <c r="HZ10" s="18">
        <f>NORM.S.INV(RAND())</f>
        <v/>
      </c>
      <c r="IA10" s="18">
        <f>NORM.S.INV(RAND())</f>
        <v/>
      </c>
      <c r="IB10" s="18">
        <f>NORM.S.INV(RAND())</f>
        <v/>
      </c>
      <c r="IC10" s="18">
        <f>NORM.S.INV(RAND())</f>
        <v/>
      </c>
      <c r="ID10" s="18">
        <f>NORM.S.INV(RAND())</f>
        <v/>
      </c>
      <c r="IE10" s="18">
        <f>NORM.S.INV(RAND())</f>
        <v/>
      </c>
      <c r="IF10" s="18">
        <f>NORM.S.INV(RAND())</f>
        <v/>
      </c>
      <c r="IG10" s="18">
        <f>NORM.S.INV(RAND())</f>
        <v/>
      </c>
      <c r="IH10" s="18">
        <f>NORM.S.INV(RAND())</f>
        <v/>
      </c>
      <c r="II10" s="18">
        <f>NORM.S.INV(RAND())</f>
        <v/>
      </c>
      <c r="IJ10" s="18">
        <f>NORM.S.INV(RAND())</f>
        <v/>
      </c>
      <c r="IK10" s="18">
        <f>NORM.S.INV(RAND())</f>
        <v/>
      </c>
      <c r="IL10" s="18">
        <f>NORM.S.INV(RAND())</f>
        <v/>
      </c>
      <c r="IM10" s="18">
        <f>NORM.S.INV(RAND())</f>
        <v/>
      </c>
      <c r="IN10" s="18">
        <f>NORM.S.INV(RAND())</f>
        <v/>
      </c>
      <c r="IO10" s="18">
        <f>NORM.S.INV(RAND())</f>
        <v/>
      </c>
      <c r="IP10" s="18">
        <f>NORM.S.INV(RAND())</f>
        <v/>
      </c>
      <c r="IQ10" s="18">
        <f>NORM.S.INV(RAND())</f>
        <v/>
      </c>
      <c r="IR10" s="18">
        <f>NORM.S.INV(RAND())</f>
        <v/>
      </c>
      <c r="IS10" s="18">
        <f>NORM.S.INV(RAND())</f>
        <v/>
      </c>
      <c r="IT10" s="18">
        <f>NORM.S.INV(RAND())</f>
        <v/>
      </c>
      <c r="IU10" s="18">
        <f>NORM.S.INV(RAND())</f>
        <v/>
      </c>
      <c r="IV10" s="18">
        <f>NORM.S.INV(RAND())</f>
        <v/>
      </c>
      <c r="IW10" s="18">
        <f>NORM.S.INV(RAND())</f>
        <v/>
      </c>
      <c r="IX10" s="18">
        <f>NORM.S.INV(RAND())</f>
        <v/>
      </c>
      <c r="IY10" s="18">
        <f>NORM.S.INV(RAND())</f>
        <v/>
      </c>
      <c r="IZ10" s="18">
        <f>NORM.S.INV(RAND())</f>
        <v/>
      </c>
      <c r="JA10" s="18">
        <f>NORM.S.INV(RAND())</f>
        <v/>
      </c>
      <c r="JB10" s="18">
        <f>NORM.S.INV(RAND())</f>
        <v/>
      </c>
      <c r="JC10" s="18">
        <f>NORM.S.INV(RAND())</f>
        <v/>
      </c>
      <c r="JD10" s="18">
        <f>NORM.S.INV(RAND())</f>
        <v/>
      </c>
      <c r="JE10" s="18">
        <f>NORM.S.INV(RAND())</f>
        <v/>
      </c>
      <c r="JF10" s="18">
        <f>NORM.S.INV(RAND())</f>
        <v/>
      </c>
      <c r="JG10" s="18">
        <f>NORM.S.INV(RAND())</f>
        <v/>
      </c>
      <c r="JH10" s="18">
        <f>NORM.S.INV(RAND())</f>
        <v/>
      </c>
      <c r="JI10" s="18">
        <f>NORM.S.INV(RAND())</f>
        <v/>
      </c>
      <c r="JJ10" s="18">
        <f>NORM.S.INV(RAND())</f>
        <v/>
      </c>
      <c r="JK10" s="18">
        <f>NORM.S.INV(RAND())</f>
        <v/>
      </c>
      <c r="JL10" s="18">
        <f>NORM.S.INV(RAND())</f>
        <v/>
      </c>
      <c r="JM10" s="18">
        <f>NORM.S.INV(RAND())</f>
        <v/>
      </c>
      <c r="JN10" s="18">
        <f>NORM.S.INV(RAND())</f>
        <v/>
      </c>
      <c r="JO10" s="18">
        <f>NORM.S.INV(RAND())</f>
        <v/>
      </c>
      <c r="JP10" s="18">
        <f>NORM.S.INV(RAND())</f>
        <v/>
      </c>
      <c r="JQ10" s="18">
        <f>NORM.S.INV(RAND())</f>
        <v/>
      </c>
      <c r="JR10" s="18">
        <f>NORM.S.INV(RAND())</f>
        <v/>
      </c>
      <c r="JS10" s="18">
        <f>NORM.S.INV(RAND())</f>
        <v/>
      </c>
      <c r="JT10" s="18">
        <f>NORM.S.INV(RAND())</f>
        <v/>
      </c>
      <c r="JU10" s="18">
        <f>NORM.S.INV(RAND())</f>
        <v/>
      </c>
      <c r="JV10" s="18">
        <f>NORM.S.INV(RAND())</f>
        <v/>
      </c>
      <c r="JW10" s="18">
        <f>NORM.S.INV(RAND())</f>
        <v/>
      </c>
      <c r="JX10" s="18">
        <f>NORM.S.INV(RAND())</f>
        <v/>
      </c>
      <c r="JY10" s="18">
        <f>NORM.S.INV(RAND())</f>
        <v/>
      </c>
      <c r="JZ10" s="18">
        <f>NORM.S.INV(RAND())</f>
        <v/>
      </c>
      <c r="KA10" s="18">
        <f>NORM.S.INV(RAND())</f>
        <v/>
      </c>
      <c r="KB10" s="18">
        <f>NORM.S.INV(RAND())</f>
        <v/>
      </c>
      <c r="KC10" s="18">
        <f>NORM.S.INV(RAND())</f>
        <v/>
      </c>
      <c r="KD10" s="18">
        <f>NORM.S.INV(RAND())</f>
        <v/>
      </c>
      <c r="KE10" s="18">
        <f>NORM.S.INV(RAND())</f>
        <v/>
      </c>
      <c r="KF10" s="18">
        <f>NORM.S.INV(RAND())</f>
        <v/>
      </c>
      <c r="KG10" s="18">
        <f>NORM.S.INV(RAND())</f>
        <v/>
      </c>
      <c r="KH10" s="18">
        <f>NORM.S.INV(RAND())</f>
        <v/>
      </c>
      <c r="KI10" s="18">
        <f>NORM.S.INV(RAND())</f>
        <v/>
      </c>
      <c r="KJ10" s="18">
        <f>NORM.S.INV(RAND())</f>
        <v/>
      </c>
      <c r="KK10" s="18">
        <f>NORM.S.INV(RAND())</f>
        <v/>
      </c>
      <c r="KL10" s="18">
        <f>NORM.S.INV(RAND())</f>
        <v/>
      </c>
      <c r="KM10" s="18">
        <f>NORM.S.INV(RAND())</f>
        <v/>
      </c>
      <c r="KN10" s="18">
        <f>NORM.S.INV(RAND())</f>
        <v/>
      </c>
      <c r="KO10" s="18">
        <f>NORM.S.INV(RAND())</f>
        <v/>
      </c>
      <c r="KP10" s="18">
        <f>NORM.S.INV(RAND())</f>
        <v/>
      </c>
      <c r="KQ10" s="18">
        <f>NORM.S.INV(RAND())</f>
        <v/>
      </c>
      <c r="KR10" s="18">
        <f>NORM.S.INV(RAND())</f>
        <v/>
      </c>
      <c r="KS10" s="18">
        <f>NORM.S.INV(RAND())</f>
        <v/>
      </c>
      <c r="KT10" s="18">
        <f>NORM.S.INV(RAND())</f>
        <v/>
      </c>
      <c r="KU10" s="18">
        <f>NORM.S.INV(RAND())</f>
        <v/>
      </c>
      <c r="KV10" s="18">
        <f>NORM.S.INV(RAND())</f>
        <v/>
      </c>
      <c r="KW10" s="18">
        <f>NORM.S.INV(RAND())</f>
        <v/>
      </c>
      <c r="KX10" s="18">
        <f>NORM.S.INV(RAND())</f>
        <v/>
      </c>
      <c r="KY10" s="18">
        <f>NORM.S.INV(RAND())</f>
        <v/>
      </c>
      <c r="KZ10" s="18">
        <f>NORM.S.INV(RAND())</f>
        <v/>
      </c>
      <c r="LA10" s="18">
        <f>NORM.S.INV(RAND())</f>
        <v/>
      </c>
      <c r="LB10" s="18">
        <f>NORM.S.INV(RAND())</f>
        <v/>
      </c>
      <c r="LC10" s="18">
        <f>NORM.S.INV(RAND())</f>
        <v/>
      </c>
      <c r="LD10" s="18">
        <f>NORM.S.INV(RAND())</f>
        <v/>
      </c>
      <c r="LE10" s="18">
        <f>NORM.S.INV(RAND())</f>
        <v/>
      </c>
      <c r="LF10" s="18">
        <f>NORM.S.INV(RAND())</f>
        <v/>
      </c>
      <c r="LG10" s="18">
        <f>NORM.S.INV(RAND())</f>
        <v/>
      </c>
      <c r="LH10" s="18">
        <f>NORM.S.INV(RAND())</f>
        <v/>
      </c>
      <c r="LI10" s="18">
        <f>NORM.S.INV(RAND())</f>
        <v/>
      </c>
      <c r="LJ10" s="18">
        <f>NORM.S.INV(RAND())</f>
        <v/>
      </c>
      <c r="LK10" s="18">
        <f>NORM.S.INV(RAND())</f>
        <v/>
      </c>
      <c r="LL10" s="18">
        <f>NORM.S.INV(RAND())</f>
        <v/>
      </c>
      <c r="LM10" s="18">
        <f>NORM.S.INV(RAND())</f>
        <v/>
      </c>
      <c r="LN10" s="18">
        <f>NORM.S.INV(RAND())</f>
        <v/>
      </c>
      <c r="LO10" s="18">
        <f>NORM.S.INV(RAND())</f>
        <v/>
      </c>
      <c r="LP10" s="18">
        <f>NORM.S.INV(RAND())</f>
        <v/>
      </c>
      <c r="LQ10" s="18">
        <f>NORM.S.INV(RAND())</f>
        <v/>
      </c>
      <c r="LR10" s="18">
        <f>NORM.S.INV(RAND())</f>
        <v/>
      </c>
      <c r="LS10" s="18">
        <f>NORM.S.INV(RAND())</f>
        <v/>
      </c>
      <c r="LT10" s="18">
        <f>NORM.S.INV(RAND())</f>
        <v/>
      </c>
      <c r="LU10" s="18">
        <f>NORM.S.INV(RAND())</f>
        <v/>
      </c>
      <c r="LV10" s="18">
        <f>NORM.S.INV(RAND())</f>
        <v/>
      </c>
      <c r="LW10" s="18">
        <f>NORM.S.INV(RAND())</f>
        <v/>
      </c>
      <c r="LX10" s="18">
        <f>NORM.S.INV(RAND())</f>
        <v/>
      </c>
      <c r="LY10" s="18">
        <f>NORM.S.INV(RAND())</f>
        <v/>
      </c>
      <c r="LZ10" s="18">
        <f>NORM.S.INV(RAND())</f>
        <v/>
      </c>
      <c r="MA10" s="18">
        <f>NORM.S.INV(RAND())</f>
        <v/>
      </c>
      <c r="MB10" s="18">
        <f>NORM.S.INV(RAND())</f>
        <v/>
      </c>
      <c r="MC10" s="18">
        <f>NORM.S.INV(RAND())</f>
        <v/>
      </c>
      <c r="MD10" s="18">
        <f>NORM.S.INV(RAND())</f>
        <v/>
      </c>
      <c r="ME10" s="18">
        <f>NORM.S.INV(RAND())</f>
        <v/>
      </c>
      <c r="MF10" s="18">
        <f>NORM.S.INV(RAND())</f>
        <v/>
      </c>
      <c r="MG10" s="18">
        <f>NORM.S.INV(RAND())</f>
        <v/>
      </c>
      <c r="MH10" s="18">
        <f>NORM.S.INV(RAND())</f>
        <v/>
      </c>
      <c r="MI10" s="18">
        <f>NORM.S.INV(RAND())</f>
        <v/>
      </c>
      <c r="MJ10" s="18">
        <f>NORM.S.INV(RAND())</f>
        <v/>
      </c>
      <c r="MK10" s="18">
        <f>NORM.S.INV(RAND())</f>
        <v/>
      </c>
      <c r="ML10" s="18">
        <f>NORM.S.INV(RAND())</f>
        <v/>
      </c>
      <c r="MM10" s="18">
        <f>NORM.S.INV(RAND())</f>
        <v/>
      </c>
      <c r="MN10" s="18">
        <f>NORM.S.INV(RAND())</f>
        <v/>
      </c>
      <c r="MO10" s="18">
        <f>NORM.S.INV(RAND())</f>
        <v/>
      </c>
      <c r="MP10" s="18">
        <f>NORM.S.INV(RAND())</f>
        <v/>
      </c>
      <c r="MQ10" s="18">
        <f>NORM.S.INV(RAND())</f>
        <v/>
      </c>
      <c r="MR10" s="18">
        <f>NORM.S.INV(RAND())</f>
        <v/>
      </c>
      <c r="MS10" s="18">
        <f>NORM.S.INV(RAND())</f>
        <v/>
      </c>
      <c r="MT10" s="18">
        <f>NORM.S.INV(RAND())</f>
        <v/>
      </c>
      <c r="MU10" s="18">
        <f>NORM.S.INV(RAND())</f>
        <v/>
      </c>
      <c r="MV10" s="18">
        <f>NORM.S.INV(RAND())</f>
        <v/>
      </c>
      <c r="MW10" s="18">
        <f>NORM.S.INV(RAND())</f>
        <v/>
      </c>
      <c r="MX10" s="18">
        <f>NORM.S.INV(RAND())</f>
        <v/>
      </c>
      <c r="MY10" s="18">
        <f>NORM.S.INV(RAND())</f>
        <v/>
      </c>
      <c r="MZ10" s="18">
        <f>NORM.S.INV(RAND())</f>
        <v/>
      </c>
      <c r="NA10" s="18">
        <f>NORM.S.INV(RAND())</f>
        <v/>
      </c>
      <c r="NB10" s="18">
        <f>NORM.S.INV(RAND())</f>
        <v/>
      </c>
      <c r="NC10" s="18">
        <f>NORM.S.INV(RAND())</f>
        <v/>
      </c>
      <c r="ND10" s="18">
        <f>NORM.S.INV(RAND())</f>
        <v/>
      </c>
      <c r="NE10" s="18">
        <f>NORM.S.INV(RAND())</f>
        <v/>
      </c>
      <c r="NF10" s="18">
        <f>NORM.S.INV(RAND())</f>
        <v/>
      </c>
      <c r="NG10" s="18">
        <f>NORM.S.INV(RAND())</f>
        <v/>
      </c>
      <c r="NH10" s="18">
        <f>NORM.S.INV(RAND())</f>
        <v/>
      </c>
      <c r="NI10" s="18">
        <f>NORM.S.INV(RAND())</f>
        <v/>
      </c>
      <c r="NJ10" s="18">
        <f>NORM.S.INV(RAND())</f>
        <v/>
      </c>
      <c r="NK10" s="18">
        <f>NORM.S.INV(RAND())</f>
        <v/>
      </c>
      <c r="NL10" s="18">
        <f>NORM.S.INV(RAND())</f>
        <v/>
      </c>
      <c r="NM10" s="18">
        <f>NORM.S.INV(RAND())</f>
        <v/>
      </c>
      <c r="NN10" s="18">
        <f>NORM.S.INV(RAND())</f>
        <v/>
      </c>
      <c r="NO10" s="18">
        <f>NORM.S.INV(RAND())</f>
        <v/>
      </c>
      <c r="NP10" s="18">
        <f>NORM.S.INV(RAND())</f>
        <v/>
      </c>
      <c r="NQ10" s="18">
        <f>NORM.S.INV(RAND())</f>
        <v/>
      </c>
      <c r="NR10" s="18">
        <f>NORM.S.INV(RAND())</f>
        <v/>
      </c>
      <c r="NS10" s="18">
        <f>NORM.S.INV(RAND())</f>
        <v/>
      </c>
      <c r="NT10" s="18">
        <f>NORM.S.INV(RAND())</f>
        <v/>
      </c>
      <c r="NU10" s="18">
        <f>NORM.S.INV(RAND())</f>
        <v/>
      </c>
      <c r="NV10" s="18">
        <f>NORM.S.INV(RAND())</f>
        <v/>
      </c>
      <c r="NW10" s="18">
        <f>NORM.S.INV(RAND())</f>
        <v/>
      </c>
      <c r="NX10" s="18">
        <f>NORM.S.INV(RAND())</f>
        <v/>
      </c>
      <c r="NY10" s="18">
        <f>NORM.S.INV(RAND())</f>
        <v/>
      </c>
      <c r="NZ10" s="18">
        <f>NORM.S.INV(RAND())</f>
        <v/>
      </c>
      <c r="OA10" s="18">
        <f>NORM.S.INV(RAND())</f>
        <v/>
      </c>
      <c r="OB10" s="18">
        <f>NORM.S.INV(RAND())</f>
        <v/>
      </c>
      <c r="OC10" s="18">
        <f>NORM.S.INV(RAND())</f>
        <v/>
      </c>
      <c r="OD10" s="18">
        <f>NORM.S.INV(RAND())</f>
        <v/>
      </c>
      <c r="OE10" s="18">
        <f>NORM.S.INV(RAND())</f>
        <v/>
      </c>
      <c r="OF10" s="18">
        <f>NORM.S.INV(RAND())</f>
        <v/>
      </c>
      <c r="OG10" s="18">
        <f>NORM.S.INV(RAND())</f>
        <v/>
      </c>
      <c r="OH10" s="18">
        <f>NORM.S.INV(RAND())</f>
        <v/>
      </c>
      <c r="OI10" s="18">
        <f>NORM.S.INV(RAND())</f>
        <v/>
      </c>
      <c r="OJ10" s="18">
        <f>NORM.S.INV(RAND())</f>
        <v/>
      </c>
      <c r="OK10" s="18">
        <f>NORM.S.INV(RAND())</f>
        <v/>
      </c>
      <c r="OL10" s="18">
        <f>NORM.S.INV(RAND())</f>
        <v/>
      </c>
      <c r="OM10" s="18">
        <f>NORM.S.INV(RAND())</f>
        <v/>
      </c>
      <c r="ON10" s="18">
        <f>NORM.S.INV(RAND())</f>
        <v/>
      </c>
      <c r="OO10" s="18">
        <f>NORM.S.INV(RAND())</f>
        <v/>
      </c>
      <c r="OP10" s="18">
        <f>NORM.S.INV(RAND())</f>
        <v/>
      </c>
      <c r="OQ10" s="18">
        <f>NORM.S.INV(RAND())</f>
        <v/>
      </c>
      <c r="OR10" s="18">
        <f>NORM.S.INV(RAND())</f>
        <v/>
      </c>
      <c r="OS10" s="18">
        <f>NORM.S.INV(RAND())</f>
        <v/>
      </c>
      <c r="OT10" s="18">
        <f>NORM.S.INV(RAND())</f>
        <v/>
      </c>
      <c r="OU10" s="18">
        <f>NORM.S.INV(RAND())</f>
        <v/>
      </c>
      <c r="OV10" s="18">
        <f>NORM.S.INV(RAND())</f>
        <v/>
      </c>
      <c r="OW10" s="18">
        <f>NORM.S.INV(RAND())</f>
        <v/>
      </c>
      <c r="OX10" s="18">
        <f>NORM.S.INV(RAND())</f>
        <v/>
      </c>
      <c r="OY10" s="18">
        <f>NORM.S.INV(RAND())</f>
        <v/>
      </c>
      <c r="OZ10" s="18">
        <f>NORM.S.INV(RAND())</f>
        <v/>
      </c>
      <c r="PA10" s="18">
        <f>NORM.S.INV(RAND())</f>
        <v/>
      </c>
      <c r="PB10" s="18">
        <f>NORM.S.INV(RAND())</f>
        <v/>
      </c>
      <c r="PC10" s="18">
        <f>NORM.S.INV(RAND())</f>
        <v/>
      </c>
      <c r="PD10" s="18">
        <f>NORM.S.INV(RAND())</f>
        <v/>
      </c>
      <c r="PE10" s="18">
        <f>NORM.S.INV(RAND())</f>
        <v/>
      </c>
      <c r="PF10" s="18">
        <f>NORM.S.INV(RAND())</f>
        <v/>
      </c>
      <c r="PG10" s="18">
        <f>NORM.S.INV(RAND())</f>
        <v/>
      </c>
      <c r="PH10" s="18">
        <f>NORM.S.INV(RAND())</f>
        <v/>
      </c>
      <c r="PI10" s="18">
        <f>NORM.S.INV(RAND())</f>
        <v/>
      </c>
      <c r="PJ10" s="18">
        <f>NORM.S.INV(RAND())</f>
        <v/>
      </c>
      <c r="PK10" s="18">
        <f>NORM.S.INV(RAND())</f>
        <v/>
      </c>
      <c r="PL10" s="18">
        <f>NORM.S.INV(RAND())</f>
        <v/>
      </c>
      <c r="PM10" s="18">
        <f>NORM.S.INV(RAND())</f>
        <v/>
      </c>
      <c r="PN10" s="18">
        <f>NORM.S.INV(RAND())</f>
        <v/>
      </c>
      <c r="PO10" s="18">
        <f>NORM.S.INV(RAND())</f>
        <v/>
      </c>
      <c r="PP10" s="18">
        <f>NORM.S.INV(RAND())</f>
        <v/>
      </c>
      <c r="PQ10" s="18">
        <f>NORM.S.INV(RAND())</f>
        <v/>
      </c>
      <c r="PR10" s="18">
        <f>NORM.S.INV(RAND())</f>
        <v/>
      </c>
      <c r="PS10" s="18">
        <f>NORM.S.INV(RAND())</f>
        <v/>
      </c>
      <c r="PT10" s="18">
        <f>NORM.S.INV(RAND())</f>
        <v/>
      </c>
      <c r="PU10" s="18">
        <f>NORM.S.INV(RAND())</f>
        <v/>
      </c>
      <c r="PV10" s="18">
        <f>NORM.S.INV(RAND())</f>
        <v/>
      </c>
      <c r="PW10" s="18">
        <f>NORM.S.INV(RAND())</f>
        <v/>
      </c>
      <c r="PX10" s="18">
        <f>NORM.S.INV(RAND())</f>
        <v/>
      </c>
      <c r="PY10" s="18">
        <f>NORM.S.INV(RAND())</f>
        <v/>
      </c>
      <c r="PZ10" s="18">
        <f>NORM.S.INV(RAND())</f>
        <v/>
      </c>
      <c r="QA10" s="18">
        <f>NORM.S.INV(RAND())</f>
        <v/>
      </c>
      <c r="QB10" s="18">
        <f>NORM.S.INV(RAND())</f>
        <v/>
      </c>
      <c r="QC10" s="18">
        <f>NORM.S.INV(RAND())</f>
        <v/>
      </c>
      <c r="QD10" s="18">
        <f>NORM.S.INV(RAND())</f>
        <v/>
      </c>
      <c r="QE10" s="18">
        <f>NORM.S.INV(RAND())</f>
        <v/>
      </c>
      <c r="QF10" s="18">
        <f>NORM.S.INV(RAND())</f>
        <v/>
      </c>
      <c r="QG10" s="18">
        <f>NORM.S.INV(RAND())</f>
        <v/>
      </c>
      <c r="QH10" s="18">
        <f>NORM.S.INV(RAND())</f>
        <v/>
      </c>
      <c r="QI10" s="18">
        <f>NORM.S.INV(RAND())</f>
        <v/>
      </c>
      <c r="QJ10" s="18">
        <f>NORM.S.INV(RAND())</f>
        <v/>
      </c>
      <c r="QK10" s="18">
        <f>NORM.S.INV(RAND())</f>
        <v/>
      </c>
      <c r="QL10" s="18">
        <f>NORM.S.INV(RAND())</f>
        <v/>
      </c>
      <c r="QM10" s="18">
        <f>NORM.S.INV(RAND())</f>
        <v/>
      </c>
      <c r="QN10" s="18">
        <f>NORM.S.INV(RAND())</f>
        <v/>
      </c>
      <c r="QO10" s="18">
        <f>NORM.S.INV(RAND())</f>
        <v/>
      </c>
      <c r="QP10" s="18">
        <f>NORM.S.INV(RAND())</f>
        <v/>
      </c>
      <c r="QQ10" s="18">
        <f>NORM.S.INV(RAND())</f>
        <v/>
      </c>
      <c r="QR10" s="18">
        <f>NORM.S.INV(RAND())</f>
        <v/>
      </c>
      <c r="QS10" s="18">
        <f>NORM.S.INV(RAND())</f>
        <v/>
      </c>
      <c r="QT10" s="18">
        <f>NORM.S.INV(RAND())</f>
        <v/>
      </c>
      <c r="QU10" s="18">
        <f>NORM.S.INV(RAND())</f>
        <v/>
      </c>
      <c r="QV10" s="18">
        <f>NORM.S.INV(RAND())</f>
        <v/>
      </c>
      <c r="QW10" s="18">
        <f>NORM.S.INV(RAND())</f>
        <v/>
      </c>
      <c r="QX10" s="18">
        <f>NORM.S.INV(RAND())</f>
        <v/>
      </c>
      <c r="QY10" s="18">
        <f>NORM.S.INV(RAND())</f>
        <v/>
      </c>
      <c r="QZ10" s="18">
        <f>NORM.S.INV(RAND())</f>
        <v/>
      </c>
      <c r="RA10" s="18">
        <f>NORM.S.INV(RAND())</f>
        <v/>
      </c>
      <c r="RB10" s="18">
        <f>NORM.S.INV(RAND())</f>
        <v/>
      </c>
      <c r="RC10" s="18">
        <f>NORM.S.INV(RAND())</f>
        <v/>
      </c>
      <c r="RD10" s="18">
        <f>NORM.S.INV(RAND())</f>
        <v/>
      </c>
      <c r="RE10" s="18">
        <f>NORM.S.INV(RAND())</f>
        <v/>
      </c>
      <c r="RF10" s="18">
        <f>NORM.S.INV(RAND())</f>
        <v/>
      </c>
      <c r="RG10" s="18">
        <f>NORM.S.INV(RAND())</f>
        <v/>
      </c>
      <c r="RH10" s="18">
        <f>NORM.S.INV(RAND())</f>
        <v/>
      </c>
      <c r="RI10" s="18">
        <f>NORM.S.INV(RAND())</f>
        <v/>
      </c>
      <c r="RJ10" s="18">
        <f>NORM.S.INV(RAND())</f>
        <v/>
      </c>
      <c r="RK10" s="18">
        <f>NORM.S.INV(RAND())</f>
        <v/>
      </c>
      <c r="RL10" s="18">
        <f>NORM.S.INV(RAND())</f>
        <v/>
      </c>
      <c r="RM10" s="18">
        <f>NORM.S.INV(RAND())</f>
        <v/>
      </c>
      <c r="RN10" s="18">
        <f>NORM.S.INV(RAND())</f>
        <v/>
      </c>
      <c r="RO10" s="18">
        <f>NORM.S.INV(RAND())</f>
        <v/>
      </c>
      <c r="RP10" s="18">
        <f>NORM.S.INV(RAND())</f>
        <v/>
      </c>
      <c r="RQ10" s="18">
        <f>NORM.S.INV(RAND())</f>
        <v/>
      </c>
      <c r="RR10" s="18">
        <f>NORM.S.INV(RAND())</f>
        <v/>
      </c>
      <c r="RS10" s="18">
        <f>NORM.S.INV(RAND())</f>
        <v/>
      </c>
      <c r="RT10" s="18">
        <f>NORM.S.INV(RAND())</f>
        <v/>
      </c>
      <c r="RU10" s="18">
        <f>NORM.S.INV(RAND())</f>
        <v/>
      </c>
      <c r="RV10" s="18">
        <f>NORM.S.INV(RAND())</f>
        <v/>
      </c>
      <c r="RW10" s="18">
        <f>NORM.S.INV(RAND())</f>
        <v/>
      </c>
      <c r="RX10" s="18">
        <f>NORM.S.INV(RAND())</f>
        <v/>
      </c>
      <c r="RY10" s="18">
        <f>NORM.S.INV(RAND())</f>
        <v/>
      </c>
      <c r="RZ10" s="18">
        <f>NORM.S.INV(RAND())</f>
        <v/>
      </c>
      <c r="SA10" s="18">
        <f>NORM.S.INV(RAND())</f>
        <v/>
      </c>
      <c r="SB10" s="18">
        <f>NORM.S.INV(RAND())</f>
        <v/>
      </c>
      <c r="SC10" s="18">
        <f>NORM.S.INV(RAND())</f>
        <v/>
      </c>
      <c r="SD10" s="18">
        <f>NORM.S.INV(RAND())</f>
        <v/>
      </c>
      <c r="SE10" s="18">
        <f>NORM.S.INV(RAND())</f>
        <v/>
      </c>
      <c r="SF10" s="18">
        <f>NORM.S.INV(RAND())</f>
        <v/>
      </c>
      <c r="SG10" s="18">
        <f>NORM.S.INV(RAND())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SG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5" t="inlineStr">
        <is>
          <t>Obligor \ Trial</t>
        </is>
      </c>
      <c r="B1" s="16" t="inlineStr">
        <is>
          <t>Trial 1</t>
        </is>
      </c>
      <c r="C1" s="16" t="inlineStr">
        <is>
          <t>Trial 2</t>
        </is>
      </c>
      <c r="D1" s="16" t="inlineStr">
        <is>
          <t>Trial 3</t>
        </is>
      </c>
      <c r="E1" s="16" t="inlineStr">
        <is>
          <t>Trial 4</t>
        </is>
      </c>
      <c r="F1" s="16" t="inlineStr">
        <is>
          <t>Trial 5</t>
        </is>
      </c>
      <c r="G1" s="16" t="inlineStr">
        <is>
          <t>Trial 6</t>
        </is>
      </c>
      <c r="H1" s="16" t="inlineStr">
        <is>
          <t>Trial 7</t>
        </is>
      </c>
      <c r="I1" s="16" t="inlineStr">
        <is>
          <t>Trial 8</t>
        </is>
      </c>
      <c r="J1" s="16" t="inlineStr">
        <is>
          <t>Trial 9</t>
        </is>
      </c>
      <c r="K1" s="16" t="inlineStr">
        <is>
          <t>Trial 10</t>
        </is>
      </c>
      <c r="L1" s="16" t="inlineStr">
        <is>
          <t>Trial 11</t>
        </is>
      </c>
      <c r="M1" s="16" t="inlineStr">
        <is>
          <t>Trial 12</t>
        </is>
      </c>
      <c r="N1" s="16" t="inlineStr">
        <is>
          <t>Trial 13</t>
        </is>
      </c>
      <c r="O1" s="16" t="inlineStr">
        <is>
          <t>Trial 14</t>
        </is>
      </c>
      <c r="P1" s="16" t="inlineStr">
        <is>
          <t>Trial 15</t>
        </is>
      </c>
      <c r="Q1" s="16" t="inlineStr">
        <is>
          <t>Trial 16</t>
        </is>
      </c>
      <c r="R1" s="16" t="inlineStr">
        <is>
          <t>Trial 17</t>
        </is>
      </c>
      <c r="S1" s="16" t="inlineStr">
        <is>
          <t>Trial 18</t>
        </is>
      </c>
      <c r="T1" s="16" t="inlineStr">
        <is>
          <t>Trial 19</t>
        </is>
      </c>
      <c r="U1" s="16" t="inlineStr">
        <is>
          <t>Trial 20</t>
        </is>
      </c>
      <c r="V1" s="16" t="inlineStr">
        <is>
          <t>Trial 21</t>
        </is>
      </c>
      <c r="W1" s="16" t="inlineStr">
        <is>
          <t>Trial 22</t>
        </is>
      </c>
      <c r="X1" s="16" t="inlineStr">
        <is>
          <t>Trial 23</t>
        </is>
      </c>
      <c r="Y1" s="16" t="inlineStr">
        <is>
          <t>Trial 24</t>
        </is>
      </c>
      <c r="Z1" s="16" t="inlineStr">
        <is>
          <t>Trial 25</t>
        </is>
      </c>
      <c r="AA1" s="16" t="inlineStr">
        <is>
          <t>Trial 26</t>
        </is>
      </c>
      <c r="AB1" s="16" t="inlineStr">
        <is>
          <t>Trial 27</t>
        </is>
      </c>
      <c r="AC1" s="16" t="inlineStr">
        <is>
          <t>Trial 28</t>
        </is>
      </c>
      <c r="AD1" s="16" t="inlineStr">
        <is>
          <t>Trial 29</t>
        </is>
      </c>
      <c r="AE1" s="16" t="inlineStr">
        <is>
          <t>Trial 30</t>
        </is>
      </c>
      <c r="AF1" s="16" t="inlineStr">
        <is>
          <t>Trial 31</t>
        </is>
      </c>
      <c r="AG1" s="16" t="inlineStr">
        <is>
          <t>Trial 32</t>
        </is>
      </c>
      <c r="AH1" s="16" t="inlineStr">
        <is>
          <t>Trial 33</t>
        </is>
      </c>
      <c r="AI1" s="16" t="inlineStr">
        <is>
          <t>Trial 34</t>
        </is>
      </c>
      <c r="AJ1" s="16" t="inlineStr">
        <is>
          <t>Trial 35</t>
        </is>
      </c>
      <c r="AK1" s="16" t="inlineStr">
        <is>
          <t>Trial 36</t>
        </is>
      </c>
      <c r="AL1" s="16" t="inlineStr">
        <is>
          <t>Trial 37</t>
        </is>
      </c>
      <c r="AM1" s="16" t="inlineStr">
        <is>
          <t>Trial 38</t>
        </is>
      </c>
      <c r="AN1" s="16" t="inlineStr">
        <is>
          <t>Trial 39</t>
        </is>
      </c>
      <c r="AO1" s="16" t="inlineStr">
        <is>
          <t>Trial 40</t>
        </is>
      </c>
      <c r="AP1" s="16" t="inlineStr">
        <is>
          <t>Trial 41</t>
        </is>
      </c>
      <c r="AQ1" s="16" t="inlineStr">
        <is>
          <t>Trial 42</t>
        </is>
      </c>
      <c r="AR1" s="16" t="inlineStr">
        <is>
          <t>Trial 43</t>
        </is>
      </c>
      <c r="AS1" s="16" t="inlineStr">
        <is>
          <t>Trial 44</t>
        </is>
      </c>
      <c r="AT1" s="16" t="inlineStr">
        <is>
          <t>Trial 45</t>
        </is>
      </c>
      <c r="AU1" s="16" t="inlineStr">
        <is>
          <t>Trial 46</t>
        </is>
      </c>
      <c r="AV1" s="16" t="inlineStr">
        <is>
          <t>Trial 47</t>
        </is>
      </c>
      <c r="AW1" s="16" t="inlineStr">
        <is>
          <t>Trial 48</t>
        </is>
      </c>
      <c r="AX1" s="16" t="inlineStr">
        <is>
          <t>Trial 49</t>
        </is>
      </c>
      <c r="AY1" s="16" t="inlineStr">
        <is>
          <t>Trial 50</t>
        </is>
      </c>
      <c r="AZ1" s="16" t="inlineStr">
        <is>
          <t>Trial 51</t>
        </is>
      </c>
      <c r="BA1" s="16" t="inlineStr">
        <is>
          <t>Trial 52</t>
        </is>
      </c>
      <c r="BB1" s="16" t="inlineStr">
        <is>
          <t>Trial 53</t>
        </is>
      </c>
      <c r="BC1" s="16" t="inlineStr">
        <is>
          <t>Trial 54</t>
        </is>
      </c>
      <c r="BD1" s="16" t="inlineStr">
        <is>
          <t>Trial 55</t>
        </is>
      </c>
      <c r="BE1" s="16" t="inlineStr">
        <is>
          <t>Trial 56</t>
        </is>
      </c>
      <c r="BF1" s="16" t="inlineStr">
        <is>
          <t>Trial 57</t>
        </is>
      </c>
      <c r="BG1" s="16" t="inlineStr">
        <is>
          <t>Trial 58</t>
        </is>
      </c>
      <c r="BH1" s="16" t="inlineStr">
        <is>
          <t>Trial 59</t>
        </is>
      </c>
      <c r="BI1" s="16" t="inlineStr">
        <is>
          <t>Trial 60</t>
        </is>
      </c>
      <c r="BJ1" s="16" t="inlineStr">
        <is>
          <t>Trial 61</t>
        </is>
      </c>
      <c r="BK1" s="16" t="inlineStr">
        <is>
          <t>Trial 62</t>
        </is>
      </c>
      <c r="BL1" s="16" t="inlineStr">
        <is>
          <t>Trial 63</t>
        </is>
      </c>
      <c r="BM1" s="16" t="inlineStr">
        <is>
          <t>Trial 64</t>
        </is>
      </c>
      <c r="BN1" s="16" t="inlineStr">
        <is>
          <t>Trial 65</t>
        </is>
      </c>
      <c r="BO1" s="16" t="inlineStr">
        <is>
          <t>Trial 66</t>
        </is>
      </c>
      <c r="BP1" s="16" t="inlineStr">
        <is>
          <t>Trial 67</t>
        </is>
      </c>
      <c r="BQ1" s="16" t="inlineStr">
        <is>
          <t>Trial 68</t>
        </is>
      </c>
      <c r="BR1" s="16" t="inlineStr">
        <is>
          <t>Trial 69</t>
        </is>
      </c>
      <c r="BS1" s="16" t="inlineStr">
        <is>
          <t>Trial 70</t>
        </is>
      </c>
      <c r="BT1" s="16" t="inlineStr">
        <is>
          <t>Trial 71</t>
        </is>
      </c>
      <c r="BU1" s="16" t="inlineStr">
        <is>
          <t>Trial 72</t>
        </is>
      </c>
      <c r="BV1" s="16" t="inlineStr">
        <is>
          <t>Trial 73</t>
        </is>
      </c>
      <c r="BW1" s="16" t="inlineStr">
        <is>
          <t>Trial 74</t>
        </is>
      </c>
      <c r="BX1" s="16" t="inlineStr">
        <is>
          <t>Trial 75</t>
        </is>
      </c>
      <c r="BY1" s="16" t="inlineStr">
        <is>
          <t>Trial 76</t>
        </is>
      </c>
      <c r="BZ1" s="16" t="inlineStr">
        <is>
          <t>Trial 77</t>
        </is>
      </c>
      <c r="CA1" s="16" t="inlineStr">
        <is>
          <t>Trial 78</t>
        </is>
      </c>
      <c r="CB1" s="16" t="inlineStr">
        <is>
          <t>Trial 79</t>
        </is>
      </c>
      <c r="CC1" s="16" t="inlineStr">
        <is>
          <t>Trial 80</t>
        </is>
      </c>
      <c r="CD1" s="16" t="inlineStr">
        <is>
          <t>Trial 81</t>
        </is>
      </c>
      <c r="CE1" s="16" t="inlineStr">
        <is>
          <t>Trial 82</t>
        </is>
      </c>
      <c r="CF1" s="16" t="inlineStr">
        <is>
          <t>Trial 83</t>
        </is>
      </c>
      <c r="CG1" s="16" t="inlineStr">
        <is>
          <t>Trial 84</t>
        </is>
      </c>
      <c r="CH1" s="16" t="inlineStr">
        <is>
          <t>Trial 85</t>
        </is>
      </c>
      <c r="CI1" s="16" t="inlineStr">
        <is>
          <t>Trial 86</t>
        </is>
      </c>
      <c r="CJ1" s="16" t="inlineStr">
        <is>
          <t>Trial 87</t>
        </is>
      </c>
      <c r="CK1" s="16" t="inlineStr">
        <is>
          <t>Trial 88</t>
        </is>
      </c>
      <c r="CL1" s="16" t="inlineStr">
        <is>
          <t>Trial 89</t>
        </is>
      </c>
      <c r="CM1" s="16" t="inlineStr">
        <is>
          <t>Trial 90</t>
        </is>
      </c>
      <c r="CN1" s="16" t="inlineStr">
        <is>
          <t>Trial 91</t>
        </is>
      </c>
      <c r="CO1" s="16" t="inlineStr">
        <is>
          <t>Trial 92</t>
        </is>
      </c>
      <c r="CP1" s="16" t="inlineStr">
        <is>
          <t>Trial 93</t>
        </is>
      </c>
      <c r="CQ1" s="16" t="inlineStr">
        <is>
          <t>Trial 94</t>
        </is>
      </c>
      <c r="CR1" s="16" t="inlineStr">
        <is>
          <t>Trial 95</t>
        </is>
      </c>
      <c r="CS1" s="16" t="inlineStr">
        <is>
          <t>Trial 96</t>
        </is>
      </c>
      <c r="CT1" s="16" t="inlineStr">
        <is>
          <t>Trial 97</t>
        </is>
      </c>
      <c r="CU1" s="16" t="inlineStr">
        <is>
          <t>Trial 98</t>
        </is>
      </c>
      <c r="CV1" s="16" t="inlineStr">
        <is>
          <t>Trial 99</t>
        </is>
      </c>
      <c r="CW1" s="16" t="inlineStr">
        <is>
          <t>Trial 100</t>
        </is>
      </c>
      <c r="CX1" s="16" t="inlineStr">
        <is>
          <t>Trial 101</t>
        </is>
      </c>
      <c r="CY1" s="16" t="inlineStr">
        <is>
          <t>Trial 102</t>
        </is>
      </c>
      <c r="CZ1" s="16" t="inlineStr">
        <is>
          <t>Trial 103</t>
        </is>
      </c>
      <c r="DA1" s="16" t="inlineStr">
        <is>
          <t>Trial 104</t>
        </is>
      </c>
      <c r="DB1" s="16" t="inlineStr">
        <is>
          <t>Trial 105</t>
        </is>
      </c>
      <c r="DC1" s="16" t="inlineStr">
        <is>
          <t>Trial 106</t>
        </is>
      </c>
      <c r="DD1" s="16" t="inlineStr">
        <is>
          <t>Trial 107</t>
        </is>
      </c>
      <c r="DE1" s="16" t="inlineStr">
        <is>
          <t>Trial 108</t>
        </is>
      </c>
      <c r="DF1" s="16" t="inlineStr">
        <is>
          <t>Trial 109</t>
        </is>
      </c>
      <c r="DG1" s="16" t="inlineStr">
        <is>
          <t>Trial 110</t>
        </is>
      </c>
      <c r="DH1" s="16" t="inlineStr">
        <is>
          <t>Trial 111</t>
        </is>
      </c>
      <c r="DI1" s="16" t="inlineStr">
        <is>
          <t>Trial 112</t>
        </is>
      </c>
      <c r="DJ1" s="16" t="inlineStr">
        <is>
          <t>Trial 113</t>
        </is>
      </c>
      <c r="DK1" s="16" t="inlineStr">
        <is>
          <t>Trial 114</t>
        </is>
      </c>
      <c r="DL1" s="16" t="inlineStr">
        <is>
          <t>Trial 115</t>
        </is>
      </c>
      <c r="DM1" s="16" t="inlineStr">
        <is>
          <t>Trial 116</t>
        </is>
      </c>
      <c r="DN1" s="16" t="inlineStr">
        <is>
          <t>Trial 117</t>
        </is>
      </c>
      <c r="DO1" s="16" t="inlineStr">
        <is>
          <t>Trial 118</t>
        </is>
      </c>
      <c r="DP1" s="16" t="inlineStr">
        <is>
          <t>Trial 119</t>
        </is>
      </c>
      <c r="DQ1" s="16" t="inlineStr">
        <is>
          <t>Trial 120</t>
        </is>
      </c>
      <c r="DR1" s="16" t="inlineStr">
        <is>
          <t>Trial 121</t>
        </is>
      </c>
      <c r="DS1" s="16" t="inlineStr">
        <is>
          <t>Trial 122</t>
        </is>
      </c>
      <c r="DT1" s="16" t="inlineStr">
        <is>
          <t>Trial 123</t>
        </is>
      </c>
      <c r="DU1" s="16" t="inlineStr">
        <is>
          <t>Trial 124</t>
        </is>
      </c>
      <c r="DV1" s="16" t="inlineStr">
        <is>
          <t>Trial 125</t>
        </is>
      </c>
      <c r="DW1" s="16" t="inlineStr">
        <is>
          <t>Trial 126</t>
        </is>
      </c>
      <c r="DX1" s="16" t="inlineStr">
        <is>
          <t>Trial 127</t>
        </is>
      </c>
      <c r="DY1" s="16" t="inlineStr">
        <is>
          <t>Trial 128</t>
        </is>
      </c>
      <c r="DZ1" s="16" t="inlineStr">
        <is>
          <t>Trial 129</t>
        </is>
      </c>
      <c r="EA1" s="16" t="inlineStr">
        <is>
          <t>Trial 130</t>
        </is>
      </c>
      <c r="EB1" s="16" t="inlineStr">
        <is>
          <t>Trial 131</t>
        </is>
      </c>
      <c r="EC1" s="16" t="inlineStr">
        <is>
          <t>Trial 132</t>
        </is>
      </c>
      <c r="ED1" s="16" t="inlineStr">
        <is>
          <t>Trial 133</t>
        </is>
      </c>
      <c r="EE1" s="16" t="inlineStr">
        <is>
          <t>Trial 134</t>
        </is>
      </c>
      <c r="EF1" s="16" t="inlineStr">
        <is>
          <t>Trial 135</t>
        </is>
      </c>
      <c r="EG1" s="16" t="inlineStr">
        <is>
          <t>Trial 136</t>
        </is>
      </c>
      <c r="EH1" s="16" t="inlineStr">
        <is>
          <t>Trial 137</t>
        </is>
      </c>
      <c r="EI1" s="16" t="inlineStr">
        <is>
          <t>Trial 138</t>
        </is>
      </c>
      <c r="EJ1" s="16" t="inlineStr">
        <is>
          <t>Trial 139</t>
        </is>
      </c>
      <c r="EK1" s="16" t="inlineStr">
        <is>
          <t>Trial 140</t>
        </is>
      </c>
      <c r="EL1" s="16" t="inlineStr">
        <is>
          <t>Trial 141</t>
        </is>
      </c>
      <c r="EM1" s="16" t="inlineStr">
        <is>
          <t>Trial 142</t>
        </is>
      </c>
      <c r="EN1" s="16" t="inlineStr">
        <is>
          <t>Trial 143</t>
        </is>
      </c>
      <c r="EO1" s="16" t="inlineStr">
        <is>
          <t>Trial 144</t>
        </is>
      </c>
      <c r="EP1" s="16" t="inlineStr">
        <is>
          <t>Trial 145</t>
        </is>
      </c>
      <c r="EQ1" s="16" t="inlineStr">
        <is>
          <t>Trial 146</t>
        </is>
      </c>
      <c r="ER1" s="16" t="inlineStr">
        <is>
          <t>Trial 147</t>
        </is>
      </c>
      <c r="ES1" s="16" t="inlineStr">
        <is>
          <t>Trial 148</t>
        </is>
      </c>
      <c r="ET1" s="16" t="inlineStr">
        <is>
          <t>Trial 149</t>
        </is>
      </c>
      <c r="EU1" s="16" t="inlineStr">
        <is>
          <t>Trial 150</t>
        </is>
      </c>
      <c r="EV1" s="16" t="inlineStr">
        <is>
          <t>Trial 151</t>
        </is>
      </c>
      <c r="EW1" s="16" t="inlineStr">
        <is>
          <t>Trial 152</t>
        </is>
      </c>
      <c r="EX1" s="16" t="inlineStr">
        <is>
          <t>Trial 153</t>
        </is>
      </c>
      <c r="EY1" s="16" t="inlineStr">
        <is>
          <t>Trial 154</t>
        </is>
      </c>
      <c r="EZ1" s="16" t="inlineStr">
        <is>
          <t>Trial 155</t>
        </is>
      </c>
      <c r="FA1" s="16" t="inlineStr">
        <is>
          <t>Trial 156</t>
        </is>
      </c>
      <c r="FB1" s="16" t="inlineStr">
        <is>
          <t>Trial 157</t>
        </is>
      </c>
      <c r="FC1" s="16" t="inlineStr">
        <is>
          <t>Trial 158</t>
        </is>
      </c>
      <c r="FD1" s="16" t="inlineStr">
        <is>
          <t>Trial 159</t>
        </is>
      </c>
      <c r="FE1" s="16" t="inlineStr">
        <is>
          <t>Trial 160</t>
        </is>
      </c>
      <c r="FF1" s="16" t="inlineStr">
        <is>
          <t>Trial 161</t>
        </is>
      </c>
      <c r="FG1" s="16" t="inlineStr">
        <is>
          <t>Trial 162</t>
        </is>
      </c>
      <c r="FH1" s="16" t="inlineStr">
        <is>
          <t>Trial 163</t>
        </is>
      </c>
      <c r="FI1" s="16" t="inlineStr">
        <is>
          <t>Trial 164</t>
        </is>
      </c>
      <c r="FJ1" s="16" t="inlineStr">
        <is>
          <t>Trial 165</t>
        </is>
      </c>
      <c r="FK1" s="16" t="inlineStr">
        <is>
          <t>Trial 166</t>
        </is>
      </c>
      <c r="FL1" s="16" t="inlineStr">
        <is>
          <t>Trial 167</t>
        </is>
      </c>
      <c r="FM1" s="16" t="inlineStr">
        <is>
          <t>Trial 168</t>
        </is>
      </c>
      <c r="FN1" s="16" t="inlineStr">
        <is>
          <t>Trial 169</t>
        </is>
      </c>
      <c r="FO1" s="16" t="inlineStr">
        <is>
          <t>Trial 170</t>
        </is>
      </c>
      <c r="FP1" s="16" t="inlineStr">
        <is>
          <t>Trial 171</t>
        </is>
      </c>
      <c r="FQ1" s="16" t="inlineStr">
        <is>
          <t>Trial 172</t>
        </is>
      </c>
      <c r="FR1" s="16" t="inlineStr">
        <is>
          <t>Trial 173</t>
        </is>
      </c>
      <c r="FS1" s="16" t="inlineStr">
        <is>
          <t>Trial 174</t>
        </is>
      </c>
      <c r="FT1" s="16" t="inlineStr">
        <is>
          <t>Trial 175</t>
        </is>
      </c>
      <c r="FU1" s="16" t="inlineStr">
        <is>
          <t>Trial 176</t>
        </is>
      </c>
      <c r="FV1" s="16" t="inlineStr">
        <is>
          <t>Trial 177</t>
        </is>
      </c>
      <c r="FW1" s="16" t="inlineStr">
        <is>
          <t>Trial 178</t>
        </is>
      </c>
      <c r="FX1" s="16" t="inlineStr">
        <is>
          <t>Trial 179</t>
        </is>
      </c>
      <c r="FY1" s="16" t="inlineStr">
        <is>
          <t>Trial 180</t>
        </is>
      </c>
      <c r="FZ1" s="16" t="inlineStr">
        <is>
          <t>Trial 181</t>
        </is>
      </c>
      <c r="GA1" s="16" t="inlineStr">
        <is>
          <t>Trial 182</t>
        </is>
      </c>
      <c r="GB1" s="16" t="inlineStr">
        <is>
          <t>Trial 183</t>
        </is>
      </c>
      <c r="GC1" s="16" t="inlineStr">
        <is>
          <t>Trial 184</t>
        </is>
      </c>
      <c r="GD1" s="16" t="inlineStr">
        <is>
          <t>Trial 185</t>
        </is>
      </c>
      <c r="GE1" s="16" t="inlineStr">
        <is>
          <t>Trial 186</t>
        </is>
      </c>
      <c r="GF1" s="16" t="inlineStr">
        <is>
          <t>Trial 187</t>
        </is>
      </c>
      <c r="GG1" s="16" t="inlineStr">
        <is>
          <t>Trial 188</t>
        </is>
      </c>
      <c r="GH1" s="16" t="inlineStr">
        <is>
          <t>Trial 189</t>
        </is>
      </c>
      <c r="GI1" s="16" t="inlineStr">
        <is>
          <t>Trial 190</t>
        </is>
      </c>
      <c r="GJ1" s="16" t="inlineStr">
        <is>
          <t>Trial 191</t>
        </is>
      </c>
      <c r="GK1" s="16" t="inlineStr">
        <is>
          <t>Trial 192</t>
        </is>
      </c>
      <c r="GL1" s="16" t="inlineStr">
        <is>
          <t>Trial 193</t>
        </is>
      </c>
      <c r="GM1" s="16" t="inlineStr">
        <is>
          <t>Trial 194</t>
        </is>
      </c>
      <c r="GN1" s="16" t="inlineStr">
        <is>
          <t>Trial 195</t>
        </is>
      </c>
      <c r="GO1" s="16" t="inlineStr">
        <is>
          <t>Trial 196</t>
        </is>
      </c>
      <c r="GP1" s="16" t="inlineStr">
        <is>
          <t>Trial 197</t>
        </is>
      </c>
      <c r="GQ1" s="16" t="inlineStr">
        <is>
          <t>Trial 198</t>
        </is>
      </c>
      <c r="GR1" s="16" t="inlineStr">
        <is>
          <t>Trial 199</t>
        </is>
      </c>
      <c r="GS1" s="16" t="inlineStr">
        <is>
          <t>Trial 200</t>
        </is>
      </c>
      <c r="GT1" s="16" t="inlineStr">
        <is>
          <t>Trial 201</t>
        </is>
      </c>
      <c r="GU1" s="16" t="inlineStr">
        <is>
          <t>Trial 202</t>
        </is>
      </c>
      <c r="GV1" s="16" t="inlineStr">
        <is>
          <t>Trial 203</t>
        </is>
      </c>
      <c r="GW1" s="16" t="inlineStr">
        <is>
          <t>Trial 204</t>
        </is>
      </c>
      <c r="GX1" s="16" t="inlineStr">
        <is>
          <t>Trial 205</t>
        </is>
      </c>
      <c r="GY1" s="16" t="inlineStr">
        <is>
          <t>Trial 206</t>
        </is>
      </c>
      <c r="GZ1" s="16" t="inlineStr">
        <is>
          <t>Trial 207</t>
        </is>
      </c>
      <c r="HA1" s="16" t="inlineStr">
        <is>
          <t>Trial 208</t>
        </is>
      </c>
      <c r="HB1" s="16" t="inlineStr">
        <is>
          <t>Trial 209</t>
        </is>
      </c>
      <c r="HC1" s="16" t="inlineStr">
        <is>
          <t>Trial 210</t>
        </is>
      </c>
      <c r="HD1" s="16" t="inlineStr">
        <is>
          <t>Trial 211</t>
        </is>
      </c>
      <c r="HE1" s="16" t="inlineStr">
        <is>
          <t>Trial 212</t>
        </is>
      </c>
      <c r="HF1" s="16" t="inlineStr">
        <is>
          <t>Trial 213</t>
        </is>
      </c>
      <c r="HG1" s="16" t="inlineStr">
        <is>
          <t>Trial 214</t>
        </is>
      </c>
      <c r="HH1" s="16" t="inlineStr">
        <is>
          <t>Trial 215</t>
        </is>
      </c>
      <c r="HI1" s="16" t="inlineStr">
        <is>
          <t>Trial 216</t>
        </is>
      </c>
      <c r="HJ1" s="16" t="inlineStr">
        <is>
          <t>Trial 217</t>
        </is>
      </c>
      <c r="HK1" s="16" t="inlineStr">
        <is>
          <t>Trial 218</t>
        </is>
      </c>
      <c r="HL1" s="16" t="inlineStr">
        <is>
          <t>Trial 219</t>
        </is>
      </c>
      <c r="HM1" s="16" t="inlineStr">
        <is>
          <t>Trial 220</t>
        </is>
      </c>
      <c r="HN1" s="16" t="inlineStr">
        <is>
          <t>Trial 221</t>
        </is>
      </c>
      <c r="HO1" s="16" t="inlineStr">
        <is>
          <t>Trial 222</t>
        </is>
      </c>
      <c r="HP1" s="16" t="inlineStr">
        <is>
          <t>Trial 223</t>
        </is>
      </c>
      <c r="HQ1" s="16" t="inlineStr">
        <is>
          <t>Trial 224</t>
        </is>
      </c>
      <c r="HR1" s="16" t="inlineStr">
        <is>
          <t>Trial 225</t>
        </is>
      </c>
      <c r="HS1" s="16" t="inlineStr">
        <is>
          <t>Trial 226</t>
        </is>
      </c>
      <c r="HT1" s="16" t="inlineStr">
        <is>
          <t>Trial 227</t>
        </is>
      </c>
      <c r="HU1" s="16" t="inlineStr">
        <is>
          <t>Trial 228</t>
        </is>
      </c>
      <c r="HV1" s="16" t="inlineStr">
        <is>
          <t>Trial 229</t>
        </is>
      </c>
      <c r="HW1" s="16" t="inlineStr">
        <is>
          <t>Trial 230</t>
        </is>
      </c>
      <c r="HX1" s="16" t="inlineStr">
        <is>
          <t>Trial 231</t>
        </is>
      </c>
      <c r="HY1" s="16" t="inlineStr">
        <is>
          <t>Trial 232</t>
        </is>
      </c>
      <c r="HZ1" s="16" t="inlineStr">
        <is>
          <t>Trial 233</t>
        </is>
      </c>
      <c r="IA1" s="16" t="inlineStr">
        <is>
          <t>Trial 234</t>
        </is>
      </c>
      <c r="IB1" s="16" t="inlineStr">
        <is>
          <t>Trial 235</t>
        </is>
      </c>
      <c r="IC1" s="16" t="inlineStr">
        <is>
          <t>Trial 236</t>
        </is>
      </c>
      <c r="ID1" s="16" t="inlineStr">
        <is>
          <t>Trial 237</t>
        </is>
      </c>
      <c r="IE1" s="16" t="inlineStr">
        <is>
          <t>Trial 238</t>
        </is>
      </c>
      <c r="IF1" s="16" t="inlineStr">
        <is>
          <t>Trial 239</t>
        </is>
      </c>
      <c r="IG1" s="16" t="inlineStr">
        <is>
          <t>Trial 240</t>
        </is>
      </c>
      <c r="IH1" s="16" t="inlineStr">
        <is>
          <t>Trial 241</t>
        </is>
      </c>
      <c r="II1" s="16" t="inlineStr">
        <is>
          <t>Trial 242</t>
        </is>
      </c>
      <c r="IJ1" s="16" t="inlineStr">
        <is>
          <t>Trial 243</t>
        </is>
      </c>
      <c r="IK1" s="16" t="inlineStr">
        <is>
          <t>Trial 244</t>
        </is>
      </c>
      <c r="IL1" s="16" t="inlineStr">
        <is>
          <t>Trial 245</t>
        </is>
      </c>
      <c r="IM1" s="16" t="inlineStr">
        <is>
          <t>Trial 246</t>
        </is>
      </c>
      <c r="IN1" s="16" t="inlineStr">
        <is>
          <t>Trial 247</t>
        </is>
      </c>
      <c r="IO1" s="16" t="inlineStr">
        <is>
          <t>Trial 248</t>
        </is>
      </c>
      <c r="IP1" s="16" t="inlineStr">
        <is>
          <t>Trial 249</t>
        </is>
      </c>
      <c r="IQ1" s="16" t="inlineStr">
        <is>
          <t>Trial 250</t>
        </is>
      </c>
      <c r="IR1" s="16" t="inlineStr">
        <is>
          <t>Trial 251</t>
        </is>
      </c>
      <c r="IS1" s="16" t="inlineStr">
        <is>
          <t>Trial 252</t>
        </is>
      </c>
      <c r="IT1" s="16" t="inlineStr">
        <is>
          <t>Trial 253</t>
        </is>
      </c>
      <c r="IU1" s="16" t="inlineStr">
        <is>
          <t>Trial 254</t>
        </is>
      </c>
      <c r="IV1" s="16" t="inlineStr">
        <is>
          <t>Trial 255</t>
        </is>
      </c>
      <c r="IW1" s="16" t="inlineStr">
        <is>
          <t>Trial 256</t>
        </is>
      </c>
      <c r="IX1" s="16" t="inlineStr">
        <is>
          <t>Trial 257</t>
        </is>
      </c>
      <c r="IY1" s="16" t="inlineStr">
        <is>
          <t>Trial 258</t>
        </is>
      </c>
      <c r="IZ1" s="16" t="inlineStr">
        <is>
          <t>Trial 259</t>
        </is>
      </c>
      <c r="JA1" s="16" t="inlineStr">
        <is>
          <t>Trial 260</t>
        </is>
      </c>
      <c r="JB1" s="16" t="inlineStr">
        <is>
          <t>Trial 261</t>
        </is>
      </c>
      <c r="JC1" s="16" t="inlineStr">
        <is>
          <t>Trial 262</t>
        </is>
      </c>
      <c r="JD1" s="16" t="inlineStr">
        <is>
          <t>Trial 263</t>
        </is>
      </c>
      <c r="JE1" s="16" t="inlineStr">
        <is>
          <t>Trial 264</t>
        </is>
      </c>
      <c r="JF1" s="16" t="inlineStr">
        <is>
          <t>Trial 265</t>
        </is>
      </c>
      <c r="JG1" s="16" t="inlineStr">
        <is>
          <t>Trial 266</t>
        </is>
      </c>
      <c r="JH1" s="16" t="inlineStr">
        <is>
          <t>Trial 267</t>
        </is>
      </c>
      <c r="JI1" s="16" t="inlineStr">
        <is>
          <t>Trial 268</t>
        </is>
      </c>
      <c r="JJ1" s="16" t="inlineStr">
        <is>
          <t>Trial 269</t>
        </is>
      </c>
      <c r="JK1" s="16" t="inlineStr">
        <is>
          <t>Trial 270</t>
        </is>
      </c>
      <c r="JL1" s="16" t="inlineStr">
        <is>
          <t>Trial 271</t>
        </is>
      </c>
      <c r="JM1" s="16" t="inlineStr">
        <is>
          <t>Trial 272</t>
        </is>
      </c>
      <c r="JN1" s="16" t="inlineStr">
        <is>
          <t>Trial 273</t>
        </is>
      </c>
      <c r="JO1" s="16" t="inlineStr">
        <is>
          <t>Trial 274</t>
        </is>
      </c>
      <c r="JP1" s="16" t="inlineStr">
        <is>
          <t>Trial 275</t>
        </is>
      </c>
      <c r="JQ1" s="16" t="inlineStr">
        <is>
          <t>Trial 276</t>
        </is>
      </c>
      <c r="JR1" s="16" t="inlineStr">
        <is>
          <t>Trial 277</t>
        </is>
      </c>
      <c r="JS1" s="16" t="inlineStr">
        <is>
          <t>Trial 278</t>
        </is>
      </c>
      <c r="JT1" s="16" t="inlineStr">
        <is>
          <t>Trial 279</t>
        </is>
      </c>
      <c r="JU1" s="16" t="inlineStr">
        <is>
          <t>Trial 280</t>
        </is>
      </c>
      <c r="JV1" s="16" t="inlineStr">
        <is>
          <t>Trial 281</t>
        </is>
      </c>
      <c r="JW1" s="16" t="inlineStr">
        <is>
          <t>Trial 282</t>
        </is>
      </c>
      <c r="JX1" s="16" t="inlineStr">
        <is>
          <t>Trial 283</t>
        </is>
      </c>
      <c r="JY1" s="16" t="inlineStr">
        <is>
          <t>Trial 284</t>
        </is>
      </c>
      <c r="JZ1" s="16" t="inlineStr">
        <is>
          <t>Trial 285</t>
        </is>
      </c>
      <c r="KA1" s="16" t="inlineStr">
        <is>
          <t>Trial 286</t>
        </is>
      </c>
      <c r="KB1" s="16" t="inlineStr">
        <is>
          <t>Trial 287</t>
        </is>
      </c>
      <c r="KC1" s="16" t="inlineStr">
        <is>
          <t>Trial 288</t>
        </is>
      </c>
      <c r="KD1" s="16" t="inlineStr">
        <is>
          <t>Trial 289</t>
        </is>
      </c>
      <c r="KE1" s="16" t="inlineStr">
        <is>
          <t>Trial 290</t>
        </is>
      </c>
      <c r="KF1" s="16" t="inlineStr">
        <is>
          <t>Trial 291</t>
        </is>
      </c>
      <c r="KG1" s="16" t="inlineStr">
        <is>
          <t>Trial 292</t>
        </is>
      </c>
      <c r="KH1" s="16" t="inlineStr">
        <is>
          <t>Trial 293</t>
        </is>
      </c>
      <c r="KI1" s="16" t="inlineStr">
        <is>
          <t>Trial 294</t>
        </is>
      </c>
      <c r="KJ1" s="16" t="inlineStr">
        <is>
          <t>Trial 295</t>
        </is>
      </c>
      <c r="KK1" s="16" t="inlineStr">
        <is>
          <t>Trial 296</t>
        </is>
      </c>
      <c r="KL1" s="16" t="inlineStr">
        <is>
          <t>Trial 297</t>
        </is>
      </c>
      <c r="KM1" s="16" t="inlineStr">
        <is>
          <t>Trial 298</t>
        </is>
      </c>
      <c r="KN1" s="16" t="inlineStr">
        <is>
          <t>Trial 299</t>
        </is>
      </c>
      <c r="KO1" s="16" t="inlineStr">
        <is>
          <t>Trial 300</t>
        </is>
      </c>
      <c r="KP1" s="16" t="inlineStr">
        <is>
          <t>Trial 301</t>
        </is>
      </c>
      <c r="KQ1" s="16" t="inlineStr">
        <is>
          <t>Trial 302</t>
        </is>
      </c>
      <c r="KR1" s="16" t="inlineStr">
        <is>
          <t>Trial 303</t>
        </is>
      </c>
      <c r="KS1" s="16" t="inlineStr">
        <is>
          <t>Trial 304</t>
        </is>
      </c>
      <c r="KT1" s="16" t="inlineStr">
        <is>
          <t>Trial 305</t>
        </is>
      </c>
      <c r="KU1" s="16" t="inlineStr">
        <is>
          <t>Trial 306</t>
        </is>
      </c>
      <c r="KV1" s="16" t="inlineStr">
        <is>
          <t>Trial 307</t>
        </is>
      </c>
      <c r="KW1" s="16" t="inlineStr">
        <is>
          <t>Trial 308</t>
        </is>
      </c>
      <c r="KX1" s="16" t="inlineStr">
        <is>
          <t>Trial 309</t>
        </is>
      </c>
      <c r="KY1" s="16" t="inlineStr">
        <is>
          <t>Trial 310</t>
        </is>
      </c>
      <c r="KZ1" s="16" t="inlineStr">
        <is>
          <t>Trial 311</t>
        </is>
      </c>
      <c r="LA1" s="16" t="inlineStr">
        <is>
          <t>Trial 312</t>
        </is>
      </c>
      <c r="LB1" s="16" t="inlineStr">
        <is>
          <t>Trial 313</t>
        </is>
      </c>
      <c r="LC1" s="16" t="inlineStr">
        <is>
          <t>Trial 314</t>
        </is>
      </c>
      <c r="LD1" s="16" t="inlineStr">
        <is>
          <t>Trial 315</t>
        </is>
      </c>
      <c r="LE1" s="16" t="inlineStr">
        <is>
          <t>Trial 316</t>
        </is>
      </c>
      <c r="LF1" s="16" t="inlineStr">
        <is>
          <t>Trial 317</t>
        </is>
      </c>
      <c r="LG1" s="16" t="inlineStr">
        <is>
          <t>Trial 318</t>
        </is>
      </c>
      <c r="LH1" s="16" t="inlineStr">
        <is>
          <t>Trial 319</t>
        </is>
      </c>
      <c r="LI1" s="16" t="inlineStr">
        <is>
          <t>Trial 320</t>
        </is>
      </c>
      <c r="LJ1" s="16" t="inlineStr">
        <is>
          <t>Trial 321</t>
        </is>
      </c>
      <c r="LK1" s="16" t="inlineStr">
        <is>
          <t>Trial 322</t>
        </is>
      </c>
      <c r="LL1" s="16" t="inlineStr">
        <is>
          <t>Trial 323</t>
        </is>
      </c>
      <c r="LM1" s="16" t="inlineStr">
        <is>
          <t>Trial 324</t>
        </is>
      </c>
      <c r="LN1" s="16" t="inlineStr">
        <is>
          <t>Trial 325</t>
        </is>
      </c>
      <c r="LO1" s="16" t="inlineStr">
        <is>
          <t>Trial 326</t>
        </is>
      </c>
      <c r="LP1" s="16" t="inlineStr">
        <is>
          <t>Trial 327</t>
        </is>
      </c>
      <c r="LQ1" s="16" t="inlineStr">
        <is>
          <t>Trial 328</t>
        </is>
      </c>
      <c r="LR1" s="16" t="inlineStr">
        <is>
          <t>Trial 329</t>
        </is>
      </c>
      <c r="LS1" s="16" t="inlineStr">
        <is>
          <t>Trial 330</t>
        </is>
      </c>
      <c r="LT1" s="16" t="inlineStr">
        <is>
          <t>Trial 331</t>
        </is>
      </c>
      <c r="LU1" s="16" t="inlineStr">
        <is>
          <t>Trial 332</t>
        </is>
      </c>
      <c r="LV1" s="16" t="inlineStr">
        <is>
          <t>Trial 333</t>
        </is>
      </c>
      <c r="LW1" s="16" t="inlineStr">
        <is>
          <t>Trial 334</t>
        </is>
      </c>
      <c r="LX1" s="16" t="inlineStr">
        <is>
          <t>Trial 335</t>
        </is>
      </c>
      <c r="LY1" s="16" t="inlineStr">
        <is>
          <t>Trial 336</t>
        </is>
      </c>
      <c r="LZ1" s="16" t="inlineStr">
        <is>
          <t>Trial 337</t>
        </is>
      </c>
      <c r="MA1" s="16" t="inlineStr">
        <is>
          <t>Trial 338</t>
        </is>
      </c>
      <c r="MB1" s="16" t="inlineStr">
        <is>
          <t>Trial 339</t>
        </is>
      </c>
      <c r="MC1" s="16" t="inlineStr">
        <is>
          <t>Trial 340</t>
        </is>
      </c>
      <c r="MD1" s="16" t="inlineStr">
        <is>
          <t>Trial 341</t>
        </is>
      </c>
      <c r="ME1" s="16" t="inlineStr">
        <is>
          <t>Trial 342</t>
        </is>
      </c>
      <c r="MF1" s="16" t="inlineStr">
        <is>
          <t>Trial 343</t>
        </is>
      </c>
      <c r="MG1" s="16" t="inlineStr">
        <is>
          <t>Trial 344</t>
        </is>
      </c>
      <c r="MH1" s="16" t="inlineStr">
        <is>
          <t>Trial 345</t>
        </is>
      </c>
      <c r="MI1" s="16" t="inlineStr">
        <is>
          <t>Trial 346</t>
        </is>
      </c>
      <c r="MJ1" s="16" t="inlineStr">
        <is>
          <t>Trial 347</t>
        </is>
      </c>
      <c r="MK1" s="16" t="inlineStr">
        <is>
          <t>Trial 348</t>
        </is>
      </c>
      <c r="ML1" s="16" t="inlineStr">
        <is>
          <t>Trial 349</t>
        </is>
      </c>
      <c r="MM1" s="16" t="inlineStr">
        <is>
          <t>Trial 350</t>
        </is>
      </c>
      <c r="MN1" s="16" t="inlineStr">
        <is>
          <t>Trial 351</t>
        </is>
      </c>
      <c r="MO1" s="16" t="inlineStr">
        <is>
          <t>Trial 352</t>
        </is>
      </c>
      <c r="MP1" s="16" t="inlineStr">
        <is>
          <t>Trial 353</t>
        </is>
      </c>
      <c r="MQ1" s="16" t="inlineStr">
        <is>
          <t>Trial 354</t>
        </is>
      </c>
      <c r="MR1" s="16" t="inlineStr">
        <is>
          <t>Trial 355</t>
        </is>
      </c>
      <c r="MS1" s="16" t="inlineStr">
        <is>
          <t>Trial 356</t>
        </is>
      </c>
      <c r="MT1" s="16" t="inlineStr">
        <is>
          <t>Trial 357</t>
        </is>
      </c>
      <c r="MU1" s="16" t="inlineStr">
        <is>
          <t>Trial 358</t>
        </is>
      </c>
      <c r="MV1" s="16" t="inlineStr">
        <is>
          <t>Trial 359</t>
        </is>
      </c>
      <c r="MW1" s="16" t="inlineStr">
        <is>
          <t>Trial 360</t>
        </is>
      </c>
      <c r="MX1" s="16" t="inlineStr">
        <is>
          <t>Trial 361</t>
        </is>
      </c>
      <c r="MY1" s="16" t="inlineStr">
        <is>
          <t>Trial 362</t>
        </is>
      </c>
      <c r="MZ1" s="16" t="inlineStr">
        <is>
          <t>Trial 363</t>
        </is>
      </c>
      <c r="NA1" s="16" t="inlineStr">
        <is>
          <t>Trial 364</t>
        </is>
      </c>
      <c r="NB1" s="16" t="inlineStr">
        <is>
          <t>Trial 365</t>
        </is>
      </c>
      <c r="NC1" s="16" t="inlineStr">
        <is>
          <t>Trial 366</t>
        </is>
      </c>
      <c r="ND1" s="16" t="inlineStr">
        <is>
          <t>Trial 367</t>
        </is>
      </c>
      <c r="NE1" s="16" t="inlineStr">
        <is>
          <t>Trial 368</t>
        </is>
      </c>
      <c r="NF1" s="16" t="inlineStr">
        <is>
          <t>Trial 369</t>
        </is>
      </c>
      <c r="NG1" s="16" t="inlineStr">
        <is>
          <t>Trial 370</t>
        </is>
      </c>
      <c r="NH1" s="16" t="inlineStr">
        <is>
          <t>Trial 371</t>
        </is>
      </c>
      <c r="NI1" s="16" t="inlineStr">
        <is>
          <t>Trial 372</t>
        </is>
      </c>
      <c r="NJ1" s="16" t="inlineStr">
        <is>
          <t>Trial 373</t>
        </is>
      </c>
      <c r="NK1" s="16" t="inlineStr">
        <is>
          <t>Trial 374</t>
        </is>
      </c>
      <c r="NL1" s="16" t="inlineStr">
        <is>
          <t>Trial 375</t>
        </is>
      </c>
      <c r="NM1" s="16" t="inlineStr">
        <is>
          <t>Trial 376</t>
        </is>
      </c>
      <c r="NN1" s="16" t="inlineStr">
        <is>
          <t>Trial 377</t>
        </is>
      </c>
      <c r="NO1" s="16" t="inlineStr">
        <is>
          <t>Trial 378</t>
        </is>
      </c>
      <c r="NP1" s="16" t="inlineStr">
        <is>
          <t>Trial 379</t>
        </is>
      </c>
      <c r="NQ1" s="16" t="inlineStr">
        <is>
          <t>Trial 380</t>
        </is>
      </c>
      <c r="NR1" s="16" t="inlineStr">
        <is>
          <t>Trial 381</t>
        </is>
      </c>
      <c r="NS1" s="16" t="inlineStr">
        <is>
          <t>Trial 382</t>
        </is>
      </c>
      <c r="NT1" s="16" t="inlineStr">
        <is>
          <t>Trial 383</t>
        </is>
      </c>
      <c r="NU1" s="16" t="inlineStr">
        <is>
          <t>Trial 384</t>
        </is>
      </c>
      <c r="NV1" s="16" t="inlineStr">
        <is>
          <t>Trial 385</t>
        </is>
      </c>
      <c r="NW1" s="16" t="inlineStr">
        <is>
          <t>Trial 386</t>
        </is>
      </c>
      <c r="NX1" s="16" t="inlineStr">
        <is>
          <t>Trial 387</t>
        </is>
      </c>
      <c r="NY1" s="16" t="inlineStr">
        <is>
          <t>Trial 388</t>
        </is>
      </c>
      <c r="NZ1" s="16" t="inlineStr">
        <is>
          <t>Trial 389</t>
        </is>
      </c>
      <c r="OA1" s="16" t="inlineStr">
        <is>
          <t>Trial 390</t>
        </is>
      </c>
      <c r="OB1" s="16" t="inlineStr">
        <is>
          <t>Trial 391</t>
        </is>
      </c>
      <c r="OC1" s="16" t="inlineStr">
        <is>
          <t>Trial 392</t>
        </is>
      </c>
      <c r="OD1" s="16" t="inlineStr">
        <is>
          <t>Trial 393</t>
        </is>
      </c>
      <c r="OE1" s="16" t="inlineStr">
        <is>
          <t>Trial 394</t>
        </is>
      </c>
      <c r="OF1" s="16" t="inlineStr">
        <is>
          <t>Trial 395</t>
        </is>
      </c>
      <c r="OG1" s="16" t="inlineStr">
        <is>
          <t>Trial 396</t>
        </is>
      </c>
      <c r="OH1" s="16" t="inlineStr">
        <is>
          <t>Trial 397</t>
        </is>
      </c>
      <c r="OI1" s="16" t="inlineStr">
        <is>
          <t>Trial 398</t>
        </is>
      </c>
      <c r="OJ1" s="16" t="inlineStr">
        <is>
          <t>Trial 399</t>
        </is>
      </c>
      <c r="OK1" s="16" t="inlineStr">
        <is>
          <t>Trial 400</t>
        </is>
      </c>
      <c r="OL1" s="16" t="inlineStr">
        <is>
          <t>Trial 401</t>
        </is>
      </c>
      <c r="OM1" s="16" t="inlineStr">
        <is>
          <t>Trial 402</t>
        </is>
      </c>
      <c r="ON1" s="16" t="inlineStr">
        <is>
          <t>Trial 403</t>
        </is>
      </c>
      <c r="OO1" s="16" t="inlineStr">
        <is>
          <t>Trial 404</t>
        </is>
      </c>
      <c r="OP1" s="16" t="inlineStr">
        <is>
          <t>Trial 405</t>
        </is>
      </c>
      <c r="OQ1" s="16" t="inlineStr">
        <is>
          <t>Trial 406</t>
        </is>
      </c>
      <c r="OR1" s="16" t="inlineStr">
        <is>
          <t>Trial 407</t>
        </is>
      </c>
      <c r="OS1" s="16" t="inlineStr">
        <is>
          <t>Trial 408</t>
        </is>
      </c>
      <c r="OT1" s="16" t="inlineStr">
        <is>
          <t>Trial 409</t>
        </is>
      </c>
      <c r="OU1" s="16" t="inlineStr">
        <is>
          <t>Trial 410</t>
        </is>
      </c>
      <c r="OV1" s="16" t="inlineStr">
        <is>
          <t>Trial 411</t>
        </is>
      </c>
      <c r="OW1" s="16" t="inlineStr">
        <is>
          <t>Trial 412</t>
        </is>
      </c>
      <c r="OX1" s="16" t="inlineStr">
        <is>
          <t>Trial 413</t>
        </is>
      </c>
      <c r="OY1" s="16" t="inlineStr">
        <is>
          <t>Trial 414</t>
        </is>
      </c>
      <c r="OZ1" s="16" t="inlineStr">
        <is>
          <t>Trial 415</t>
        </is>
      </c>
      <c r="PA1" s="16" t="inlineStr">
        <is>
          <t>Trial 416</t>
        </is>
      </c>
      <c r="PB1" s="16" t="inlineStr">
        <is>
          <t>Trial 417</t>
        </is>
      </c>
      <c r="PC1" s="16" t="inlineStr">
        <is>
          <t>Trial 418</t>
        </is>
      </c>
      <c r="PD1" s="16" t="inlineStr">
        <is>
          <t>Trial 419</t>
        </is>
      </c>
      <c r="PE1" s="16" t="inlineStr">
        <is>
          <t>Trial 420</t>
        </is>
      </c>
      <c r="PF1" s="16" t="inlineStr">
        <is>
          <t>Trial 421</t>
        </is>
      </c>
      <c r="PG1" s="16" t="inlineStr">
        <is>
          <t>Trial 422</t>
        </is>
      </c>
      <c r="PH1" s="16" t="inlineStr">
        <is>
          <t>Trial 423</t>
        </is>
      </c>
      <c r="PI1" s="16" t="inlineStr">
        <is>
          <t>Trial 424</t>
        </is>
      </c>
      <c r="PJ1" s="16" t="inlineStr">
        <is>
          <t>Trial 425</t>
        </is>
      </c>
      <c r="PK1" s="16" t="inlineStr">
        <is>
          <t>Trial 426</t>
        </is>
      </c>
      <c r="PL1" s="16" t="inlineStr">
        <is>
          <t>Trial 427</t>
        </is>
      </c>
      <c r="PM1" s="16" t="inlineStr">
        <is>
          <t>Trial 428</t>
        </is>
      </c>
      <c r="PN1" s="16" t="inlineStr">
        <is>
          <t>Trial 429</t>
        </is>
      </c>
      <c r="PO1" s="16" t="inlineStr">
        <is>
          <t>Trial 430</t>
        </is>
      </c>
      <c r="PP1" s="16" t="inlineStr">
        <is>
          <t>Trial 431</t>
        </is>
      </c>
      <c r="PQ1" s="16" t="inlineStr">
        <is>
          <t>Trial 432</t>
        </is>
      </c>
      <c r="PR1" s="16" t="inlineStr">
        <is>
          <t>Trial 433</t>
        </is>
      </c>
      <c r="PS1" s="16" t="inlineStr">
        <is>
          <t>Trial 434</t>
        </is>
      </c>
      <c r="PT1" s="16" t="inlineStr">
        <is>
          <t>Trial 435</t>
        </is>
      </c>
      <c r="PU1" s="16" t="inlineStr">
        <is>
          <t>Trial 436</t>
        </is>
      </c>
      <c r="PV1" s="16" t="inlineStr">
        <is>
          <t>Trial 437</t>
        </is>
      </c>
      <c r="PW1" s="16" t="inlineStr">
        <is>
          <t>Trial 438</t>
        </is>
      </c>
      <c r="PX1" s="16" t="inlineStr">
        <is>
          <t>Trial 439</t>
        </is>
      </c>
      <c r="PY1" s="16" t="inlineStr">
        <is>
          <t>Trial 440</t>
        </is>
      </c>
      <c r="PZ1" s="16" t="inlineStr">
        <is>
          <t>Trial 441</t>
        </is>
      </c>
      <c r="QA1" s="16" t="inlineStr">
        <is>
          <t>Trial 442</t>
        </is>
      </c>
      <c r="QB1" s="16" t="inlineStr">
        <is>
          <t>Trial 443</t>
        </is>
      </c>
      <c r="QC1" s="16" t="inlineStr">
        <is>
          <t>Trial 444</t>
        </is>
      </c>
      <c r="QD1" s="16" t="inlineStr">
        <is>
          <t>Trial 445</t>
        </is>
      </c>
      <c r="QE1" s="16" t="inlineStr">
        <is>
          <t>Trial 446</t>
        </is>
      </c>
      <c r="QF1" s="16" t="inlineStr">
        <is>
          <t>Trial 447</t>
        </is>
      </c>
      <c r="QG1" s="16" t="inlineStr">
        <is>
          <t>Trial 448</t>
        </is>
      </c>
      <c r="QH1" s="16" t="inlineStr">
        <is>
          <t>Trial 449</t>
        </is>
      </c>
      <c r="QI1" s="16" t="inlineStr">
        <is>
          <t>Trial 450</t>
        </is>
      </c>
      <c r="QJ1" s="16" t="inlineStr">
        <is>
          <t>Trial 451</t>
        </is>
      </c>
      <c r="QK1" s="16" t="inlineStr">
        <is>
          <t>Trial 452</t>
        </is>
      </c>
      <c r="QL1" s="16" t="inlineStr">
        <is>
          <t>Trial 453</t>
        </is>
      </c>
      <c r="QM1" s="16" t="inlineStr">
        <is>
          <t>Trial 454</t>
        </is>
      </c>
      <c r="QN1" s="16" t="inlineStr">
        <is>
          <t>Trial 455</t>
        </is>
      </c>
      <c r="QO1" s="16" t="inlineStr">
        <is>
          <t>Trial 456</t>
        </is>
      </c>
      <c r="QP1" s="16" t="inlineStr">
        <is>
          <t>Trial 457</t>
        </is>
      </c>
      <c r="QQ1" s="16" t="inlineStr">
        <is>
          <t>Trial 458</t>
        </is>
      </c>
      <c r="QR1" s="16" t="inlineStr">
        <is>
          <t>Trial 459</t>
        </is>
      </c>
      <c r="QS1" s="16" t="inlineStr">
        <is>
          <t>Trial 460</t>
        </is>
      </c>
      <c r="QT1" s="16" t="inlineStr">
        <is>
          <t>Trial 461</t>
        </is>
      </c>
      <c r="QU1" s="16" t="inlineStr">
        <is>
          <t>Trial 462</t>
        </is>
      </c>
      <c r="QV1" s="16" t="inlineStr">
        <is>
          <t>Trial 463</t>
        </is>
      </c>
      <c r="QW1" s="16" t="inlineStr">
        <is>
          <t>Trial 464</t>
        </is>
      </c>
      <c r="QX1" s="16" t="inlineStr">
        <is>
          <t>Trial 465</t>
        </is>
      </c>
      <c r="QY1" s="16" t="inlineStr">
        <is>
          <t>Trial 466</t>
        </is>
      </c>
      <c r="QZ1" s="16" t="inlineStr">
        <is>
          <t>Trial 467</t>
        </is>
      </c>
      <c r="RA1" s="16" t="inlineStr">
        <is>
          <t>Trial 468</t>
        </is>
      </c>
      <c r="RB1" s="16" t="inlineStr">
        <is>
          <t>Trial 469</t>
        </is>
      </c>
      <c r="RC1" s="16" t="inlineStr">
        <is>
          <t>Trial 470</t>
        </is>
      </c>
      <c r="RD1" s="16" t="inlineStr">
        <is>
          <t>Trial 471</t>
        </is>
      </c>
      <c r="RE1" s="16" t="inlineStr">
        <is>
          <t>Trial 472</t>
        </is>
      </c>
      <c r="RF1" s="16" t="inlineStr">
        <is>
          <t>Trial 473</t>
        </is>
      </c>
      <c r="RG1" s="16" t="inlineStr">
        <is>
          <t>Trial 474</t>
        </is>
      </c>
      <c r="RH1" s="16" t="inlineStr">
        <is>
          <t>Trial 475</t>
        </is>
      </c>
      <c r="RI1" s="16" t="inlineStr">
        <is>
          <t>Trial 476</t>
        </is>
      </c>
      <c r="RJ1" s="16" t="inlineStr">
        <is>
          <t>Trial 477</t>
        </is>
      </c>
      <c r="RK1" s="16" t="inlineStr">
        <is>
          <t>Trial 478</t>
        </is>
      </c>
      <c r="RL1" s="16" t="inlineStr">
        <is>
          <t>Trial 479</t>
        </is>
      </c>
      <c r="RM1" s="16" t="inlineStr">
        <is>
          <t>Trial 480</t>
        </is>
      </c>
      <c r="RN1" s="16" t="inlineStr">
        <is>
          <t>Trial 481</t>
        </is>
      </c>
      <c r="RO1" s="16" t="inlineStr">
        <is>
          <t>Trial 482</t>
        </is>
      </c>
      <c r="RP1" s="16" t="inlineStr">
        <is>
          <t>Trial 483</t>
        </is>
      </c>
      <c r="RQ1" s="16" t="inlineStr">
        <is>
          <t>Trial 484</t>
        </is>
      </c>
      <c r="RR1" s="16" t="inlineStr">
        <is>
          <t>Trial 485</t>
        </is>
      </c>
      <c r="RS1" s="16" t="inlineStr">
        <is>
          <t>Trial 486</t>
        </is>
      </c>
      <c r="RT1" s="16" t="inlineStr">
        <is>
          <t>Trial 487</t>
        </is>
      </c>
      <c r="RU1" s="16" t="inlineStr">
        <is>
          <t>Trial 488</t>
        </is>
      </c>
      <c r="RV1" s="16" t="inlineStr">
        <is>
          <t>Trial 489</t>
        </is>
      </c>
      <c r="RW1" s="16" t="inlineStr">
        <is>
          <t>Trial 490</t>
        </is>
      </c>
      <c r="RX1" s="16" t="inlineStr">
        <is>
          <t>Trial 491</t>
        </is>
      </c>
      <c r="RY1" s="16" t="inlineStr">
        <is>
          <t>Trial 492</t>
        </is>
      </c>
      <c r="RZ1" s="16" t="inlineStr">
        <is>
          <t>Trial 493</t>
        </is>
      </c>
      <c r="SA1" s="16" t="inlineStr">
        <is>
          <t>Trial 494</t>
        </is>
      </c>
      <c r="SB1" s="16" t="inlineStr">
        <is>
          <t>Trial 495</t>
        </is>
      </c>
      <c r="SC1" s="16" t="inlineStr">
        <is>
          <t>Trial 496</t>
        </is>
      </c>
      <c r="SD1" s="16" t="inlineStr">
        <is>
          <t>Trial 497</t>
        </is>
      </c>
      <c r="SE1" s="16" t="inlineStr">
        <is>
          <t>Trial 498</t>
        </is>
      </c>
      <c r="SF1" s="16" t="inlineStr">
        <is>
          <t>Trial 499</t>
        </is>
      </c>
      <c r="SG1" s="16" t="inlineStr">
        <is>
          <t>Trial 500</t>
        </is>
      </c>
    </row>
    <row r="2">
      <c r="A2" s="17" t="inlineStr">
        <is>
          <t>OBL-001</t>
        </is>
      </c>
      <c r="B2" s="19">
        <f>SQRT(Parameters!$B$5)*Factors!B2+SQRT(Parameters!$B$6)*Factors!B6+SQRT(Parameters!$B$7)*Factors!B9+SQRT(Parameters!$B$9)*NORM.S.INV(RAND())</f>
        <v/>
      </c>
      <c r="C2" s="19">
        <f>SQRT(Parameters!$B$5)*Factors!C2+SQRT(Parameters!$B$6)*Factors!C6+SQRT(Parameters!$B$7)*Factors!C9+SQRT(Parameters!$B$9)*NORM.S.INV(RAND())</f>
        <v/>
      </c>
      <c r="D2" s="19">
        <f>SQRT(Parameters!$B$5)*Factors!D2+SQRT(Parameters!$B$6)*Factors!D6+SQRT(Parameters!$B$7)*Factors!D9+SQRT(Parameters!$B$9)*NORM.S.INV(RAND())</f>
        <v/>
      </c>
      <c r="E2" s="19">
        <f>SQRT(Parameters!$B$5)*Factors!E2+SQRT(Parameters!$B$6)*Factors!E6+SQRT(Parameters!$B$7)*Factors!E9+SQRT(Parameters!$B$9)*NORM.S.INV(RAND())</f>
        <v/>
      </c>
      <c r="F2" s="19">
        <f>SQRT(Parameters!$B$5)*Factors!F2+SQRT(Parameters!$B$6)*Factors!F6+SQRT(Parameters!$B$7)*Factors!F9+SQRT(Parameters!$B$9)*NORM.S.INV(RAND())</f>
        <v/>
      </c>
      <c r="G2" s="19">
        <f>SQRT(Parameters!$B$5)*Factors!G2+SQRT(Parameters!$B$6)*Factors!G6+SQRT(Parameters!$B$7)*Factors!G9+SQRT(Parameters!$B$9)*NORM.S.INV(RAND())</f>
        <v/>
      </c>
      <c r="H2" s="19">
        <f>SQRT(Parameters!$B$5)*Factors!H2+SQRT(Parameters!$B$6)*Factors!H6+SQRT(Parameters!$B$7)*Factors!H9+SQRT(Parameters!$B$9)*NORM.S.INV(RAND())</f>
        <v/>
      </c>
      <c r="I2" s="19">
        <f>SQRT(Parameters!$B$5)*Factors!I2+SQRT(Parameters!$B$6)*Factors!I6+SQRT(Parameters!$B$7)*Factors!I9+SQRT(Parameters!$B$9)*NORM.S.INV(RAND())</f>
        <v/>
      </c>
      <c r="J2" s="19">
        <f>SQRT(Parameters!$B$5)*Factors!J2+SQRT(Parameters!$B$6)*Factors!J6+SQRT(Parameters!$B$7)*Factors!J9+SQRT(Parameters!$B$9)*NORM.S.INV(RAND())</f>
        <v/>
      </c>
      <c r="K2" s="19">
        <f>SQRT(Parameters!$B$5)*Factors!K2+SQRT(Parameters!$B$6)*Factors!K6+SQRT(Parameters!$B$7)*Factors!K9+SQRT(Parameters!$B$9)*NORM.S.INV(RAND())</f>
        <v/>
      </c>
      <c r="L2" s="19">
        <f>SQRT(Parameters!$B$5)*Factors!L2+SQRT(Parameters!$B$6)*Factors!L6+SQRT(Parameters!$B$7)*Factors!L9+SQRT(Parameters!$B$9)*NORM.S.INV(RAND())</f>
        <v/>
      </c>
      <c r="M2" s="19">
        <f>SQRT(Parameters!$B$5)*Factors!M2+SQRT(Parameters!$B$6)*Factors!M6+SQRT(Parameters!$B$7)*Factors!M9+SQRT(Parameters!$B$9)*NORM.S.INV(RAND())</f>
        <v/>
      </c>
      <c r="N2" s="19">
        <f>SQRT(Parameters!$B$5)*Factors!N2+SQRT(Parameters!$B$6)*Factors!N6+SQRT(Parameters!$B$7)*Factors!N9+SQRT(Parameters!$B$9)*NORM.S.INV(RAND())</f>
        <v/>
      </c>
      <c r="O2" s="19">
        <f>SQRT(Parameters!$B$5)*Factors!O2+SQRT(Parameters!$B$6)*Factors!O6+SQRT(Parameters!$B$7)*Factors!O9+SQRT(Parameters!$B$9)*NORM.S.INV(RAND())</f>
        <v/>
      </c>
      <c r="P2" s="19">
        <f>SQRT(Parameters!$B$5)*Factors!P2+SQRT(Parameters!$B$6)*Factors!P6+SQRT(Parameters!$B$7)*Factors!P9+SQRT(Parameters!$B$9)*NORM.S.INV(RAND())</f>
        <v/>
      </c>
      <c r="Q2" s="19">
        <f>SQRT(Parameters!$B$5)*Factors!Q2+SQRT(Parameters!$B$6)*Factors!Q6+SQRT(Parameters!$B$7)*Factors!Q9+SQRT(Parameters!$B$9)*NORM.S.INV(RAND())</f>
        <v/>
      </c>
      <c r="R2" s="19">
        <f>SQRT(Parameters!$B$5)*Factors!R2+SQRT(Parameters!$B$6)*Factors!R6+SQRT(Parameters!$B$7)*Factors!R9+SQRT(Parameters!$B$9)*NORM.S.INV(RAND())</f>
        <v/>
      </c>
      <c r="S2" s="19">
        <f>SQRT(Parameters!$B$5)*Factors!S2+SQRT(Parameters!$B$6)*Factors!S6+SQRT(Parameters!$B$7)*Factors!S9+SQRT(Parameters!$B$9)*NORM.S.INV(RAND())</f>
        <v/>
      </c>
      <c r="T2" s="19">
        <f>SQRT(Parameters!$B$5)*Factors!T2+SQRT(Parameters!$B$6)*Factors!T6+SQRT(Parameters!$B$7)*Factors!T9+SQRT(Parameters!$B$9)*NORM.S.INV(RAND())</f>
        <v/>
      </c>
      <c r="U2" s="19">
        <f>SQRT(Parameters!$B$5)*Factors!U2+SQRT(Parameters!$B$6)*Factors!U6+SQRT(Parameters!$B$7)*Factors!U9+SQRT(Parameters!$B$9)*NORM.S.INV(RAND())</f>
        <v/>
      </c>
      <c r="V2" s="19">
        <f>SQRT(Parameters!$B$5)*Factors!V2+SQRT(Parameters!$B$6)*Factors!V6+SQRT(Parameters!$B$7)*Factors!V9+SQRT(Parameters!$B$9)*NORM.S.INV(RAND())</f>
        <v/>
      </c>
      <c r="W2" s="19">
        <f>SQRT(Parameters!$B$5)*Factors!W2+SQRT(Parameters!$B$6)*Factors!W6+SQRT(Parameters!$B$7)*Factors!W9+SQRT(Parameters!$B$9)*NORM.S.INV(RAND())</f>
        <v/>
      </c>
      <c r="X2" s="19">
        <f>SQRT(Parameters!$B$5)*Factors!X2+SQRT(Parameters!$B$6)*Factors!X6+SQRT(Parameters!$B$7)*Factors!X9+SQRT(Parameters!$B$9)*NORM.S.INV(RAND())</f>
        <v/>
      </c>
      <c r="Y2" s="19">
        <f>SQRT(Parameters!$B$5)*Factors!Y2+SQRT(Parameters!$B$6)*Factors!Y6+SQRT(Parameters!$B$7)*Factors!Y9+SQRT(Parameters!$B$9)*NORM.S.INV(RAND())</f>
        <v/>
      </c>
      <c r="Z2" s="19">
        <f>SQRT(Parameters!$B$5)*Factors!Z2+SQRT(Parameters!$B$6)*Factors!Z6+SQRT(Parameters!$B$7)*Factors!Z9+SQRT(Parameters!$B$9)*NORM.S.INV(RAND())</f>
        <v/>
      </c>
      <c r="AA2" s="19">
        <f>SQRT(Parameters!$B$5)*Factors!AA2+SQRT(Parameters!$B$6)*Factors!AA6+SQRT(Parameters!$B$7)*Factors!AA9+SQRT(Parameters!$B$9)*NORM.S.INV(RAND())</f>
        <v/>
      </c>
      <c r="AB2" s="19">
        <f>SQRT(Parameters!$B$5)*Factors!AB2+SQRT(Parameters!$B$6)*Factors!AB6+SQRT(Parameters!$B$7)*Factors!AB9+SQRT(Parameters!$B$9)*NORM.S.INV(RAND())</f>
        <v/>
      </c>
      <c r="AC2" s="19">
        <f>SQRT(Parameters!$B$5)*Factors!AC2+SQRT(Parameters!$B$6)*Factors!AC6+SQRT(Parameters!$B$7)*Factors!AC9+SQRT(Parameters!$B$9)*NORM.S.INV(RAND())</f>
        <v/>
      </c>
      <c r="AD2" s="19">
        <f>SQRT(Parameters!$B$5)*Factors!AD2+SQRT(Parameters!$B$6)*Factors!AD6+SQRT(Parameters!$B$7)*Factors!AD9+SQRT(Parameters!$B$9)*NORM.S.INV(RAND())</f>
        <v/>
      </c>
      <c r="AE2" s="19">
        <f>SQRT(Parameters!$B$5)*Factors!AE2+SQRT(Parameters!$B$6)*Factors!AE6+SQRT(Parameters!$B$7)*Factors!AE9+SQRT(Parameters!$B$9)*NORM.S.INV(RAND())</f>
        <v/>
      </c>
      <c r="AF2" s="19">
        <f>SQRT(Parameters!$B$5)*Factors!AF2+SQRT(Parameters!$B$6)*Factors!AF6+SQRT(Parameters!$B$7)*Factors!AF9+SQRT(Parameters!$B$9)*NORM.S.INV(RAND())</f>
        <v/>
      </c>
      <c r="AG2" s="19">
        <f>SQRT(Parameters!$B$5)*Factors!AG2+SQRT(Parameters!$B$6)*Factors!AG6+SQRT(Parameters!$B$7)*Factors!AG9+SQRT(Parameters!$B$9)*NORM.S.INV(RAND())</f>
        <v/>
      </c>
      <c r="AH2" s="19">
        <f>SQRT(Parameters!$B$5)*Factors!AH2+SQRT(Parameters!$B$6)*Factors!AH6+SQRT(Parameters!$B$7)*Factors!AH9+SQRT(Parameters!$B$9)*NORM.S.INV(RAND())</f>
        <v/>
      </c>
      <c r="AI2" s="19">
        <f>SQRT(Parameters!$B$5)*Factors!AI2+SQRT(Parameters!$B$6)*Factors!AI6+SQRT(Parameters!$B$7)*Factors!AI9+SQRT(Parameters!$B$9)*NORM.S.INV(RAND())</f>
        <v/>
      </c>
      <c r="AJ2" s="19">
        <f>SQRT(Parameters!$B$5)*Factors!AJ2+SQRT(Parameters!$B$6)*Factors!AJ6+SQRT(Parameters!$B$7)*Factors!AJ9+SQRT(Parameters!$B$9)*NORM.S.INV(RAND())</f>
        <v/>
      </c>
      <c r="AK2" s="19">
        <f>SQRT(Parameters!$B$5)*Factors!AK2+SQRT(Parameters!$B$6)*Factors!AK6+SQRT(Parameters!$B$7)*Factors!AK9+SQRT(Parameters!$B$9)*NORM.S.INV(RAND())</f>
        <v/>
      </c>
      <c r="AL2" s="19">
        <f>SQRT(Parameters!$B$5)*Factors!AL2+SQRT(Parameters!$B$6)*Factors!AL6+SQRT(Parameters!$B$7)*Factors!AL9+SQRT(Parameters!$B$9)*NORM.S.INV(RAND())</f>
        <v/>
      </c>
      <c r="AM2" s="19">
        <f>SQRT(Parameters!$B$5)*Factors!AM2+SQRT(Parameters!$B$6)*Factors!AM6+SQRT(Parameters!$B$7)*Factors!AM9+SQRT(Parameters!$B$9)*NORM.S.INV(RAND())</f>
        <v/>
      </c>
      <c r="AN2" s="19">
        <f>SQRT(Parameters!$B$5)*Factors!AN2+SQRT(Parameters!$B$6)*Factors!AN6+SQRT(Parameters!$B$7)*Factors!AN9+SQRT(Parameters!$B$9)*NORM.S.INV(RAND())</f>
        <v/>
      </c>
      <c r="AO2" s="19">
        <f>SQRT(Parameters!$B$5)*Factors!AO2+SQRT(Parameters!$B$6)*Factors!AO6+SQRT(Parameters!$B$7)*Factors!AO9+SQRT(Parameters!$B$9)*NORM.S.INV(RAND())</f>
        <v/>
      </c>
      <c r="AP2" s="19">
        <f>SQRT(Parameters!$B$5)*Factors!AP2+SQRT(Parameters!$B$6)*Factors!AP6+SQRT(Parameters!$B$7)*Factors!AP9+SQRT(Parameters!$B$9)*NORM.S.INV(RAND())</f>
        <v/>
      </c>
      <c r="AQ2" s="19">
        <f>SQRT(Parameters!$B$5)*Factors!AQ2+SQRT(Parameters!$B$6)*Factors!AQ6+SQRT(Parameters!$B$7)*Factors!AQ9+SQRT(Parameters!$B$9)*NORM.S.INV(RAND())</f>
        <v/>
      </c>
      <c r="AR2" s="19">
        <f>SQRT(Parameters!$B$5)*Factors!AR2+SQRT(Parameters!$B$6)*Factors!AR6+SQRT(Parameters!$B$7)*Factors!AR9+SQRT(Parameters!$B$9)*NORM.S.INV(RAND())</f>
        <v/>
      </c>
      <c r="AS2" s="19">
        <f>SQRT(Parameters!$B$5)*Factors!AS2+SQRT(Parameters!$B$6)*Factors!AS6+SQRT(Parameters!$B$7)*Factors!AS9+SQRT(Parameters!$B$9)*NORM.S.INV(RAND())</f>
        <v/>
      </c>
      <c r="AT2" s="19">
        <f>SQRT(Parameters!$B$5)*Factors!AT2+SQRT(Parameters!$B$6)*Factors!AT6+SQRT(Parameters!$B$7)*Factors!AT9+SQRT(Parameters!$B$9)*NORM.S.INV(RAND())</f>
        <v/>
      </c>
      <c r="AU2" s="19">
        <f>SQRT(Parameters!$B$5)*Factors!AU2+SQRT(Parameters!$B$6)*Factors!AU6+SQRT(Parameters!$B$7)*Factors!AU9+SQRT(Parameters!$B$9)*NORM.S.INV(RAND())</f>
        <v/>
      </c>
      <c r="AV2" s="19">
        <f>SQRT(Parameters!$B$5)*Factors!AV2+SQRT(Parameters!$B$6)*Factors!AV6+SQRT(Parameters!$B$7)*Factors!AV9+SQRT(Parameters!$B$9)*NORM.S.INV(RAND())</f>
        <v/>
      </c>
      <c r="AW2" s="19">
        <f>SQRT(Parameters!$B$5)*Factors!AW2+SQRT(Parameters!$B$6)*Factors!AW6+SQRT(Parameters!$B$7)*Factors!AW9+SQRT(Parameters!$B$9)*NORM.S.INV(RAND())</f>
        <v/>
      </c>
      <c r="AX2" s="19">
        <f>SQRT(Parameters!$B$5)*Factors!AX2+SQRT(Parameters!$B$6)*Factors!AX6+SQRT(Parameters!$B$7)*Factors!AX9+SQRT(Parameters!$B$9)*NORM.S.INV(RAND())</f>
        <v/>
      </c>
      <c r="AY2" s="19">
        <f>SQRT(Parameters!$B$5)*Factors!AY2+SQRT(Parameters!$B$6)*Factors!AY6+SQRT(Parameters!$B$7)*Factors!AY9+SQRT(Parameters!$B$9)*NORM.S.INV(RAND())</f>
        <v/>
      </c>
      <c r="AZ2" s="19">
        <f>SQRT(Parameters!$B$5)*Factors!AZ2+SQRT(Parameters!$B$6)*Factors!AZ6+SQRT(Parameters!$B$7)*Factors!AZ9+SQRT(Parameters!$B$9)*NORM.S.INV(RAND())</f>
        <v/>
      </c>
      <c r="BA2" s="19">
        <f>SQRT(Parameters!$B$5)*Factors!BA2+SQRT(Parameters!$B$6)*Factors!BA6+SQRT(Parameters!$B$7)*Factors!BA9+SQRT(Parameters!$B$9)*NORM.S.INV(RAND())</f>
        <v/>
      </c>
      <c r="BB2" s="19">
        <f>SQRT(Parameters!$B$5)*Factors!BB2+SQRT(Parameters!$B$6)*Factors!BB6+SQRT(Parameters!$B$7)*Factors!BB9+SQRT(Parameters!$B$9)*NORM.S.INV(RAND())</f>
        <v/>
      </c>
      <c r="BC2" s="19">
        <f>SQRT(Parameters!$B$5)*Factors!BC2+SQRT(Parameters!$B$6)*Factors!BC6+SQRT(Parameters!$B$7)*Factors!BC9+SQRT(Parameters!$B$9)*NORM.S.INV(RAND())</f>
        <v/>
      </c>
      <c r="BD2" s="19">
        <f>SQRT(Parameters!$B$5)*Factors!BD2+SQRT(Parameters!$B$6)*Factors!BD6+SQRT(Parameters!$B$7)*Factors!BD9+SQRT(Parameters!$B$9)*NORM.S.INV(RAND())</f>
        <v/>
      </c>
      <c r="BE2" s="19">
        <f>SQRT(Parameters!$B$5)*Factors!BE2+SQRT(Parameters!$B$6)*Factors!BE6+SQRT(Parameters!$B$7)*Factors!BE9+SQRT(Parameters!$B$9)*NORM.S.INV(RAND())</f>
        <v/>
      </c>
      <c r="BF2" s="19">
        <f>SQRT(Parameters!$B$5)*Factors!BF2+SQRT(Parameters!$B$6)*Factors!BF6+SQRT(Parameters!$B$7)*Factors!BF9+SQRT(Parameters!$B$9)*NORM.S.INV(RAND())</f>
        <v/>
      </c>
      <c r="BG2" s="19">
        <f>SQRT(Parameters!$B$5)*Factors!BG2+SQRT(Parameters!$B$6)*Factors!BG6+SQRT(Parameters!$B$7)*Factors!BG9+SQRT(Parameters!$B$9)*NORM.S.INV(RAND())</f>
        <v/>
      </c>
      <c r="BH2" s="19">
        <f>SQRT(Parameters!$B$5)*Factors!BH2+SQRT(Parameters!$B$6)*Factors!BH6+SQRT(Parameters!$B$7)*Factors!BH9+SQRT(Parameters!$B$9)*NORM.S.INV(RAND())</f>
        <v/>
      </c>
      <c r="BI2" s="19">
        <f>SQRT(Parameters!$B$5)*Factors!BI2+SQRT(Parameters!$B$6)*Factors!BI6+SQRT(Parameters!$B$7)*Factors!BI9+SQRT(Parameters!$B$9)*NORM.S.INV(RAND())</f>
        <v/>
      </c>
      <c r="BJ2" s="19">
        <f>SQRT(Parameters!$B$5)*Factors!BJ2+SQRT(Parameters!$B$6)*Factors!BJ6+SQRT(Parameters!$B$7)*Factors!BJ9+SQRT(Parameters!$B$9)*NORM.S.INV(RAND())</f>
        <v/>
      </c>
      <c r="BK2" s="19">
        <f>SQRT(Parameters!$B$5)*Factors!BK2+SQRT(Parameters!$B$6)*Factors!BK6+SQRT(Parameters!$B$7)*Factors!BK9+SQRT(Parameters!$B$9)*NORM.S.INV(RAND())</f>
        <v/>
      </c>
      <c r="BL2" s="19">
        <f>SQRT(Parameters!$B$5)*Factors!BL2+SQRT(Parameters!$B$6)*Factors!BL6+SQRT(Parameters!$B$7)*Factors!BL9+SQRT(Parameters!$B$9)*NORM.S.INV(RAND())</f>
        <v/>
      </c>
      <c r="BM2" s="19">
        <f>SQRT(Parameters!$B$5)*Factors!BM2+SQRT(Parameters!$B$6)*Factors!BM6+SQRT(Parameters!$B$7)*Factors!BM9+SQRT(Parameters!$B$9)*NORM.S.INV(RAND())</f>
        <v/>
      </c>
      <c r="BN2" s="19">
        <f>SQRT(Parameters!$B$5)*Factors!BN2+SQRT(Parameters!$B$6)*Factors!BN6+SQRT(Parameters!$B$7)*Factors!BN9+SQRT(Parameters!$B$9)*NORM.S.INV(RAND())</f>
        <v/>
      </c>
      <c r="BO2" s="19">
        <f>SQRT(Parameters!$B$5)*Factors!BO2+SQRT(Parameters!$B$6)*Factors!BO6+SQRT(Parameters!$B$7)*Factors!BO9+SQRT(Parameters!$B$9)*NORM.S.INV(RAND())</f>
        <v/>
      </c>
      <c r="BP2" s="19">
        <f>SQRT(Parameters!$B$5)*Factors!BP2+SQRT(Parameters!$B$6)*Factors!BP6+SQRT(Parameters!$B$7)*Factors!BP9+SQRT(Parameters!$B$9)*NORM.S.INV(RAND())</f>
        <v/>
      </c>
      <c r="BQ2" s="19">
        <f>SQRT(Parameters!$B$5)*Factors!BQ2+SQRT(Parameters!$B$6)*Factors!BQ6+SQRT(Parameters!$B$7)*Factors!BQ9+SQRT(Parameters!$B$9)*NORM.S.INV(RAND())</f>
        <v/>
      </c>
      <c r="BR2" s="19">
        <f>SQRT(Parameters!$B$5)*Factors!BR2+SQRT(Parameters!$B$6)*Factors!BR6+SQRT(Parameters!$B$7)*Factors!BR9+SQRT(Parameters!$B$9)*NORM.S.INV(RAND())</f>
        <v/>
      </c>
      <c r="BS2" s="19">
        <f>SQRT(Parameters!$B$5)*Factors!BS2+SQRT(Parameters!$B$6)*Factors!BS6+SQRT(Parameters!$B$7)*Factors!BS9+SQRT(Parameters!$B$9)*NORM.S.INV(RAND())</f>
        <v/>
      </c>
      <c r="BT2" s="19">
        <f>SQRT(Parameters!$B$5)*Factors!BT2+SQRT(Parameters!$B$6)*Factors!BT6+SQRT(Parameters!$B$7)*Factors!BT9+SQRT(Parameters!$B$9)*NORM.S.INV(RAND())</f>
        <v/>
      </c>
      <c r="BU2" s="19">
        <f>SQRT(Parameters!$B$5)*Factors!BU2+SQRT(Parameters!$B$6)*Factors!BU6+SQRT(Parameters!$B$7)*Factors!BU9+SQRT(Parameters!$B$9)*NORM.S.INV(RAND())</f>
        <v/>
      </c>
      <c r="BV2" s="19">
        <f>SQRT(Parameters!$B$5)*Factors!BV2+SQRT(Parameters!$B$6)*Factors!BV6+SQRT(Parameters!$B$7)*Factors!BV9+SQRT(Parameters!$B$9)*NORM.S.INV(RAND())</f>
        <v/>
      </c>
      <c r="BW2" s="19">
        <f>SQRT(Parameters!$B$5)*Factors!BW2+SQRT(Parameters!$B$6)*Factors!BW6+SQRT(Parameters!$B$7)*Factors!BW9+SQRT(Parameters!$B$9)*NORM.S.INV(RAND())</f>
        <v/>
      </c>
      <c r="BX2" s="19">
        <f>SQRT(Parameters!$B$5)*Factors!BX2+SQRT(Parameters!$B$6)*Factors!BX6+SQRT(Parameters!$B$7)*Factors!BX9+SQRT(Parameters!$B$9)*NORM.S.INV(RAND())</f>
        <v/>
      </c>
      <c r="BY2" s="19">
        <f>SQRT(Parameters!$B$5)*Factors!BY2+SQRT(Parameters!$B$6)*Factors!BY6+SQRT(Parameters!$B$7)*Factors!BY9+SQRT(Parameters!$B$9)*NORM.S.INV(RAND())</f>
        <v/>
      </c>
      <c r="BZ2" s="19">
        <f>SQRT(Parameters!$B$5)*Factors!BZ2+SQRT(Parameters!$B$6)*Factors!BZ6+SQRT(Parameters!$B$7)*Factors!BZ9+SQRT(Parameters!$B$9)*NORM.S.INV(RAND())</f>
        <v/>
      </c>
      <c r="CA2" s="19">
        <f>SQRT(Parameters!$B$5)*Factors!CA2+SQRT(Parameters!$B$6)*Factors!CA6+SQRT(Parameters!$B$7)*Factors!CA9+SQRT(Parameters!$B$9)*NORM.S.INV(RAND())</f>
        <v/>
      </c>
      <c r="CB2" s="19">
        <f>SQRT(Parameters!$B$5)*Factors!CB2+SQRT(Parameters!$B$6)*Factors!CB6+SQRT(Parameters!$B$7)*Factors!CB9+SQRT(Parameters!$B$9)*NORM.S.INV(RAND())</f>
        <v/>
      </c>
      <c r="CC2" s="19">
        <f>SQRT(Parameters!$B$5)*Factors!CC2+SQRT(Parameters!$B$6)*Factors!CC6+SQRT(Parameters!$B$7)*Factors!CC9+SQRT(Parameters!$B$9)*NORM.S.INV(RAND())</f>
        <v/>
      </c>
      <c r="CD2" s="19">
        <f>SQRT(Parameters!$B$5)*Factors!CD2+SQRT(Parameters!$B$6)*Factors!CD6+SQRT(Parameters!$B$7)*Factors!CD9+SQRT(Parameters!$B$9)*NORM.S.INV(RAND())</f>
        <v/>
      </c>
      <c r="CE2" s="19">
        <f>SQRT(Parameters!$B$5)*Factors!CE2+SQRT(Parameters!$B$6)*Factors!CE6+SQRT(Parameters!$B$7)*Factors!CE9+SQRT(Parameters!$B$9)*NORM.S.INV(RAND())</f>
        <v/>
      </c>
      <c r="CF2" s="19">
        <f>SQRT(Parameters!$B$5)*Factors!CF2+SQRT(Parameters!$B$6)*Factors!CF6+SQRT(Parameters!$B$7)*Factors!CF9+SQRT(Parameters!$B$9)*NORM.S.INV(RAND())</f>
        <v/>
      </c>
      <c r="CG2" s="19">
        <f>SQRT(Parameters!$B$5)*Factors!CG2+SQRT(Parameters!$B$6)*Factors!CG6+SQRT(Parameters!$B$7)*Factors!CG9+SQRT(Parameters!$B$9)*NORM.S.INV(RAND())</f>
        <v/>
      </c>
      <c r="CH2" s="19">
        <f>SQRT(Parameters!$B$5)*Factors!CH2+SQRT(Parameters!$B$6)*Factors!CH6+SQRT(Parameters!$B$7)*Factors!CH9+SQRT(Parameters!$B$9)*NORM.S.INV(RAND())</f>
        <v/>
      </c>
      <c r="CI2" s="19">
        <f>SQRT(Parameters!$B$5)*Factors!CI2+SQRT(Parameters!$B$6)*Factors!CI6+SQRT(Parameters!$B$7)*Factors!CI9+SQRT(Parameters!$B$9)*NORM.S.INV(RAND())</f>
        <v/>
      </c>
      <c r="CJ2" s="19">
        <f>SQRT(Parameters!$B$5)*Factors!CJ2+SQRT(Parameters!$B$6)*Factors!CJ6+SQRT(Parameters!$B$7)*Factors!CJ9+SQRT(Parameters!$B$9)*NORM.S.INV(RAND())</f>
        <v/>
      </c>
      <c r="CK2" s="19">
        <f>SQRT(Parameters!$B$5)*Factors!CK2+SQRT(Parameters!$B$6)*Factors!CK6+SQRT(Parameters!$B$7)*Factors!CK9+SQRT(Parameters!$B$9)*NORM.S.INV(RAND())</f>
        <v/>
      </c>
      <c r="CL2" s="19">
        <f>SQRT(Parameters!$B$5)*Factors!CL2+SQRT(Parameters!$B$6)*Factors!CL6+SQRT(Parameters!$B$7)*Factors!CL9+SQRT(Parameters!$B$9)*NORM.S.INV(RAND())</f>
        <v/>
      </c>
      <c r="CM2" s="19">
        <f>SQRT(Parameters!$B$5)*Factors!CM2+SQRT(Parameters!$B$6)*Factors!CM6+SQRT(Parameters!$B$7)*Factors!CM9+SQRT(Parameters!$B$9)*NORM.S.INV(RAND())</f>
        <v/>
      </c>
      <c r="CN2" s="19">
        <f>SQRT(Parameters!$B$5)*Factors!CN2+SQRT(Parameters!$B$6)*Factors!CN6+SQRT(Parameters!$B$7)*Factors!CN9+SQRT(Parameters!$B$9)*NORM.S.INV(RAND())</f>
        <v/>
      </c>
      <c r="CO2" s="19">
        <f>SQRT(Parameters!$B$5)*Factors!CO2+SQRT(Parameters!$B$6)*Factors!CO6+SQRT(Parameters!$B$7)*Factors!CO9+SQRT(Parameters!$B$9)*NORM.S.INV(RAND())</f>
        <v/>
      </c>
      <c r="CP2" s="19">
        <f>SQRT(Parameters!$B$5)*Factors!CP2+SQRT(Parameters!$B$6)*Factors!CP6+SQRT(Parameters!$B$7)*Factors!CP9+SQRT(Parameters!$B$9)*NORM.S.INV(RAND())</f>
        <v/>
      </c>
      <c r="CQ2" s="19">
        <f>SQRT(Parameters!$B$5)*Factors!CQ2+SQRT(Parameters!$B$6)*Factors!CQ6+SQRT(Parameters!$B$7)*Factors!CQ9+SQRT(Parameters!$B$9)*NORM.S.INV(RAND())</f>
        <v/>
      </c>
      <c r="CR2" s="19">
        <f>SQRT(Parameters!$B$5)*Factors!CR2+SQRT(Parameters!$B$6)*Factors!CR6+SQRT(Parameters!$B$7)*Factors!CR9+SQRT(Parameters!$B$9)*NORM.S.INV(RAND())</f>
        <v/>
      </c>
      <c r="CS2" s="19">
        <f>SQRT(Parameters!$B$5)*Factors!CS2+SQRT(Parameters!$B$6)*Factors!CS6+SQRT(Parameters!$B$7)*Factors!CS9+SQRT(Parameters!$B$9)*NORM.S.INV(RAND())</f>
        <v/>
      </c>
      <c r="CT2" s="19">
        <f>SQRT(Parameters!$B$5)*Factors!CT2+SQRT(Parameters!$B$6)*Factors!CT6+SQRT(Parameters!$B$7)*Factors!CT9+SQRT(Parameters!$B$9)*NORM.S.INV(RAND())</f>
        <v/>
      </c>
      <c r="CU2" s="19">
        <f>SQRT(Parameters!$B$5)*Factors!CU2+SQRT(Parameters!$B$6)*Factors!CU6+SQRT(Parameters!$B$7)*Factors!CU9+SQRT(Parameters!$B$9)*NORM.S.INV(RAND())</f>
        <v/>
      </c>
      <c r="CV2" s="19">
        <f>SQRT(Parameters!$B$5)*Factors!CV2+SQRT(Parameters!$B$6)*Factors!CV6+SQRT(Parameters!$B$7)*Factors!CV9+SQRT(Parameters!$B$9)*NORM.S.INV(RAND())</f>
        <v/>
      </c>
      <c r="CW2" s="19">
        <f>SQRT(Parameters!$B$5)*Factors!CW2+SQRT(Parameters!$B$6)*Factors!CW6+SQRT(Parameters!$B$7)*Factors!CW9+SQRT(Parameters!$B$9)*NORM.S.INV(RAND())</f>
        <v/>
      </c>
      <c r="CX2" s="19">
        <f>SQRT(Parameters!$B$5)*Factors!CX2+SQRT(Parameters!$B$6)*Factors!CX6+SQRT(Parameters!$B$7)*Factors!CX9+SQRT(Parameters!$B$9)*NORM.S.INV(RAND())</f>
        <v/>
      </c>
      <c r="CY2" s="19">
        <f>SQRT(Parameters!$B$5)*Factors!CY2+SQRT(Parameters!$B$6)*Factors!CY6+SQRT(Parameters!$B$7)*Factors!CY9+SQRT(Parameters!$B$9)*NORM.S.INV(RAND())</f>
        <v/>
      </c>
      <c r="CZ2" s="19">
        <f>SQRT(Parameters!$B$5)*Factors!CZ2+SQRT(Parameters!$B$6)*Factors!CZ6+SQRT(Parameters!$B$7)*Factors!CZ9+SQRT(Parameters!$B$9)*NORM.S.INV(RAND())</f>
        <v/>
      </c>
      <c r="DA2" s="19">
        <f>SQRT(Parameters!$B$5)*Factors!DA2+SQRT(Parameters!$B$6)*Factors!DA6+SQRT(Parameters!$B$7)*Factors!DA9+SQRT(Parameters!$B$9)*NORM.S.INV(RAND())</f>
        <v/>
      </c>
      <c r="DB2" s="19">
        <f>SQRT(Parameters!$B$5)*Factors!DB2+SQRT(Parameters!$B$6)*Factors!DB6+SQRT(Parameters!$B$7)*Factors!DB9+SQRT(Parameters!$B$9)*NORM.S.INV(RAND())</f>
        <v/>
      </c>
      <c r="DC2" s="19">
        <f>SQRT(Parameters!$B$5)*Factors!DC2+SQRT(Parameters!$B$6)*Factors!DC6+SQRT(Parameters!$B$7)*Factors!DC9+SQRT(Parameters!$B$9)*NORM.S.INV(RAND())</f>
        <v/>
      </c>
      <c r="DD2" s="19">
        <f>SQRT(Parameters!$B$5)*Factors!DD2+SQRT(Parameters!$B$6)*Factors!DD6+SQRT(Parameters!$B$7)*Factors!DD9+SQRT(Parameters!$B$9)*NORM.S.INV(RAND())</f>
        <v/>
      </c>
      <c r="DE2" s="19">
        <f>SQRT(Parameters!$B$5)*Factors!DE2+SQRT(Parameters!$B$6)*Factors!DE6+SQRT(Parameters!$B$7)*Factors!DE9+SQRT(Parameters!$B$9)*NORM.S.INV(RAND())</f>
        <v/>
      </c>
      <c r="DF2" s="19">
        <f>SQRT(Parameters!$B$5)*Factors!DF2+SQRT(Parameters!$B$6)*Factors!DF6+SQRT(Parameters!$B$7)*Factors!DF9+SQRT(Parameters!$B$9)*NORM.S.INV(RAND())</f>
        <v/>
      </c>
      <c r="DG2" s="19">
        <f>SQRT(Parameters!$B$5)*Factors!DG2+SQRT(Parameters!$B$6)*Factors!DG6+SQRT(Parameters!$B$7)*Factors!DG9+SQRT(Parameters!$B$9)*NORM.S.INV(RAND())</f>
        <v/>
      </c>
      <c r="DH2" s="19">
        <f>SQRT(Parameters!$B$5)*Factors!DH2+SQRT(Parameters!$B$6)*Factors!DH6+SQRT(Parameters!$B$7)*Factors!DH9+SQRT(Parameters!$B$9)*NORM.S.INV(RAND())</f>
        <v/>
      </c>
      <c r="DI2" s="19">
        <f>SQRT(Parameters!$B$5)*Factors!DI2+SQRT(Parameters!$B$6)*Factors!DI6+SQRT(Parameters!$B$7)*Factors!DI9+SQRT(Parameters!$B$9)*NORM.S.INV(RAND())</f>
        <v/>
      </c>
      <c r="DJ2" s="19">
        <f>SQRT(Parameters!$B$5)*Factors!DJ2+SQRT(Parameters!$B$6)*Factors!DJ6+SQRT(Parameters!$B$7)*Factors!DJ9+SQRT(Parameters!$B$9)*NORM.S.INV(RAND())</f>
        <v/>
      </c>
      <c r="DK2" s="19">
        <f>SQRT(Parameters!$B$5)*Factors!DK2+SQRT(Parameters!$B$6)*Factors!DK6+SQRT(Parameters!$B$7)*Factors!DK9+SQRT(Parameters!$B$9)*NORM.S.INV(RAND())</f>
        <v/>
      </c>
      <c r="DL2" s="19">
        <f>SQRT(Parameters!$B$5)*Factors!DL2+SQRT(Parameters!$B$6)*Factors!DL6+SQRT(Parameters!$B$7)*Factors!DL9+SQRT(Parameters!$B$9)*NORM.S.INV(RAND())</f>
        <v/>
      </c>
      <c r="DM2" s="19">
        <f>SQRT(Parameters!$B$5)*Factors!DM2+SQRT(Parameters!$B$6)*Factors!DM6+SQRT(Parameters!$B$7)*Factors!DM9+SQRT(Parameters!$B$9)*NORM.S.INV(RAND())</f>
        <v/>
      </c>
      <c r="DN2" s="19">
        <f>SQRT(Parameters!$B$5)*Factors!DN2+SQRT(Parameters!$B$6)*Factors!DN6+SQRT(Parameters!$B$7)*Factors!DN9+SQRT(Parameters!$B$9)*NORM.S.INV(RAND())</f>
        <v/>
      </c>
      <c r="DO2" s="19">
        <f>SQRT(Parameters!$B$5)*Factors!DO2+SQRT(Parameters!$B$6)*Factors!DO6+SQRT(Parameters!$B$7)*Factors!DO9+SQRT(Parameters!$B$9)*NORM.S.INV(RAND())</f>
        <v/>
      </c>
      <c r="DP2" s="19">
        <f>SQRT(Parameters!$B$5)*Factors!DP2+SQRT(Parameters!$B$6)*Factors!DP6+SQRT(Parameters!$B$7)*Factors!DP9+SQRT(Parameters!$B$9)*NORM.S.INV(RAND())</f>
        <v/>
      </c>
      <c r="DQ2" s="19">
        <f>SQRT(Parameters!$B$5)*Factors!DQ2+SQRT(Parameters!$B$6)*Factors!DQ6+SQRT(Parameters!$B$7)*Factors!DQ9+SQRT(Parameters!$B$9)*NORM.S.INV(RAND())</f>
        <v/>
      </c>
      <c r="DR2" s="19">
        <f>SQRT(Parameters!$B$5)*Factors!DR2+SQRT(Parameters!$B$6)*Factors!DR6+SQRT(Parameters!$B$7)*Factors!DR9+SQRT(Parameters!$B$9)*NORM.S.INV(RAND())</f>
        <v/>
      </c>
      <c r="DS2" s="19">
        <f>SQRT(Parameters!$B$5)*Factors!DS2+SQRT(Parameters!$B$6)*Factors!DS6+SQRT(Parameters!$B$7)*Factors!DS9+SQRT(Parameters!$B$9)*NORM.S.INV(RAND())</f>
        <v/>
      </c>
      <c r="DT2" s="19">
        <f>SQRT(Parameters!$B$5)*Factors!DT2+SQRT(Parameters!$B$6)*Factors!DT6+SQRT(Parameters!$B$7)*Factors!DT9+SQRT(Parameters!$B$9)*NORM.S.INV(RAND())</f>
        <v/>
      </c>
      <c r="DU2" s="19">
        <f>SQRT(Parameters!$B$5)*Factors!DU2+SQRT(Parameters!$B$6)*Factors!DU6+SQRT(Parameters!$B$7)*Factors!DU9+SQRT(Parameters!$B$9)*NORM.S.INV(RAND())</f>
        <v/>
      </c>
      <c r="DV2" s="19">
        <f>SQRT(Parameters!$B$5)*Factors!DV2+SQRT(Parameters!$B$6)*Factors!DV6+SQRT(Parameters!$B$7)*Factors!DV9+SQRT(Parameters!$B$9)*NORM.S.INV(RAND())</f>
        <v/>
      </c>
      <c r="DW2" s="19">
        <f>SQRT(Parameters!$B$5)*Factors!DW2+SQRT(Parameters!$B$6)*Factors!DW6+SQRT(Parameters!$B$7)*Factors!DW9+SQRT(Parameters!$B$9)*NORM.S.INV(RAND())</f>
        <v/>
      </c>
      <c r="DX2" s="19">
        <f>SQRT(Parameters!$B$5)*Factors!DX2+SQRT(Parameters!$B$6)*Factors!DX6+SQRT(Parameters!$B$7)*Factors!DX9+SQRT(Parameters!$B$9)*NORM.S.INV(RAND())</f>
        <v/>
      </c>
      <c r="DY2" s="19">
        <f>SQRT(Parameters!$B$5)*Factors!DY2+SQRT(Parameters!$B$6)*Factors!DY6+SQRT(Parameters!$B$7)*Factors!DY9+SQRT(Parameters!$B$9)*NORM.S.INV(RAND())</f>
        <v/>
      </c>
      <c r="DZ2" s="19">
        <f>SQRT(Parameters!$B$5)*Factors!DZ2+SQRT(Parameters!$B$6)*Factors!DZ6+SQRT(Parameters!$B$7)*Factors!DZ9+SQRT(Parameters!$B$9)*NORM.S.INV(RAND())</f>
        <v/>
      </c>
      <c r="EA2" s="19">
        <f>SQRT(Parameters!$B$5)*Factors!EA2+SQRT(Parameters!$B$6)*Factors!EA6+SQRT(Parameters!$B$7)*Factors!EA9+SQRT(Parameters!$B$9)*NORM.S.INV(RAND())</f>
        <v/>
      </c>
      <c r="EB2" s="19">
        <f>SQRT(Parameters!$B$5)*Factors!EB2+SQRT(Parameters!$B$6)*Factors!EB6+SQRT(Parameters!$B$7)*Factors!EB9+SQRT(Parameters!$B$9)*NORM.S.INV(RAND())</f>
        <v/>
      </c>
      <c r="EC2" s="19">
        <f>SQRT(Parameters!$B$5)*Factors!EC2+SQRT(Parameters!$B$6)*Factors!EC6+SQRT(Parameters!$B$7)*Factors!EC9+SQRT(Parameters!$B$9)*NORM.S.INV(RAND())</f>
        <v/>
      </c>
      <c r="ED2" s="19">
        <f>SQRT(Parameters!$B$5)*Factors!ED2+SQRT(Parameters!$B$6)*Factors!ED6+SQRT(Parameters!$B$7)*Factors!ED9+SQRT(Parameters!$B$9)*NORM.S.INV(RAND())</f>
        <v/>
      </c>
      <c r="EE2" s="19">
        <f>SQRT(Parameters!$B$5)*Factors!EE2+SQRT(Parameters!$B$6)*Factors!EE6+SQRT(Parameters!$B$7)*Factors!EE9+SQRT(Parameters!$B$9)*NORM.S.INV(RAND())</f>
        <v/>
      </c>
      <c r="EF2" s="19">
        <f>SQRT(Parameters!$B$5)*Factors!EF2+SQRT(Parameters!$B$6)*Factors!EF6+SQRT(Parameters!$B$7)*Factors!EF9+SQRT(Parameters!$B$9)*NORM.S.INV(RAND())</f>
        <v/>
      </c>
      <c r="EG2" s="19">
        <f>SQRT(Parameters!$B$5)*Factors!EG2+SQRT(Parameters!$B$6)*Factors!EG6+SQRT(Parameters!$B$7)*Factors!EG9+SQRT(Parameters!$B$9)*NORM.S.INV(RAND())</f>
        <v/>
      </c>
      <c r="EH2" s="19">
        <f>SQRT(Parameters!$B$5)*Factors!EH2+SQRT(Parameters!$B$6)*Factors!EH6+SQRT(Parameters!$B$7)*Factors!EH9+SQRT(Parameters!$B$9)*NORM.S.INV(RAND())</f>
        <v/>
      </c>
      <c r="EI2" s="19">
        <f>SQRT(Parameters!$B$5)*Factors!EI2+SQRT(Parameters!$B$6)*Factors!EI6+SQRT(Parameters!$B$7)*Factors!EI9+SQRT(Parameters!$B$9)*NORM.S.INV(RAND())</f>
        <v/>
      </c>
      <c r="EJ2" s="19">
        <f>SQRT(Parameters!$B$5)*Factors!EJ2+SQRT(Parameters!$B$6)*Factors!EJ6+SQRT(Parameters!$B$7)*Factors!EJ9+SQRT(Parameters!$B$9)*NORM.S.INV(RAND())</f>
        <v/>
      </c>
      <c r="EK2" s="19">
        <f>SQRT(Parameters!$B$5)*Factors!EK2+SQRT(Parameters!$B$6)*Factors!EK6+SQRT(Parameters!$B$7)*Factors!EK9+SQRT(Parameters!$B$9)*NORM.S.INV(RAND())</f>
        <v/>
      </c>
      <c r="EL2" s="19">
        <f>SQRT(Parameters!$B$5)*Factors!EL2+SQRT(Parameters!$B$6)*Factors!EL6+SQRT(Parameters!$B$7)*Factors!EL9+SQRT(Parameters!$B$9)*NORM.S.INV(RAND())</f>
        <v/>
      </c>
      <c r="EM2" s="19">
        <f>SQRT(Parameters!$B$5)*Factors!EM2+SQRT(Parameters!$B$6)*Factors!EM6+SQRT(Parameters!$B$7)*Factors!EM9+SQRT(Parameters!$B$9)*NORM.S.INV(RAND())</f>
        <v/>
      </c>
      <c r="EN2" s="19">
        <f>SQRT(Parameters!$B$5)*Factors!EN2+SQRT(Parameters!$B$6)*Factors!EN6+SQRT(Parameters!$B$7)*Factors!EN9+SQRT(Parameters!$B$9)*NORM.S.INV(RAND())</f>
        <v/>
      </c>
      <c r="EO2" s="19">
        <f>SQRT(Parameters!$B$5)*Factors!EO2+SQRT(Parameters!$B$6)*Factors!EO6+SQRT(Parameters!$B$7)*Factors!EO9+SQRT(Parameters!$B$9)*NORM.S.INV(RAND())</f>
        <v/>
      </c>
      <c r="EP2" s="19">
        <f>SQRT(Parameters!$B$5)*Factors!EP2+SQRT(Parameters!$B$6)*Factors!EP6+SQRT(Parameters!$B$7)*Factors!EP9+SQRT(Parameters!$B$9)*NORM.S.INV(RAND())</f>
        <v/>
      </c>
      <c r="EQ2" s="19">
        <f>SQRT(Parameters!$B$5)*Factors!EQ2+SQRT(Parameters!$B$6)*Factors!EQ6+SQRT(Parameters!$B$7)*Factors!EQ9+SQRT(Parameters!$B$9)*NORM.S.INV(RAND())</f>
        <v/>
      </c>
      <c r="ER2" s="19">
        <f>SQRT(Parameters!$B$5)*Factors!ER2+SQRT(Parameters!$B$6)*Factors!ER6+SQRT(Parameters!$B$7)*Factors!ER9+SQRT(Parameters!$B$9)*NORM.S.INV(RAND())</f>
        <v/>
      </c>
      <c r="ES2" s="19">
        <f>SQRT(Parameters!$B$5)*Factors!ES2+SQRT(Parameters!$B$6)*Factors!ES6+SQRT(Parameters!$B$7)*Factors!ES9+SQRT(Parameters!$B$9)*NORM.S.INV(RAND())</f>
        <v/>
      </c>
      <c r="ET2" s="19">
        <f>SQRT(Parameters!$B$5)*Factors!ET2+SQRT(Parameters!$B$6)*Factors!ET6+SQRT(Parameters!$B$7)*Factors!ET9+SQRT(Parameters!$B$9)*NORM.S.INV(RAND())</f>
        <v/>
      </c>
      <c r="EU2" s="19">
        <f>SQRT(Parameters!$B$5)*Factors!EU2+SQRT(Parameters!$B$6)*Factors!EU6+SQRT(Parameters!$B$7)*Factors!EU9+SQRT(Parameters!$B$9)*NORM.S.INV(RAND())</f>
        <v/>
      </c>
      <c r="EV2" s="19">
        <f>SQRT(Parameters!$B$5)*Factors!EV2+SQRT(Parameters!$B$6)*Factors!EV6+SQRT(Parameters!$B$7)*Factors!EV9+SQRT(Parameters!$B$9)*NORM.S.INV(RAND())</f>
        <v/>
      </c>
      <c r="EW2" s="19">
        <f>SQRT(Parameters!$B$5)*Factors!EW2+SQRT(Parameters!$B$6)*Factors!EW6+SQRT(Parameters!$B$7)*Factors!EW9+SQRT(Parameters!$B$9)*NORM.S.INV(RAND())</f>
        <v/>
      </c>
      <c r="EX2" s="19">
        <f>SQRT(Parameters!$B$5)*Factors!EX2+SQRT(Parameters!$B$6)*Factors!EX6+SQRT(Parameters!$B$7)*Factors!EX9+SQRT(Parameters!$B$9)*NORM.S.INV(RAND())</f>
        <v/>
      </c>
      <c r="EY2" s="19">
        <f>SQRT(Parameters!$B$5)*Factors!EY2+SQRT(Parameters!$B$6)*Factors!EY6+SQRT(Parameters!$B$7)*Factors!EY9+SQRT(Parameters!$B$9)*NORM.S.INV(RAND())</f>
        <v/>
      </c>
      <c r="EZ2" s="19">
        <f>SQRT(Parameters!$B$5)*Factors!EZ2+SQRT(Parameters!$B$6)*Factors!EZ6+SQRT(Parameters!$B$7)*Factors!EZ9+SQRT(Parameters!$B$9)*NORM.S.INV(RAND())</f>
        <v/>
      </c>
      <c r="FA2" s="19">
        <f>SQRT(Parameters!$B$5)*Factors!FA2+SQRT(Parameters!$B$6)*Factors!FA6+SQRT(Parameters!$B$7)*Factors!FA9+SQRT(Parameters!$B$9)*NORM.S.INV(RAND())</f>
        <v/>
      </c>
      <c r="FB2" s="19">
        <f>SQRT(Parameters!$B$5)*Factors!FB2+SQRT(Parameters!$B$6)*Factors!FB6+SQRT(Parameters!$B$7)*Factors!FB9+SQRT(Parameters!$B$9)*NORM.S.INV(RAND())</f>
        <v/>
      </c>
      <c r="FC2" s="19">
        <f>SQRT(Parameters!$B$5)*Factors!FC2+SQRT(Parameters!$B$6)*Factors!FC6+SQRT(Parameters!$B$7)*Factors!FC9+SQRT(Parameters!$B$9)*NORM.S.INV(RAND())</f>
        <v/>
      </c>
      <c r="FD2" s="19">
        <f>SQRT(Parameters!$B$5)*Factors!FD2+SQRT(Parameters!$B$6)*Factors!FD6+SQRT(Parameters!$B$7)*Factors!FD9+SQRT(Parameters!$B$9)*NORM.S.INV(RAND())</f>
        <v/>
      </c>
      <c r="FE2" s="19">
        <f>SQRT(Parameters!$B$5)*Factors!FE2+SQRT(Parameters!$B$6)*Factors!FE6+SQRT(Parameters!$B$7)*Factors!FE9+SQRT(Parameters!$B$9)*NORM.S.INV(RAND())</f>
        <v/>
      </c>
      <c r="FF2" s="19">
        <f>SQRT(Parameters!$B$5)*Factors!FF2+SQRT(Parameters!$B$6)*Factors!FF6+SQRT(Parameters!$B$7)*Factors!FF9+SQRT(Parameters!$B$9)*NORM.S.INV(RAND())</f>
        <v/>
      </c>
      <c r="FG2" s="19">
        <f>SQRT(Parameters!$B$5)*Factors!FG2+SQRT(Parameters!$B$6)*Factors!FG6+SQRT(Parameters!$B$7)*Factors!FG9+SQRT(Parameters!$B$9)*NORM.S.INV(RAND())</f>
        <v/>
      </c>
      <c r="FH2" s="19">
        <f>SQRT(Parameters!$B$5)*Factors!FH2+SQRT(Parameters!$B$6)*Factors!FH6+SQRT(Parameters!$B$7)*Factors!FH9+SQRT(Parameters!$B$9)*NORM.S.INV(RAND())</f>
        <v/>
      </c>
      <c r="FI2" s="19">
        <f>SQRT(Parameters!$B$5)*Factors!FI2+SQRT(Parameters!$B$6)*Factors!FI6+SQRT(Parameters!$B$7)*Factors!FI9+SQRT(Parameters!$B$9)*NORM.S.INV(RAND())</f>
        <v/>
      </c>
      <c r="FJ2" s="19">
        <f>SQRT(Parameters!$B$5)*Factors!FJ2+SQRT(Parameters!$B$6)*Factors!FJ6+SQRT(Parameters!$B$7)*Factors!FJ9+SQRT(Parameters!$B$9)*NORM.S.INV(RAND())</f>
        <v/>
      </c>
      <c r="FK2" s="19">
        <f>SQRT(Parameters!$B$5)*Factors!FK2+SQRT(Parameters!$B$6)*Factors!FK6+SQRT(Parameters!$B$7)*Factors!FK9+SQRT(Parameters!$B$9)*NORM.S.INV(RAND())</f>
        <v/>
      </c>
      <c r="FL2" s="19">
        <f>SQRT(Parameters!$B$5)*Factors!FL2+SQRT(Parameters!$B$6)*Factors!FL6+SQRT(Parameters!$B$7)*Factors!FL9+SQRT(Parameters!$B$9)*NORM.S.INV(RAND())</f>
        <v/>
      </c>
      <c r="FM2" s="19">
        <f>SQRT(Parameters!$B$5)*Factors!FM2+SQRT(Parameters!$B$6)*Factors!FM6+SQRT(Parameters!$B$7)*Factors!FM9+SQRT(Parameters!$B$9)*NORM.S.INV(RAND())</f>
        <v/>
      </c>
      <c r="FN2" s="19">
        <f>SQRT(Parameters!$B$5)*Factors!FN2+SQRT(Parameters!$B$6)*Factors!FN6+SQRT(Parameters!$B$7)*Factors!FN9+SQRT(Parameters!$B$9)*NORM.S.INV(RAND())</f>
        <v/>
      </c>
      <c r="FO2" s="19">
        <f>SQRT(Parameters!$B$5)*Factors!FO2+SQRT(Parameters!$B$6)*Factors!FO6+SQRT(Parameters!$B$7)*Factors!FO9+SQRT(Parameters!$B$9)*NORM.S.INV(RAND())</f>
        <v/>
      </c>
      <c r="FP2" s="19">
        <f>SQRT(Parameters!$B$5)*Factors!FP2+SQRT(Parameters!$B$6)*Factors!FP6+SQRT(Parameters!$B$7)*Factors!FP9+SQRT(Parameters!$B$9)*NORM.S.INV(RAND())</f>
        <v/>
      </c>
      <c r="FQ2" s="19">
        <f>SQRT(Parameters!$B$5)*Factors!FQ2+SQRT(Parameters!$B$6)*Factors!FQ6+SQRT(Parameters!$B$7)*Factors!FQ9+SQRT(Parameters!$B$9)*NORM.S.INV(RAND())</f>
        <v/>
      </c>
      <c r="FR2" s="19">
        <f>SQRT(Parameters!$B$5)*Factors!FR2+SQRT(Parameters!$B$6)*Factors!FR6+SQRT(Parameters!$B$7)*Factors!FR9+SQRT(Parameters!$B$9)*NORM.S.INV(RAND())</f>
        <v/>
      </c>
      <c r="FS2" s="19">
        <f>SQRT(Parameters!$B$5)*Factors!FS2+SQRT(Parameters!$B$6)*Factors!FS6+SQRT(Parameters!$B$7)*Factors!FS9+SQRT(Parameters!$B$9)*NORM.S.INV(RAND())</f>
        <v/>
      </c>
      <c r="FT2" s="19">
        <f>SQRT(Parameters!$B$5)*Factors!FT2+SQRT(Parameters!$B$6)*Factors!FT6+SQRT(Parameters!$B$7)*Factors!FT9+SQRT(Parameters!$B$9)*NORM.S.INV(RAND())</f>
        <v/>
      </c>
      <c r="FU2" s="19">
        <f>SQRT(Parameters!$B$5)*Factors!FU2+SQRT(Parameters!$B$6)*Factors!FU6+SQRT(Parameters!$B$7)*Factors!FU9+SQRT(Parameters!$B$9)*NORM.S.INV(RAND())</f>
        <v/>
      </c>
      <c r="FV2" s="19">
        <f>SQRT(Parameters!$B$5)*Factors!FV2+SQRT(Parameters!$B$6)*Factors!FV6+SQRT(Parameters!$B$7)*Factors!FV9+SQRT(Parameters!$B$9)*NORM.S.INV(RAND())</f>
        <v/>
      </c>
      <c r="FW2" s="19">
        <f>SQRT(Parameters!$B$5)*Factors!FW2+SQRT(Parameters!$B$6)*Factors!FW6+SQRT(Parameters!$B$7)*Factors!FW9+SQRT(Parameters!$B$9)*NORM.S.INV(RAND())</f>
        <v/>
      </c>
      <c r="FX2" s="19">
        <f>SQRT(Parameters!$B$5)*Factors!FX2+SQRT(Parameters!$B$6)*Factors!FX6+SQRT(Parameters!$B$7)*Factors!FX9+SQRT(Parameters!$B$9)*NORM.S.INV(RAND())</f>
        <v/>
      </c>
      <c r="FY2" s="19">
        <f>SQRT(Parameters!$B$5)*Factors!FY2+SQRT(Parameters!$B$6)*Factors!FY6+SQRT(Parameters!$B$7)*Factors!FY9+SQRT(Parameters!$B$9)*NORM.S.INV(RAND())</f>
        <v/>
      </c>
      <c r="FZ2" s="19">
        <f>SQRT(Parameters!$B$5)*Factors!FZ2+SQRT(Parameters!$B$6)*Factors!FZ6+SQRT(Parameters!$B$7)*Factors!FZ9+SQRT(Parameters!$B$9)*NORM.S.INV(RAND())</f>
        <v/>
      </c>
      <c r="GA2" s="19">
        <f>SQRT(Parameters!$B$5)*Factors!GA2+SQRT(Parameters!$B$6)*Factors!GA6+SQRT(Parameters!$B$7)*Factors!GA9+SQRT(Parameters!$B$9)*NORM.S.INV(RAND())</f>
        <v/>
      </c>
      <c r="GB2" s="19">
        <f>SQRT(Parameters!$B$5)*Factors!GB2+SQRT(Parameters!$B$6)*Factors!GB6+SQRT(Parameters!$B$7)*Factors!GB9+SQRT(Parameters!$B$9)*NORM.S.INV(RAND())</f>
        <v/>
      </c>
      <c r="GC2" s="19">
        <f>SQRT(Parameters!$B$5)*Factors!GC2+SQRT(Parameters!$B$6)*Factors!GC6+SQRT(Parameters!$B$7)*Factors!GC9+SQRT(Parameters!$B$9)*NORM.S.INV(RAND())</f>
        <v/>
      </c>
      <c r="GD2" s="19">
        <f>SQRT(Parameters!$B$5)*Factors!GD2+SQRT(Parameters!$B$6)*Factors!GD6+SQRT(Parameters!$B$7)*Factors!GD9+SQRT(Parameters!$B$9)*NORM.S.INV(RAND())</f>
        <v/>
      </c>
      <c r="GE2" s="19">
        <f>SQRT(Parameters!$B$5)*Factors!GE2+SQRT(Parameters!$B$6)*Factors!GE6+SQRT(Parameters!$B$7)*Factors!GE9+SQRT(Parameters!$B$9)*NORM.S.INV(RAND())</f>
        <v/>
      </c>
      <c r="GF2" s="19">
        <f>SQRT(Parameters!$B$5)*Factors!GF2+SQRT(Parameters!$B$6)*Factors!GF6+SQRT(Parameters!$B$7)*Factors!GF9+SQRT(Parameters!$B$9)*NORM.S.INV(RAND())</f>
        <v/>
      </c>
      <c r="GG2" s="19">
        <f>SQRT(Parameters!$B$5)*Factors!GG2+SQRT(Parameters!$B$6)*Factors!GG6+SQRT(Parameters!$B$7)*Factors!GG9+SQRT(Parameters!$B$9)*NORM.S.INV(RAND())</f>
        <v/>
      </c>
      <c r="GH2" s="19">
        <f>SQRT(Parameters!$B$5)*Factors!GH2+SQRT(Parameters!$B$6)*Factors!GH6+SQRT(Parameters!$B$7)*Factors!GH9+SQRT(Parameters!$B$9)*NORM.S.INV(RAND())</f>
        <v/>
      </c>
      <c r="GI2" s="19">
        <f>SQRT(Parameters!$B$5)*Factors!GI2+SQRT(Parameters!$B$6)*Factors!GI6+SQRT(Parameters!$B$7)*Factors!GI9+SQRT(Parameters!$B$9)*NORM.S.INV(RAND())</f>
        <v/>
      </c>
      <c r="GJ2" s="19">
        <f>SQRT(Parameters!$B$5)*Factors!GJ2+SQRT(Parameters!$B$6)*Factors!GJ6+SQRT(Parameters!$B$7)*Factors!GJ9+SQRT(Parameters!$B$9)*NORM.S.INV(RAND())</f>
        <v/>
      </c>
      <c r="GK2" s="19">
        <f>SQRT(Parameters!$B$5)*Factors!GK2+SQRT(Parameters!$B$6)*Factors!GK6+SQRT(Parameters!$B$7)*Factors!GK9+SQRT(Parameters!$B$9)*NORM.S.INV(RAND())</f>
        <v/>
      </c>
      <c r="GL2" s="19">
        <f>SQRT(Parameters!$B$5)*Factors!GL2+SQRT(Parameters!$B$6)*Factors!GL6+SQRT(Parameters!$B$7)*Factors!GL9+SQRT(Parameters!$B$9)*NORM.S.INV(RAND())</f>
        <v/>
      </c>
      <c r="GM2" s="19">
        <f>SQRT(Parameters!$B$5)*Factors!GM2+SQRT(Parameters!$B$6)*Factors!GM6+SQRT(Parameters!$B$7)*Factors!GM9+SQRT(Parameters!$B$9)*NORM.S.INV(RAND())</f>
        <v/>
      </c>
      <c r="GN2" s="19">
        <f>SQRT(Parameters!$B$5)*Factors!GN2+SQRT(Parameters!$B$6)*Factors!GN6+SQRT(Parameters!$B$7)*Factors!GN9+SQRT(Parameters!$B$9)*NORM.S.INV(RAND())</f>
        <v/>
      </c>
      <c r="GO2" s="19">
        <f>SQRT(Parameters!$B$5)*Factors!GO2+SQRT(Parameters!$B$6)*Factors!GO6+SQRT(Parameters!$B$7)*Factors!GO9+SQRT(Parameters!$B$9)*NORM.S.INV(RAND())</f>
        <v/>
      </c>
      <c r="GP2" s="19">
        <f>SQRT(Parameters!$B$5)*Factors!GP2+SQRT(Parameters!$B$6)*Factors!GP6+SQRT(Parameters!$B$7)*Factors!GP9+SQRT(Parameters!$B$9)*NORM.S.INV(RAND())</f>
        <v/>
      </c>
      <c r="GQ2" s="19">
        <f>SQRT(Parameters!$B$5)*Factors!GQ2+SQRT(Parameters!$B$6)*Factors!GQ6+SQRT(Parameters!$B$7)*Factors!GQ9+SQRT(Parameters!$B$9)*NORM.S.INV(RAND())</f>
        <v/>
      </c>
      <c r="GR2" s="19">
        <f>SQRT(Parameters!$B$5)*Factors!GR2+SQRT(Parameters!$B$6)*Factors!GR6+SQRT(Parameters!$B$7)*Factors!GR9+SQRT(Parameters!$B$9)*NORM.S.INV(RAND())</f>
        <v/>
      </c>
      <c r="GS2" s="19">
        <f>SQRT(Parameters!$B$5)*Factors!GS2+SQRT(Parameters!$B$6)*Factors!GS6+SQRT(Parameters!$B$7)*Factors!GS9+SQRT(Parameters!$B$9)*NORM.S.INV(RAND())</f>
        <v/>
      </c>
      <c r="GT2" s="19">
        <f>SQRT(Parameters!$B$5)*Factors!GT2+SQRT(Parameters!$B$6)*Factors!GT6+SQRT(Parameters!$B$7)*Factors!GT9+SQRT(Parameters!$B$9)*NORM.S.INV(RAND())</f>
        <v/>
      </c>
      <c r="GU2" s="19">
        <f>SQRT(Parameters!$B$5)*Factors!GU2+SQRT(Parameters!$B$6)*Factors!GU6+SQRT(Parameters!$B$7)*Factors!GU9+SQRT(Parameters!$B$9)*NORM.S.INV(RAND())</f>
        <v/>
      </c>
      <c r="GV2" s="19">
        <f>SQRT(Parameters!$B$5)*Factors!GV2+SQRT(Parameters!$B$6)*Factors!GV6+SQRT(Parameters!$B$7)*Factors!GV9+SQRT(Parameters!$B$9)*NORM.S.INV(RAND())</f>
        <v/>
      </c>
      <c r="GW2" s="19">
        <f>SQRT(Parameters!$B$5)*Factors!GW2+SQRT(Parameters!$B$6)*Factors!GW6+SQRT(Parameters!$B$7)*Factors!GW9+SQRT(Parameters!$B$9)*NORM.S.INV(RAND())</f>
        <v/>
      </c>
      <c r="GX2" s="19">
        <f>SQRT(Parameters!$B$5)*Factors!GX2+SQRT(Parameters!$B$6)*Factors!GX6+SQRT(Parameters!$B$7)*Factors!GX9+SQRT(Parameters!$B$9)*NORM.S.INV(RAND())</f>
        <v/>
      </c>
      <c r="GY2" s="19">
        <f>SQRT(Parameters!$B$5)*Factors!GY2+SQRT(Parameters!$B$6)*Factors!GY6+SQRT(Parameters!$B$7)*Factors!GY9+SQRT(Parameters!$B$9)*NORM.S.INV(RAND())</f>
        <v/>
      </c>
      <c r="GZ2" s="19">
        <f>SQRT(Parameters!$B$5)*Factors!GZ2+SQRT(Parameters!$B$6)*Factors!GZ6+SQRT(Parameters!$B$7)*Factors!GZ9+SQRT(Parameters!$B$9)*NORM.S.INV(RAND())</f>
        <v/>
      </c>
      <c r="HA2" s="19">
        <f>SQRT(Parameters!$B$5)*Factors!HA2+SQRT(Parameters!$B$6)*Factors!HA6+SQRT(Parameters!$B$7)*Factors!HA9+SQRT(Parameters!$B$9)*NORM.S.INV(RAND())</f>
        <v/>
      </c>
      <c r="HB2" s="19">
        <f>SQRT(Parameters!$B$5)*Factors!HB2+SQRT(Parameters!$B$6)*Factors!HB6+SQRT(Parameters!$B$7)*Factors!HB9+SQRT(Parameters!$B$9)*NORM.S.INV(RAND())</f>
        <v/>
      </c>
      <c r="HC2" s="19">
        <f>SQRT(Parameters!$B$5)*Factors!HC2+SQRT(Parameters!$B$6)*Factors!HC6+SQRT(Parameters!$B$7)*Factors!HC9+SQRT(Parameters!$B$9)*NORM.S.INV(RAND())</f>
        <v/>
      </c>
      <c r="HD2" s="19">
        <f>SQRT(Parameters!$B$5)*Factors!HD2+SQRT(Parameters!$B$6)*Factors!HD6+SQRT(Parameters!$B$7)*Factors!HD9+SQRT(Parameters!$B$9)*NORM.S.INV(RAND())</f>
        <v/>
      </c>
      <c r="HE2" s="19">
        <f>SQRT(Parameters!$B$5)*Factors!HE2+SQRT(Parameters!$B$6)*Factors!HE6+SQRT(Parameters!$B$7)*Factors!HE9+SQRT(Parameters!$B$9)*NORM.S.INV(RAND())</f>
        <v/>
      </c>
      <c r="HF2" s="19">
        <f>SQRT(Parameters!$B$5)*Factors!HF2+SQRT(Parameters!$B$6)*Factors!HF6+SQRT(Parameters!$B$7)*Factors!HF9+SQRT(Parameters!$B$9)*NORM.S.INV(RAND())</f>
        <v/>
      </c>
      <c r="HG2" s="19">
        <f>SQRT(Parameters!$B$5)*Factors!HG2+SQRT(Parameters!$B$6)*Factors!HG6+SQRT(Parameters!$B$7)*Factors!HG9+SQRT(Parameters!$B$9)*NORM.S.INV(RAND())</f>
        <v/>
      </c>
      <c r="HH2" s="19">
        <f>SQRT(Parameters!$B$5)*Factors!HH2+SQRT(Parameters!$B$6)*Factors!HH6+SQRT(Parameters!$B$7)*Factors!HH9+SQRT(Parameters!$B$9)*NORM.S.INV(RAND())</f>
        <v/>
      </c>
      <c r="HI2" s="19">
        <f>SQRT(Parameters!$B$5)*Factors!HI2+SQRT(Parameters!$B$6)*Factors!HI6+SQRT(Parameters!$B$7)*Factors!HI9+SQRT(Parameters!$B$9)*NORM.S.INV(RAND())</f>
        <v/>
      </c>
      <c r="HJ2" s="19">
        <f>SQRT(Parameters!$B$5)*Factors!HJ2+SQRT(Parameters!$B$6)*Factors!HJ6+SQRT(Parameters!$B$7)*Factors!HJ9+SQRT(Parameters!$B$9)*NORM.S.INV(RAND())</f>
        <v/>
      </c>
      <c r="HK2" s="19">
        <f>SQRT(Parameters!$B$5)*Factors!HK2+SQRT(Parameters!$B$6)*Factors!HK6+SQRT(Parameters!$B$7)*Factors!HK9+SQRT(Parameters!$B$9)*NORM.S.INV(RAND())</f>
        <v/>
      </c>
      <c r="HL2" s="19">
        <f>SQRT(Parameters!$B$5)*Factors!HL2+SQRT(Parameters!$B$6)*Factors!HL6+SQRT(Parameters!$B$7)*Factors!HL9+SQRT(Parameters!$B$9)*NORM.S.INV(RAND())</f>
        <v/>
      </c>
      <c r="HM2" s="19">
        <f>SQRT(Parameters!$B$5)*Factors!HM2+SQRT(Parameters!$B$6)*Factors!HM6+SQRT(Parameters!$B$7)*Factors!HM9+SQRT(Parameters!$B$9)*NORM.S.INV(RAND())</f>
        <v/>
      </c>
      <c r="HN2" s="19">
        <f>SQRT(Parameters!$B$5)*Factors!HN2+SQRT(Parameters!$B$6)*Factors!HN6+SQRT(Parameters!$B$7)*Factors!HN9+SQRT(Parameters!$B$9)*NORM.S.INV(RAND())</f>
        <v/>
      </c>
      <c r="HO2" s="19">
        <f>SQRT(Parameters!$B$5)*Factors!HO2+SQRT(Parameters!$B$6)*Factors!HO6+SQRT(Parameters!$B$7)*Factors!HO9+SQRT(Parameters!$B$9)*NORM.S.INV(RAND())</f>
        <v/>
      </c>
      <c r="HP2" s="19">
        <f>SQRT(Parameters!$B$5)*Factors!HP2+SQRT(Parameters!$B$6)*Factors!HP6+SQRT(Parameters!$B$7)*Factors!HP9+SQRT(Parameters!$B$9)*NORM.S.INV(RAND())</f>
        <v/>
      </c>
      <c r="HQ2" s="19">
        <f>SQRT(Parameters!$B$5)*Factors!HQ2+SQRT(Parameters!$B$6)*Factors!HQ6+SQRT(Parameters!$B$7)*Factors!HQ9+SQRT(Parameters!$B$9)*NORM.S.INV(RAND())</f>
        <v/>
      </c>
      <c r="HR2" s="19">
        <f>SQRT(Parameters!$B$5)*Factors!HR2+SQRT(Parameters!$B$6)*Factors!HR6+SQRT(Parameters!$B$7)*Factors!HR9+SQRT(Parameters!$B$9)*NORM.S.INV(RAND())</f>
        <v/>
      </c>
      <c r="HS2" s="19">
        <f>SQRT(Parameters!$B$5)*Factors!HS2+SQRT(Parameters!$B$6)*Factors!HS6+SQRT(Parameters!$B$7)*Factors!HS9+SQRT(Parameters!$B$9)*NORM.S.INV(RAND())</f>
        <v/>
      </c>
      <c r="HT2" s="19">
        <f>SQRT(Parameters!$B$5)*Factors!HT2+SQRT(Parameters!$B$6)*Factors!HT6+SQRT(Parameters!$B$7)*Factors!HT9+SQRT(Parameters!$B$9)*NORM.S.INV(RAND())</f>
        <v/>
      </c>
      <c r="HU2" s="19">
        <f>SQRT(Parameters!$B$5)*Factors!HU2+SQRT(Parameters!$B$6)*Factors!HU6+SQRT(Parameters!$B$7)*Factors!HU9+SQRT(Parameters!$B$9)*NORM.S.INV(RAND())</f>
        <v/>
      </c>
      <c r="HV2" s="19">
        <f>SQRT(Parameters!$B$5)*Factors!HV2+SQRT(Parameters!$B$6)*Factors!HV6+SQRT(Parameters!$B$7)*Factors!HV9+SQRT(Parameters!$B$9)*NORM.S.INV(RAND())</f>
        <v/>
      </c>
      <c r="HW2" s="19">
        <f>SQRT(Parameters!$B$5)*Factors!HW2+SQRT(Parameters!$B$6)*Factors!HW6+SQRT(Parameters!$B$7)*Factors!HW9+SQRT(Parameters!$B$9)*NORM.S.INV(RAND())</f>
        <v/>
      </c>
      <c r="HX2" s="19">
        <f>SQRT(Parameters!$B$5)*Factors!HX2+SQRT(Parameters!$B$6)*Factors!HX6+SQRT(Parameters!$B$7)*Factors!HX9+SQRT(Parameters!$B$9)*NORM.S.INV(RAND())</f>
        <v/>
      </c>
      <c r="HY2" s="19">
        <f>SQRT(Parameters!$B$5)*Factors!HY2+SQRT(Parameters!$B$6)*Factors!HY6+SQRT(Parameters!$B$7)*Factors!HY9+SQRT(Parameters!$B$9)*NORM.S.INV(RAND())</f>
        <v/>
      </c>
      <c r="HZ2" s="19">
        <f>SQRT(Parameters!$B$5)*Factors!HZ2+SQRT(Parameters!$B$6)*Factors!HZ6+SQRT(Parameters!$B$7)*Factors!HZ9+SQRT(Parameters!$B$9)*NORM.S.INV(RAND())</f>
        <v/>
      </c>
      <c r="IA2" s="19">
        <f>SQRT(Parameters!$B$5)*Factors!IA2+SQRT(Parameters!$B$6)*Factors!IA6+SQRT(Parameters!$B$7)*Factors!IA9+SQRT(Parameters!$B$9)*NORM.S.INV(RAND())</f>
        <v/>
      </c>
      <c r="IB2" s="19">
        <f>SQRT(Parameters!$B$5)*Factors!IB2+SQRT(Parameters!$B$6)*Factors!IB6+SQRT(Parameters!$B$7)*Factors!IB9+SQRT(Parameters!$B$9)*NORM.S.INV(RAND())</f>
        <v/>
      </c>
      <c r="IC2" s="19">
        <f>SQRT(Parameters!$B$5)*Factors!IC2+SQRT(Parameters!$B$6)*Factors!IC6+SQRT(Parameters!$B$7)*Factors!IC9+SQRT(Parameters!$B$9)*NORM.S.INV(RAND())</f>
        <v/>
      </c>
      <c r="ID2" s="19">
        <f>SQRT(Parameters!$B$5)*Factors!ID2+SQRT(Parameters!$B$6)*Factors!ID6+SQRT(Parameters!$B$7)*Factors!ID9+SQRT(Parameters!$B$9)*NORM.S.INV(RAND())</f>
        <v/>
      </c>
      <c r="IE2" s="19">
        <f>SQRT(Parameters!$B$5)*Factors!IE2+SQRT(Parameters!$B$6)*Factors!IE6+SQRT(Parameters!$B$7)*Factors!IE9+SQRT(Parameters!$B$9)*NORM.S.INV(RAND())</f>
        <v/>
      </c>
      <c r="IF2" s="19">
        <f>SQRT(Parameters!$B$5)*Factors!IF2+SQRT(Parameters!$B$6)*Factors!IF6+SQRT(Parameters!$B$7)*Factors!IF9+SQRT(Parameters!$B$9)*NORM.S.INV(RAND())</f>
        <v/>
      </c>
      <c r="IG2" s="19">
        <f>SQRT(Parameters!$B$5)*Factors!IG2+SQRT(Parameters!$B$6)*Factors!IG6+SQRT(Parameters!$B$7)*Factors!IG9+SQRT(Parameters!$B$9)*NORM.S.INV(RAND())</f>
        <v/>
      </c>
      <c r="IH2" s="19">
        <f>SQRT(Parameters!$B$5)*Factors!IH2+SQRT(Parameters!$B$6)*Factors!IH6+SQRT(Parameters!$B$7)*Factors!IH9+SQRT(Parameters!$B$9)*NORM.S.INV(RAND())</f>
        <v/>
      </c>
      <c r="II2" s="19">
        <f>SQRT(Parameters!$B$5)*Factors!II2+SQRT(Parameters!$B$6)*Factors!II6+SQRT(Parameters!$B$7)*Factors!II9+SQRT(Parameters!$B$9)*NORM.S.INV(RAND())</f>
        <v/>
      </c>
      <c r="IJ2" s="19">
        <f>SQRT(Parameters!$B$5)*Factors!IJ2+SQRT(Parameters!$B$6)*Factors!IJ6+SQRT(Parameters!$B$7)*Factors!IJ9+SQRT(Parameters!$B$9)*NORM.S.INV(RAND())</f>
        <v/>
      </c>
      <c r="IK2" s="19">
        <f>SQRT(Parameters!$B$5)*Factors!IK2+SQRT(Parameters!$B$6)*Factors!IK6+SQRT(Parameters!$B$7)*Factors!IK9+SQRT(Parameters!$B$9)*NORM.S.INV(RAND())</f>
        <v/>
      </c>
      <c r="IL2" s="19">
        <f>SQRT(Parameters!$B$5)*Factors!IL2+SQRT(Parameters!$B$6)*Factors!IL6+SQRT(Parameters!$B$7)*Factors!IL9+SQRT(Parameters!$B$9)*NORM.S.INV(RAND())</f>
        <v/>
      </c>
      <c r="IM2" s="19">
        <f>SQRT(Parameters!$B$5)*Factors!IM2+SQRT(Parameters!$B$6)*Factors!IM6+SQRT(Parameters!$B$7)*Factors!IM9+SQRT(Parameters!$B$9)*NORM.S.INV(RAND())</f>
        <v/>
      </c>
      <c r="IN2" s="19">
        <f>SQRT(Parameters!$B$5)*Factors!IN2+SQRT(Parameters!$B$6)*Factors!IN6+SQRT(Parameters!$B$7)*Factors!IN9+SQRT(Parameters!$B$9)*NORM.S.INV(RAND())</f>
        <v/>
      </c>
      <c r="IO2" s="19">
        <f>SQRT(Parameters!$B$5)*Factors!IO2+SQRT(Parameters!$B$6)*Factors!IO6+SQRT(Parameters!$B$7)*Factors!IO9+SQRT(Parameters!$B$9)*NORM.S.INV(RAND())</f>
        <v/>
      </c>
      <c r="IP2" s="19">
        <f>SQRT(Parameters!$B$5)*Factors!IP2+SQRT(Parameters!$B$6)*Factors!IP6+SQRT(Parameters!$B$7)*Factors!IP9+SQRT(Parameters!$B$9)*NORM.S.INV(RAND())</f>
        <v/>
      </c>
      <c r="IQ2" s="19">
        <f>SQRT(Parameters!$B$5)*Factors!IQ2+SQRT(Parameters!$B$6)*Factors!IQ6+SQRT(Parameters!$B$7)*Factors!IQ9+SQRT(Parameters!$B$9)*NORM.S.INV(RAND())</f>
        <v/>
      </c>
      <c r="IR2" s="19">
        <f>SQRT(Parameters!$B$5)*Factors!IR2+SQRT(Parameters!$B$6)*Factors!IR6+SQRT(Parameters!$B$7)*Factors!IR9+SQRT(Parameters!$B$9)*NORM.S.INV(RAND())</f>
        <v/>
      </c>
      <c r="IS2" s="19">
        <f>SQRT(Parameters!$B$5)*Factors!IS2+SQRT(Parameters!$B$6)*Factors!IS6+SQRT(Parameters!$B$7)*Factors!IS9+SQRT(Parameters!$B$9)*NORM.S.INV(RAND())</f>
        <v/>
      </c>
      <c r="IT2" s="19">
        <f>SQRT(Parameters!$B$5)*Factors!IT2+SQRT(Parameters!$B$6)*Factors!IT6+SQRT(Parameters!$B$7)*Factors!IT9+SQRT(Parameters!$B$9)*NORM.S.INV(RAND())</f>
        <v/>
      </c>
      <c r="IU2" s="19">
        <f>SQRT(Parameters!$B$5)*Factors!IU2+SQRT(Parameters!$B$6)*Factors!IU6+SQRT(Parameters!$B$7)*Factors!IU9+SQRT(Parameters!$B$9)*NORM.S.INV(RAND())</f>
        <v/>
      </c>
      <c r="IV2" s="19">
        <f>SQRT(Parameters!$B$5)*Factors!IV2+SQRT(Parameters!$B$6)*Factors!IV6+SQRT(Parameters!$B$7)*Factors!IV9+SQRT(Parameters!$B$9)*NORM.S.INV(RAND())</f>
        <v/>
      </c>
      <c r="IW2" s="19">
        <f>SQRT(Parameters!$B$5)*Factors!IW2+SQRT(Parameters!$B$6)*Factors!IW6+SQRT(Parameters!$B$7)*Factors!IW9+SQRT(Parameters!$B$9)*NORM.S.INV(RAND())</f>
        <v/>
      </c>
      <c r="IX2" s="19">
        <f>SQRT(Parameters!$B$5)*Factors!IX2+SQRT(Parameters!$B$6)*Factors!IX6+SQRT(Parameters!$B$7)*Factors!IX9+SQRT(Parameters!$B$9)*NORM.S.INV(RAND())</f>
        <v/>
      </c>
      <c r="IY2" s="19">
        <f>SQRT(Parameters!$B$5)*Factors!IY2+SQRT(Parameters!$B$6)*Factors!IY6+SQRT(Parameters!$B$7)*Factors!IY9+SQRT(Parameters!$B$9)*NORM.S.INV(RAND())</f>
        <v/>
      </c>
      <c r="IZ2" s="19">
        <f>SQRT(Parameters!$B$5)*Factors!IZ2+SQRT(Parameters!$B$6)*Factors!IZ6+SQRT(Parameters!$B$7)*Factors!IZ9+SQRT(Parameters!$B$9)*NORM.S.INV(RAND())</f>
        <v/>
      </c>
      <c r="JA2" s="19">
        <f>SQRT(Parameters!$B$5)*Factors!JA2+SQRT(Parameters!$B$6)*Factors!JA6+SQRT(Parameters!$B$7)*Factors!JA9+SQRT(Parameters!$B$9)*NORM.S.INV(RAND())</f>
        <v/>
      </c>
      <c r="JB2" s="19">
        <f>SQRT(Parameters!$B$5)*Factors!JB2+SQRT(Parameters!$B$6)*Factors!JB6+SQRT(Parameters!$B$7)*Factors!JB9+SQRT(Parameters!$B$9)*NORM.S.INV(RAND())</f>
        <v/>
      </c>
      <c r="JC2" s="19">
        <f>SQRT(Parameters!$B$5)*Factors!JC2+SQRT(Parameters!$B$6)*Factors!JC6+SQRT(Parameters!$B$7)*Factors!JC9+SQRT(Parameters!$B$9)*NORM.S.INV(RAND())</f>
        <v/>
      </c>
      <c r="JD2" s="19">
        <f>SQRT(Parameters!$B$5)*Factors!JD2+SQRT(Parameters!$B$6)*Factors!JD6+SQRT(Parameters!$B$7)*Factors!JD9+SQRT(Parameters!$B$9)*NORM.S.INV(RAND())</f>
        <v/>
      </c>
      <c r="JE2" s="19">
        <f>SQRT(Parameters!$B$5)*Factors!JE2+SQRT(Parameters!$B$6)*Factors!JE6+SQRT(Parameters!$B$7)*Factors!JE9+SQRT(Parameters!$B$9)*NORM.S.INV(RAND())</f>
        <v/>
      </c>
      <c r="JF2" s="19">
        <f>SQRT(Parameters!$B$5)*Factors!JF2+SQRT(Parameters!$B$6)*Factors!JF6+SQRT(Parameters!$B$7)*Factors!JF9+SQRT(Parameters!$B$9)*NORM.S.INV(RAND())</f>
        <v/>
      </c>
      <c r="JG2" s="19">
        <f>SQRT(Parameters!$B$5)*Factors!JG2+SQRT(Parameters!$B$6)*Factors!JG6+SQRT(Parameters!$B$7)*Factors!JG9+SQRT(Parameters!$B$9)*NORM.S.INV(RAND())</f>
        <v/>
      </c>
      <c r="JH2" s="19">
        <f>SQRT(Parameters!$B$5)*Factors!JH2+SQRT(Parameters!$B$6)*Factors!JH6+SQRT(Parameters!$B$7)*Factors!JH9+SQRT(Parameters!$B$9)*NORM.S.INV(RAND())</f>
        <v/>
      </c>
      <c r="JI2" s="19">
        <f>SQRT(Parameters!$B$5)*Factors!JI2+SQRT(Parameters!$B$6)*Factors!JI6+SQRT(Parameters!$B$7)*Factors!JI9+SQRT(Parameters!$B$9)*NORM.S.INV(RAND())</f>
        <v/>
      </c>
      <c r="JJ2" s="19">
        <f>SQRT(Parameters!$B$5)*Factors!JJ2+SQRT(Parameters!$B$6)*Factors!JJ6+SQRT(Parameters!$B$7)*Factors!JJ9+SQRT(Parameters!$B$9)*NORM.S.INV(RAND())</f>
        <v/>
      </c>
      <c r="JK2" s="19">
        <f>SQRT(Parameters!$B$5)*Factors!JK2+SQRT(Parameters!$B$6)*Factors!JK6+SQRT(Parameters!$B$7)*Factors!JK9+SQRT(Parameters!$B$9)*NORM.S.INV(RAND())</f>
        <v/>
      </c>
      <c r="JL2" s="19">
        <f>SQRT(Parameters!$B$5)*Factors!JL2+SQRT(Parameters!$B$6)*Factors!JL6+SQRT(Parameters!$B$7)*Factors!JL9+SQRT(Parameters!$B$9)*NORM.S.INV(RAND())</f>
        <v/>
      </c>
      <c r="JM2" s="19">
        <f>SQRT(Parameters!$B$5)*Factors!JM2+SQRT(Parameters!$B$6)*Factors!JM6+SQRT(Parameters!$B$7)*Factors!JM9+SQRT(Parameters!$B$9)*NORM.S.INV(RAND())</f>
        <v/>
      </c>
      <c r="JN2" s="19">
        <f>SQRT(Parameters!$B$5)*Factors!JN2+SQRT(Parameters!$B$6)*Factors!JN6+SQRT(Parameters!$B$7)*Factors!JN9+SQRT(Parameters!$B$9)*NORM.S.INV(RAND())</f>
        <v/>
      </c>
      <c r="JO2" s="19">
        <f>SQRT(Parameters!$B$5)*Factors!JO2+SQRT(Parameters!$B$6)*Factors!JO6+SQRT(Parameters!$B$7)*Factors!JO9+SQRT(Parameters!$B$9)*NORM.S.INV(RAND())</f>
        <v/>
      </c>
      <c r="JP2" s="19">
        <f>SQRT(Parameters!$B$5)*Factors!JP2+SQRT(Parameters!$B$6)*Factors!JP6+SQRT(Parameters!$B$7)*Factors!JP9+SQRT(Parameters!$B$9)*NORM.S.INV(RAND())</f>
        <v/>
      </c>
      <c r="JQ2" s="19">
        <f>SQRT(Parameters!$B$5)*Factors!JQ2+SQRT(Parameters!$B$6)*Factors!JQ6+SQRT(Parameters!$B$7)*Factors!JQ9+SQRT(Parameters!$B$9)*NORM.S.INV(RAND())</f>
        <v/>
      </c>
      <c r="JR2" s="19">
        <f>SQRT(Parameters!$B$5)*Factors!JR2+SQRT(Parameters!$B$6)*Factors!JR6+SQRT(Parameters!$B$7)*Factors!JR9+SQRT(Parameters!$B$9)*NORM.S.INV(RAND())</f>
        <v/>
      </c>
      <c r="JS2" s="19">
        <f>SQRT(Parameters!$B$5)*Factors!JS2+SQRT(Parameters!$B$6)*Factors!JS6+SQRT(Parameters!$B$7)*Factors!JS9+SQRT(Parameters!$B$9)*NORM.S.INV(RAND())</f>
        <v/>
      </c>
      <c r="JT2" s="19">
        <f>SQRT(Parameters!$B$5)*Factors!JT2+SQRT(Parameters!$B$6)*Factors!JT6+SQRT(Parameters!$B$7)*Factors!JT9+SQRT(Parameters!$B$9)*NORM.S.INV(RAND())</f>
        <v/>
      </c>
      <c r="JU2" s="19">
        <f>SQRT(Parameters!$B$5)*Factors!JU2+SQRT(Parameters!$B$6)*Factors!JU6+SQRT(Parameters!$B$7)*Factors!JU9+SQRT(Parameters!$B$9)*NORM.S.INV(RAND())</f>
        <v/>
      </c>
      <c r="JV2" s="19">
        <f>SQRT(Parameters!$B$5)*Factors!JV2+SQRT(Parameters!$B$6)*Factors!JV6+SQRT(Parameters!$B$7)*Factors!JV9+SQRT(Parameters!$B$9)*NORM.S.INV(RAND())</f>
        <v/>
      </c>
      <c r="JW2" s="19">
        <f>SQRT(Parameters!$B$5)*Factors!JW2+SQRT(Parameters!$B$6)*Factors!JW6+SQRT(Parameters!$B$7)*Factors!JW9+SQRT(Parameters!$B$9)*NORM.S.INV(RAND())</f>
        <v/>
      </c>
      <c r="JX2" s="19">
        <f>SQRT(Parameters!$B$5)*Factors!JX2+SQRT(Parameters!$B$6)*Factors!JX6+SQRT(Parameters!$B$7)*Factors!JX9+SQRT(Parameters!$B$9)*NORM.S.INV(RAND())</f>
        <v/>
      </c>
      <c r="JY2" s="19">
        <f>SQRT(Parameters!$B$5)*Factors!JY2+SQRT(Parameters!$B$6)*Factors!JY6+SQRT(Parameters!$B$7)*Factors!JY9+SQRT(Parameters!$B$9)*NORM.S.INV(RAND())</f>
        <v/>
      </c>
      <c r="JZ2" s="19">
        <f>SQRT(Parameters!$B$5)*Factors!JZ2+SQRT(Parameters!$B$6)*Factors!JZ6+SQRT(Parameters!$B$7)*Factors!JZ9+SQRT(Parameters!$B$9)*NORM.S.INV(RAND())</f>
        <v/>
      </c>
      <c r="KA2" s="19">
        <f>SQRT(Parameters!$B$5)*Factors!KA2+SQRT(Parameters!$B$6)*Factors!KA6+SQRT(Parameters!$B$7)*Factors!KA9+SQRT(Parameters!$B$9)*NORM.S.INV(RAND())</f>
        <v/>
      </c>
      <c r="KB2" s="19">
        <f>SQRT(Parameters!$B$5)*Factors!KB2+SQRT(Parameters!$B$6)*Factors!KB6+SQRT(Parameters!$B$7)*Factors!KB9+SQRT(Parameters!$B$9)*NORM.S.INV(RAND())</f>
        <v/>
      </c>
      <c r="KC2" s="19">
        <f>SQRT(Parameters!$B$5)*Factors!KC2+SQRT(Parameters!$B$6)*Factors!KC6+SQRT(Parameters!$B$7)*Factors!KC9+SQRT(Parameters!$B$9)*NORM.S.INV(RAND())</f>
        <v/>
      </c>
      <c r="KD2" s="19">
        <f>SQRT(Parameters!$B$5)*Factors!KD2+SQRT(Parameters!$B$6)*Factors!KD6+SQRT(Parameters!$B$7)*Factors!KD9+SQRT(Parameters!$B$9)*NORM.S.INV(RAND())</f>
        <v/>
      </c>
      <c r="KE2" s="19">
        <f>SQRT(Parameters!$B$5)*Factors!KE2+SQRT(Parameters!$B$6)*Factors!KE6+SQRT(Parameters!$B$7)*Factors!KE9+SQRT(Parameters!$B$9)*NORM.S.INV(RAND())</f>
        <v/>
      </c>
      <c r="KF2" s="19">
        <f>SQRT(Parameters!$B$5)*Factors!KF2+SQRT(Parameters!$B$6)*Factors!KF6+SQRT(Parameters!$B$7)*Factors!KF9+SQRT(Parameters!$B$9)*NORM.S.INV(RAND())</f>
        <v/>
      </c>
      <c r="KG2" s="19">
        <f>SQRT(Parameters!$B$5)*Factors!KG2+SQRT(Parameters!$B$6)*Factors!KG6+SQRT(Parameters!$B$7)*Factors!KG9+SQRT(Parameters!$B$9)*NORM.S.INV(RAND())</f>
        <v/>
      </c>
      <c r="KH2" s="19">
        <f>SQRT(Parameters!$B$5)*Factors!KH2+SQRT(Parameters!$B$6)*Factors!KH6+SQRT(Parameters!$B$7)*Factors!KH9+SQRT(Parameters!$B$9)*NORM.S.INV(RAND())</f>
        <v/>
      </c>
      <c r="KI2" s="19">
        <f>SQRT(Parameters!$B$5)*Factors!KI2+SQRT(Parameters!$B$6)*Factors!KI6+SQRT(Parameters!$B$7)*Factors!KI9+SQRT(Parameters!$B$9)*NORM.S.INV(RAND())</f>
        <v/>
      </c>
      <c r="KJ2" s="19">
        <f>SQRT(Parameters!$B$5)*Factors!KJ2+SQRT(Parameters!$B$6)*Factors!KJ6+SQRT(Parameters!$B$7)*Factors!KJ9+SQRT(Parameters!$B$9)*NORM.S.INV(RAND())</f>
        <v/>
      </c>
      <c r="KK2" s="19">
        <f>SQRT(Parameters!$B$5)*Factors!KK2+SQRT(Parameters!$B$6)*Factors!KK6+SQRT(Parameters!$B$7)*Factors!KK9+SQRT(Parameters!$B$9)*NORM.S.INV(RAND())</f>
        <v/>
      </c>
      <c r="KL2" s="19">
        <f>SQRT(Parameters!$B$5)*Factors!KL2+SQRT(Parameters!$B$6)*Factors!KL6+SQRT(Parameters!$B$7)*Factors!KL9+SQRT(Parameters!$B$9)*NORM.S.INV(RAND())</f>
        <v/>
      </c>
      <c r="KM2" s="19">
        <f>SQRT(Parameters!$B$5)*Factors!KM2+SQRT(Parameters!$B$6)*Factors!KM6+SQRT(Parameters!$B$7)*Factors!KM9+SQRT(Parameters!$B$9)*NORM.S.INV(RAND())</f>
        <v/>
      </c>
      <c r="KN2" s="19">
        <f>SQRT(Parameters!$B$5)*Factors!KN2+SQRT(Parameters!$B$6)*Factors!KN6+SQRT(Parameters!$B$7)*Factors!KN9+SQRT(Parameters!$B$9)*NORM.S.INV(RAND())</f>
        <v/>
      </c>
      <c r="KO2" s="19">
        <f>SQRT(Parameters!$B$5)*Factors!KO2+SQRT(Parameters!$B$6)*Factors!KO6+SQRT(Parameters!$B$7)*Factors!KO9+SQRT(Parameters!$B$9)*NORM.S.INV(RAND())</f>
        <v/>
      </c>
      <c r="KP2" s="19">
        <f>SQRT(Parameters!$B$5)*Factors!KP2+SQRT(Parameters!$B$6)*Factors!KP6+SQRT(Parameters!$B$7)*Factors!KP9+SQRT(Parameters!$B$9)*NORM.S.INV(RAND())</f>
        <v/>
      </c>
      <c r="KQ2" s="19">
        <f>SQRT(Parameters!$B$5)*Factors!KQ2+SQRT(Parameters!$B$6)*Factors!KQ6+SQRT(Parameters!$B$7)*Factors!KQ9+SQRT(Parameters!$B$9)*NORM.S.INV(RAND())</f>
        <v/>
      </c>
      <c r="KR2" s="19">
        <f>SQRT(Parameters!$B$5)*Factors!KR2+SQRT(Parameters!$B$6)*Factors!KR6+SQRT(Parameters!$B$7)*Factors!KR9+SQRT(Parameters!$B$9)*NORM.S.INV(RAND())</f>
        <v/>
      </c>
      <c r="KS2" s="19">
        <f>SQRT(Parameters!$B$5)*Factors!KS2+SQRT(Parameters!$B$6)*Factors!KS6+SQRT(Parameters!$B$7)*Factors!KS9+SQRT(Parameters!$B$9)*NORM.S.INV(RAND())</f>
        <v/>
      </c>
      <c r="KT2" s="19">
        <f>SQRT(Parameters!$B$5)*Factors!KT2+SQRT(Parameters!$B$6)*Factors!KT6+SQRT(Parameters!$B$7)*Factors!KT9+SQRT(Parameters!$B$9)*NORM.S.INV(RAND())</f>
        <v/>
      </c>
      <c r="KU2" s="19">
        <f>SQRT(Parameters!$B$5)*Factors!KU2+SQRT(Parameters!$B$6)*Factors!KU6+SQRT(Parameters!$B$7)*Factors!KU9+SQRT(Parameters!$B$9)*NORM.S.INV(RAND())</f>
        <v/>
      </c>
      <c r="KV2" s="19">
        <f>SQRT(Parameters!$B$5)*Factors!KV2+SQRT(Parameters!$B$6)*Factors!KV6+SQRT(Parameters!$B$7)*Factors!KV9+SQRT(Parameters!$B$9)*NORM.S.INV(RAND())</f>
        <v/>
      </c>
      <c r="KW2" s="19">
        <f>SQRT(Parameters!$B$5)*Factors!KW2+SQRT(Parameters!$B$6)*Factors!KW6+SQRT(Parameters!$B$7)*Factors!KW9+SQRT(Parameters!$B$9)*NORM.S.INV(RAND())</f>
        <v/>
      </c>
      <c r="KX2" s="19">
        <f>SQRT(Parameters!$B$5)*Factors!KX2+SQRT(Parameters!$B$6)*Factors!KX6+SQRT(Parameters!$B$7)*Factors!KX9+SQRT(Parameters!$B$9)*NORM.S.INV(RAND())</f>
        <v/>
      </c>
      <c r="KY2" s="19">
        <f>SQRT(Parameters!$B$5)*Factors!KY2+SQRT(Parameters!$B$6)*Factors!KY6+SQRT(Parameters!$B$7)*Factors!KY9+SQRT(Parameters!$B$9)*NORM.S.INV(RAND())</f>
        <v/>
      </c>
      <c r="KZ2" s="19">
        <f>SQRT(Parameters!$B$5)*Factors!KZ2+SQRT(Parameters!$B$6)*Factors!KZ6+SQRT(Parameters!$B$7)*Factors!KZ9+SQRT(Parameters!$B$9)*NORM.S.INV(RAND())</f>
        <v/>
      </c>
      <c r="LA2" s="19">
        <f>SQRT(Parameters!$B$5)*Factors!LA2+SQRT(Parameters!$B$6)*Factors!LA6+SQRT(Parameters!$B$7)*Factors!LA9+SQRT(Parameters!$B$9)*NORM.S.INV(RAND())</f>
        <v/>
      </c>
      <c r="LB2" s="19">
        <f>SQRT(Parameters!$B$5)*Factors!LB2+SQRT(Parameters!$B$6)*Factors!LB6+SQRT(Parameters!$B$7)*Factors!LB9+SQRT(Parameters!$B$9)*NORM.S.INV(RAND())</f>
        <v/>
      </c>
      <c r="LC2" s="19">
        <f>SQRT(Parameters!$B$5)*Factors!LC2+SQRT(Parameters!$B$6)*Factors!LC6+SQRT(Parameters!$B$7)*Factors!LC9+SQRT(Parameters!$B$9)*NORM.S.INV(RAND())</f>
        <v/>
      </c>
      <c r="LD2" s="19">
        <f>SQRT(Parameters!$B$5)*Factors!LD2+SQRT(Parameters!$B$6)*Factors!LD6+SQRT(Parameters!$B$7)*Factors!LD9+SQRT(Parameters!$B$9)*NORM.S.INV(RAND())</f>
        <v/>
      </c>
      <c r="LE2" s="19">
        <f>SQRT(Parameters!$B$5)*Factors!LE2+SQRT(Parameters!$B$6)*Factors!LE6+SQRT(Parameters!$B$7)*Factors!LE9+SQRT(Parameters!$B$9)*NORM.S.INV(RAND())</f>
        <v/>
      </c>
      <c r="LF2" s="19">
        <f>SQRT(Parameters!$B$5)*Factors!LF2+SQRT(Parameters!$B$6)*Factors!LF6+SQRT(Parameters!$B$7)*Factors!LF9+SQRT(Parameters!$B$9)*NORM.S.INV(RAND())</f>
        <v/>
      </c>
      <c r="LG2" s="19">
        <f>SQRT(Parameters!$B$5)*Factors!LG2+SQRT(Parameters!$B$6)*Factors!LG6+SQRT(Parameters!$B$7)*Factors!LG9+SQRT(Parameters!$B$9)*NORM.S.INV(RAND())</f>
        <v/>
      </c>
      <c r="LH2" s="19">
        <f>SQRT(Parameters!$B$5)*Factors!LH2+SQRT(Parameters!$B$6)*Factors!LH6+SQRT(Parameters!$B$7)*Factors!LH9+SQRT(Parameters!$B$9)*NORM.S.INV(RAND())</f>
        <v/>
      </c>
      <c r="LI2" s="19">
        <f>SQRT(Parameters!$B$5)*Factors!LI2+SQRT(Parameters!$B$6)*Factors!LI6+SQRT(Parameters!$B$7)*Factors!LI9+SQRT(Parameters!$B$9)*NORM.S.INV(RAND())</f>
        <v/>
      </c>
      <c r="LJ2" s="19">
        <f>SQRT(Parameters!$B$5)*Factors!LJ2+SQRT(Parameters!$B$6)*Factors!LJ6+SQRT(Parameters!$B$7)*Factors!LJ9+SQRT(Parameters!$B$9)*NORM.S.INV(RAND())</f>
        <v/>
      </c>
      <c r="LK2" s="19">
        <f>SQRT(Parameters!$B$5)*Factors!LK2+SQRT(Parameters!$B$6)*Factors!LK6+SQRT(Parameters!$B$7)*Factors!LK9+SQRT(Parameters!$B$9)*NORM.S.INV(RAND())</f>
        <v/>
      </c>
      <c r="LL2" s="19">
        <f>SQRT(Parameters!$B$5)*Factors!LL2+SQRT(Parameters!$B$6)*Factors!LL6+SQRT(Parameters!$B$7)*Factors!LL9+SQRT(Parameters!$B$9)*NORM.S.INV(RAND())</f>
        <v/>
      </c>
      <c r="LM2" s="19">
        <f>SQRT(Parameters!$B$5)*Factors!LM2+SQRT(Parameters!$B$6)*Factors!LM6+SQRT(Parameters!$B$7)*Factors!LM9+SQRT(Parameters!$B$9)*NORM.S.INV(RAND())</f>
        <v/>
      </c>
      <c r="LN2" s="19">
        <f>SQRT(Parameters!$B$5)*Factors!LN2+SQRT(Parameters!$B$6)*Factors!LN6+SQRT(Parameters!$B$7)*Factors!LN9+SQRT(Parameters!$B$9)*NORM.S.INV(RAND())</f>
        <v/>
      </c>
      <c r="LO2" s="19">
        <f>SQRT(Parameters!$B$5)*Factors!LO2+SQRT(Parameters!$B$6)*Factors!LO6+SQRT(Parameters!$B$7)*Factors!LO9+SQRT(Parameters!$B$9)*NORM.S.INV(RAND())</f>
        <v/>
      </c>
      <c r="LP2" s="19">
        <f>SQRT(Parameters!$B$5)*Factors!LP2+SQRT(Parameters!$B$6)*Factors!LP6+SQRT(Parameters!$B$7)*Factors!LP9+SQRT(Parameters!$B$9)*NORM.S.INV(RAND())</f>
        <v/>
      </c>
      <c r="LQ2" s="19">
        <f>SQRT(Parameters!$B$5)*Factors!LQ2+SQRT(Parameters!$B$6)*Factors!LQ6+SQRT(Parameters!$B$7)*Factors!LQ9+SQRT(Parameters!$B$9)*NORM.S.INV(RAND())</f>
        <v/>
      </c>
      <c r="LR2" s="19">
        <f>SQRT(Parameters!$B$5)*Factors!LR2+SQRT(Parameters!$B$6)*Factors!LR6+SQRT(Parameters!$B$7)*Factors!LR9+SQRT(Parameters!$B$9)*NORM.S.INV(RAND())</f>
        <v/>
      </c>
      <c r="LS2" s="19">
        <f>SQRT(Parameters!$B$5)*Factors!LS2+SQRT(Parameters!$B$6)*Factors!LS6+SQRT(Parameters!$B$7)*Factors!LS9+SQRT(Parameters!$B$9)*NORM.S.INV(RAND())</f>
        <v/>
      </c>
      <c r="LT2" s="19">
        <f>SQRT(Parameters!$B$5)*Factors!LT2+SQRT(Parameters!$B$6)*Factors!LT6+SQRT(Parameters!$B$7)*Factors!LT9+SQRT(Parameters!$B$9)*NORM.S.INV(RAND())</f>
        <v/>
      </c>
      <c r="LU2" s="19">
        <f>SQRT(Parameters!$B$5)*Factors!LU2+SQRT(Parameters!$B$6)*Factors!LU6+SQRT(Parameters!$B$7)*Factors!LU9+SQRT(Parameters!$B$9)*NORM.S.INV(RAND())</f>
        <v/>
      </c>
      <c r="LV2" s="19">
        <f>SQRT(Parameters!$B$5)*Factors!LV2+SQRT(Parameters!$B$6)*Factors!LV6+SQRT(Parameters!$B$7)*Factors!LV9+SQRT(Parameters!$B$9)*NORM.S.INV(RAND())</f>
        <v/>
      </c>
      <c r="LW2" s="19">
        <f>SQRT(Parameters!$B$5)*Factors!LW2+SQRT(Parameters!$B$6)*Factors!LW6+SQRT(Parameters!$B$7)*Factors!LW9+SQRT(Parameters!$B$9)*NORM.S.INV(RAND())</f>
        <v/>
      </c>
      <c r="LX2" s="19">
        <f>SQRT(Parameters!$B$5)*Factors!LX2+SQRT(Parameters!$B$6)*Factors!LX6+SQRT(Parameters!$B$7)*Factors!LX9+SQRT(Parameters!$B$9)*NORM.S.INV(RAND())</f>
        <v/>
      </c>
      <c r="LY2" s="19">
        <f>SQRT(Parameters!$B$5)*Factors!LY2+SQRT(Parameters!$B$6)*Factors!LY6+SQRT(Parameters!$B$7)*Factors!LY9+SQRT(Parameters!$B$9)*NORM.S.INV(RAND())</f>
        <v/>
      </c>
      <c r="LZ2" s="19">
        <f>SQRT(Parameters!$B$5)*Factors!LZ2+SQRT(Parameters!$B$6)*Factors!LZ6+SQRT(Parameters!$B$7)*Factors!LZ9+SQRT(Parameters!$B$9)*NORM.S.INV(RAND())</f>
        <v/>
      </c>
      <c r="MA2" s="19">
        <f>SQRT(Parameters!$B$5)*Factors!MA2+SQRT(Parameters!$B$6)*Factors!MA6+SQRT(Parameters!$B$7)*Factors!MA9+SQRT(Parameters!$B$9)*NORM.S.INV(RAND())</f>
        <v/>
      </c>
      <c r="MB2" s="19">
        <f>SQRT(Parameters!$B$5)*Factors!MB2+SQRT(Parameters!$B$6)*Factors!MB6+SQRT(Parameters!$B$7)*Factors!MB9+SQRT(Parameters!$B$9)*NORM.S.INV(RAND())</f>
        <v/>
      </c>
      <c r="MC2" s="19">
        <f>SQRT(Parameters!$B$5)*Factors!MC2+SQRT(Parameters!$B$6)*Factors!MC6+SQRT(Parameters!$B$7)*Factors!MC9+SQRT(Parameters!$B$9)*NORM.S.INV(RAND())</f>
        <v/>
      </c>
      <c r="MD2" s="19">
        <f>SQRT(Parameters!$B$5)*Factors!MD2+SQRT(Parameters!$B$6)*Factors!MD6+SQRT(Parameters!$B$7)*Factors!MD9+SQRT(Parameters!$B$9)*NORM.S.INV(RAND())</f>
        <v/>
      </c>
      <c r="ME2" s="19">
        <f>SQRT(Parameters!$B$5)*Factors!ME2+SQRT(Parameters!$B$6)*Factors!ME6+SQRT(Parameters!$B$7)*Factors!ME9+SQRT(Parameters!$B$9)*NORM.S.INV(RAND())</f>
        <v/>
      </c>
      <c r="MF2" s="19">
        <f>SQRT(Parameters!$B$5)*Factors!MF2+SQRT(Parameters!$B$6)*Factors!MF6+SQRT(Parameters!$B$7)*Factors!MF9+SQRT(Parameters!$B$9)*NORM.S.INV(RAND())</f>
        <v/>
      </c>
      <c r="MG2" s="19">
        <f>SQRT(Parameters!$B$5)*Factors!MG2+SQRT(Parameters!$B$6)*Factors!MG6+SQRT(Parameters!$B$7)*Factors!MG9+SQRT(Parameters!$B$9)*NORM.S.INV(RAND())</f>
        <v/>
      </c>
      <c r="MH2" s="19">
        <f>SQRT(Parameters!$B$5)*Factors!MH2+SQRT(Parameters!$B$6)*Factors!MH6+SQRT(Parameters!$B$7)*Factors!MH9+SQRT(Parameters!$B$9)*NORM.S.INV(RAND())</f>
        <v/>
      </c>
      <c r="MI2" s="19">
        <f>SQRT(Parameters!$B$5)*Factors!MI2+SQRT(Parameters!$B$6)*Factors!MI6+SQRT(Parameters!$B$7)*Factors!MI9+SQRT(Parameters!$B$9)*NORM.S.INV(RAND())</f>
        <v/>
      </c>
      <c r="MJ2" s="19">
        <f>SQRT(Parameters!$B$5)*Factors!MJ2+SQRT(Parameters!$B$6)*Factors!MJ6+SQRT(Parameters!$B$7)*Factors!MJ9+SQRT(Parameters!$B$9)*NORM.S.INV(RAND())</f>
        <v/>
      </c>
      <c r="MK2" s="19">
        <f>SQRT(Parameters!$B$5)*Factors!MK2+SQRT(Parameters!$B$6)*Factors!MK6+SQRT(Parameters!$B$7)*Factors!MK9+SQRT(Parameters!$B$9)*NORM.S.INV(RAND())</f>
        <v/>
      </c>
      <c r="ML2" s="19">
        <f>SQRT(Parameters!$B$5)*Factors!ML2+SQRT(Parameters!$B$6)*Factors!ML6+SQRT(Parameters!$B$7)*Factors!ML9+SQRT(Parameters!$B$9)*NORM.S.INV(RAND())</f>
        <v/>
      </c>
      <c r="MM2" s="19">
        <f>SQRT(Parameters!$B$5)*Factors!MM2+SQRT(Parameters!$B$6)*Factors!MM6+SQRT(Parameters!$B$7)*Factors!MM9+SQRT(Parameters!$B$9)*NORM.S.INV(RAND())</f>
        <v/>
      </c>
      <c r="MN2" s="19">
        <f>SQRT(Parameters!$B$5)*Factors!MN2+SQRT(Parameters!$B$6)*Factors!MN6+SQRT(Parameters!$B$7)*Factors!MN9+SQRT(Parameters!$B$9)*NORM.S.INV(RAND())</f>
        <v/>
      </c>
      <c r="MO2" s="19">
        <f>SQRT(Parameters!$B$5)*Factors!MO2+SQRT(Parameters!$B$6)*Factors!MO6+SQRT(Parameters!$B$7)*Factors!MO9+SQRT(Parameters!$B$9)*NORM.S.INV(RAND())</f>
        <v/>
      </c>
      <c r="MP2" s="19">
        <f>SQRT(Parameters!$B$5)*Factors!MP2+SQRT(Parameters!$B$6)*Factors!MP6+SQRT(Parameters!$B$7)*Factors!MP9+SQRT(Parameters!$B$9)*NORM.S.INV(RAND())</f>
        <v/>
      </c>
      <c r="MQ2" s="19">
        <f>SQRT(Parameters!$B$5)*Factors!MQ2+SQRT(Parameters!$B$6)*Factors!MQ6+SQRT(Parameters!$B$7)*Factors!MQ9+SQRT(Parameters!$B$9)*NORM.S.INV(RAND())</f>
        <v/>
      </c>
      <c r="MR2" s="19">
        <f>SQRT(Parameters!$B$5)*Factors!MR2+SQRT(Parameters!$B$6)*Factors!MR6+SQRT(Parameters!$B$7)*Factors!MR9+SQRT(Parameters!$B$9)*NORM.S.INV(RAND())</f>
        <v/>
      </c>
      <c r="MS2" s="19">
        <f>SQRT(Parameters!$B$5)*Factors!MS2+SQRT(Parameters!$B$6)*Factors!MS6+SQRT(Parameters!$B$7)*Factors!MS9+SQRT(Parameters!$B$9)*NORM.S.INV(RAND())</f>
        <v/>
      </c>
      <c r="MT2" s="19">
        <f>SQRT(Parameters!$B$5)*Factors!MT2+SQRT(Parameters!$B$6)*Factors!MT6+SQRT(Parameters!$B$7)*Factors!MT9+SQRT(Parameters!$B$9)*NORM.S.INV(RAND())</f>
        <v/>
      </c>
      <c r="MU2" s="19">
        <f>SQRT(Parameters!$B$5)*Factors!MU2+SQRT(Parameters!$B$6)*Factors!MU6+SQRT(Parameters!$B$7)*Factors!MU9+SQRT(Parameters!$B$9)*NORM.S.INV(RAND())</f>
        <v/>
      </c>
      <c r="MV2" s="19">
        <f>SQRT(Parameters!$B$5)*Factors!MV2+SQRT(Parameters!$B$6)*Factors!MV6+SQRT(Parameters!$B$7)*Factors!MV9+SQRT(Parameters!$B$9)*NORM.S.INV(RAND())</f>
        <v/>
      </c>
      <c r="MW2" s="19">
        <f>SQRT(Parameters!$B$5)*Factors!MW2+SQRT(Parameters!$B$6)*Factors!MW6+SQRT(Parameters!$B$7)*Factors!MW9+SQRT(Parameters!$B$9)*NORM.S.INV(RAND())</f>
        <v/>
      </c>
      <c r="MX2" s="19">
        <f>SQRT(Parameters!$B$5)*Factors!MX2+SQRT(Parameters!$B$6)*Factors!MX6+SQRT(Parameters!$B$7)*Factors!MX9+SQRT(Parameters!$B$9)*NORM.S.INV(RAND())</f>
        <v/>
      </c>
      <c r="MY2" s="19">
        <f>SQRT(Parameters!$B$5)*Factors!MY2+SQRT(Parameters!$B$6)*Factors!MY6+SQRT(Parameters!$B$7)*Factors!MY9+SQRT(Parameters!$B$9)*NORM.S.INV(RAND())</f>
        <v/>
      </c>
      <c r="MZ2" s="19">
        <f>SQRT(Parameters!$B$5)*Factors!MZ2+SQRT(Parameters!$B$6)*Factors!MZ6+SQRT(Parameters!$B$7)*Factors!MZ9+SQRT(Parameters!$B$9)*NORM.S.INV(RAND())</f>
        <v/>
      </c>
      <c r="NA2" s="19">
        <f>SQRT(Parameters!$B$5)*Factors!NA2+SQRT(Parameters!$B$6)*Factors!NA6+SQRT(Parameters!$B$7)*Factors!NA9+SQRT(Parameters!$B$9)*NORM.S.INV(RAND())</f>
        <v/>
      </c>
      <c r="NB2" s="19">
        <f>SQRT(Parameters!$B$5)*Factors!NB2+SQRT(Parameters!$B$6)*Factors!NB6+SQRT(Parameters!$B$7)*Factors!NB9+SQRT(Parameters!$B$9)*NORM.S.INV(RAND())</f>
        <v/>
      </c>
      <c r="NC2" s="19">
        <f>SQRT(Parameters!$B$5)*Factors!NC2+SQRT(Parameters!$B$6)*Factors!NC6+SQRT(Parameters!$B$7)*Factors!NC9+SQRT(Parameters!$B$9)*NORM.S.INV(RAND())</f>
        <v/>
      </c>
      <c r="ND2" s="19">
        <f>SQRT(Parameters!$B$5)*Factors!ND2+SQRT(Parameters!$B$6)*Factors!ND6+SQRT(Parameters!$B$7)*Factors!ND9+SQRT(Parameters!$B$9)*NORM.S.INV(RAND())</f>
        <v/>
      </c>
      <c r="NE2" s="19">
        <f>SQRT(Parameters!$B$5)*Factors!NE2+SQRT(Parameters!$B$6)*Factors!NE6+SQRT(Parameters!$B$7)*Factors!NE9+SQRT(Parameters!$B$9)*NORM.S.INV(RAND())</f>
        <v/>
      </c>
      <c r="NF2" s="19">
        <f>SQRT(Parameters!$B$5)*Factors!NF2+SQRT(Parameters!$B$6)*Factors!NF6+SQRT(Parameters!$B$7)*Factors!NF9+SQRT(Parameters!$B$9)*NORM.S.INV(RAND())</f>
        <v/>
      </c>
      <c r="NG2" s="19">
        <f>SQRT(Parameters!$B$5)*Factors!NG2+SQRT(Parameters!$B$6)*Factors!NG6+SQRT(Parameters!$B$7)*Factors!NG9+SQRT(Parameters!$B$9)*NORM.S.INV(RAND())</f>
        <v/>
      </c>
      <c r="NH2" s="19">
        <f>SQRT(Parameters!$B$5)*Factors!NH2+SQRT(Parameters!$B$6)*Factors!NH6+SQRT(Parameters!$B$7)*Factors!NH9+SQRT(Parameters!$B$9)*NORM.S.INV(RAND())</f>
        <v/>
      </c>
      <c r="NI2" s="19">
        <f>SQRT(Parameters!$B$5)*Factors!NI2+SQRT(Parameters!$B$6)*Factors!NI6+SQRT(Parameters!$B$7)*Factors!NI9+SQRT(Parameters!$B$9)*NORM.S.INV(RAND())</f>
        <v/>
      </c>
      <c r="NJ2" s="19">
        <f>SQRT(Parameters!$B$5)*Factors!NJ2+SQRT(Parameters!$B$6)*Factors!NJ6+SQRT(Parameters!$B$7)*Factors!NJ9+SQRT(Parameters!$B$9)*NORM.S.INV(RAND())</f>
        <v/>
      </c>
      <c r="NK2" s="19">
        <f>SQRT(Parameters!$B$5)*Factors!NK2+SQRT(Parameters!$B$6)*Factors!NK6+SQRT(Parameters!$B$7)*Factors!NK9+SQRT(Parameters!$B$9)*NORM.S.INV(RAND())</f>
        <v/>
      </c>
      <c r="NL2" s="19">
        <f>SQRT(Parameters!$B$5)*Factors!NL2+SQRT(Parameters!$B$6)*Factors!NL6+SQRT(Parameters!$B$7)*Factors!NL9+SQRT(Parameters!$B$9)*NORM.S.INV(RAND())</f>
        <v/>
      </c>
      <c r="NM2" s="19">
        <f>SQRT(Parameters!$B$5)*Factors!NM2+SQRT(Parameters!$B$6)*Factors!NM6+SQRT(Parameters!$B$7)*Factors!NM9+SQRT(Parameters!$B$9)*NORM.S.INV(RAND())</f>
        <v/>
      </c>
      <c r="NN2" s="19">
        <f>SQRT(Parameters!$B$5)*Factors!NN2+SQRT(Parameters!$B$6)*Factors!NN6+SQRT(Parameters!$B$7)*Factors!NN9+SQRT(Parameters!$B$9)*NORM.S.INV(RAND())</f>
        <v/>
      </c>
      <c r="NO2" s="19">
        <f>SQRT(Parameters!$B$5)*Factors!NO2+SQRT(Parameters!$B$6)*Factors!NO6+SQRT(Parameters!$B$7)*Factors!NO9+SQRT(Parameters!$B$9)*NORM.S.INV(RAND())</f>
        <v/>
      </c>
      <c r="NP2" s="19">
        <f>SQRT(Parameters!$B$5)*Factors!NP2+SQRT(Parameters!$B$6)*Factors!NP6+SQRT(Parameters!$B$7)*Factors!NP9+SQRT(Parameters!$B$9)*NORM.S.INV(RAND())</f>
        <v/>
      </c>
      <c r="NQ2" s="19">
        <f>SQRT(Parameters!$B$5)*Factors!NQ2+SQRT(Parameters!$B$6)*Factors!NQ6+SQRT(Parameters!$B$7)*Factors!NQ9+SQRT(Parameters!$B$9)*NORM.S.INV(RAND())</f>
        <v/>
      </c>
      <c r="NR2" s="19">
        <f>SQRT(Parameters!$B$5)*Factors!NR2+SQRT(Parameters!$B$6)*Factors!NR6+SQRT(Parameters!$B$7)*Factors!NR9+SQRT(Parameters!$B$9)*NORM.S.INV(RAND())</f>
        <v/>
      </c>
      <c r="NS2" s="19">
        <f>SQRT(Parameters!$B$5)*Factors!NS2+SQRT(Parameters!$B$6)*Factors!NS6+SQRT(Parameters!$B$7)*Factors!NS9+SQRT(Parameters!$B$9)*NORM.S.INV(RAND())</f>
        <v/>
      </c>
      <c r="NT2" s="19">
        <f>SQRT(Parameters!$B$5)*Factors!NT2+SQRT(Parameters!$B$6)*Factors!NT6+SQRT(Parameters!$B$7)*Factors!NT9+SQRT(Parameters!$B$9)*NORM.S.INV(RAND())</f>
        <v/>
      </c>
      <c r="NU2" s="19">
        <f>SQRT(Parameters!$B$5)*Factors!NU2+SQRT(Parameters!$B$6)*Factors!NU6+SQRT(Parameters!$B$7)*Factors!NU9+SQRT(Parameters!$B$9)*NORM.S.INV(RAND())</f>
        <v/>
      </c>
      <c r="NV2" s="19">
        <f>SQRT(Parameters!$B$5)*Factors!NV2+SQRT(Parameters!$B$6)*Factors!NV6+SQRT(Parameters!$B$7)*Factors!NV9+SQRT(Parameters!$B$9)*NORM.S.INV(RAND())</f>
        <v/>
      </c>
      <c r="NW2" s="19">
        <f>SQRT(Parameters!$B$5)*Factors!NW2+SQRT(Parameters!$B$6)*Factors!NW6+SQRT(Parameters!$B$7)*Factors!NW9+SQRT(Parameters!$B$9)*NORM.S.INV(RAND())</f>
        <v/>
      </c>
      <c r="NX2" s="19">
        <f>SQRT(Parameters!$B$5)*Factors!NX2+SQRT(Parameters!$B$6)*Factors!NX6+SQRT(Parameters!$B$7)*Factors!NX9+SQRT(Parameters!$B$9)*NORM.S.INV(RAND())</f>
        <v/>
      </c>
      <c r="NY2" s="19">
        <f>SQRT(Parameters!$B$5)*Factors!NY2+SQRT(Parameters!$B$6)*Factors!NY6+SQRT(Parameters!$B$7)*Factors!NY9+SQRT(Parameters!$B$9)*NORM.S.INV(RAND())</f>
        <v/>
      </c>
      <c r="NZ2" s="19">
        <f>SQRT(Parameters!$B$5)*Factors!NZ2+SQRT(Parameters!$B$6)*Factors!NZ6+SQRT(Parameters!$B$7)*Factors!NZ9+SQRT(Parameters!$B$9)*NORM.S.INV(RAND())</f>
        <v/>
      </c>
      <c r="OA2" s="19">
        <f>SQRT(Parameters!$B$5)*Factors!OA2+SQRT(Parameters!$B$6)*Factors!OA6+SQRT(Parameters!$B$7)*Factors!OA9+SQRT(Parameters!$B$9)*NORM.S.INV(RAND())</f>
        <v/>
      </c>
      <c r="OB2" s="19">
        <f>SQRT(Parameters!$B$5)*Factors!OB2+SQRT(Parameters!$B$6)*Factors!OB6+SQRT(Parameters!$B$7)*Factors!OB9+SQRT(Parameters!$B$9)*NORM.S.INV(RAND())</f>
        <v/>
      </c>
      <c r="OC2" s="19">
        <f>SQRT(Parameters!$B$5)*Factors!OC2+SQRT(Parameters!$B$6)*Factors!OC6+SQRT(Parameters!$B$7)*Factors!OC9+SQRT(Parameters!$B$9)*NORM.S.INV(RAND())</f>
        <v/>
      </c>
      <c r="OD2" s="19">
        <f>SQRT(Parameters!$B$5)*Factors!OD2+SQRT(Parameters!$B$6)*Factors!OD6+SQRT(Parameters!$B$7)*Factors!OD9+SQRT(Parameters!$B$9)*NORM.S.INV(RAND())</f>
        <v/>
      </c>
      <c r="OE2" s="19">
        <f>SQRT(Parameters!$B$5)*Factors!OE2+SQRT(Parameters!$B$6)*Factors!OE6+SQRT(Parameters!$B$7)*Factors!OE9+SQRT(Parameters!$B$9)*NORM.S.INV(RAND())</f>
        <v/>
      </c>
      <c r="OF2" s="19">
        <f>SQRT(Parameters!$B$5)*Factors!OF2+SQRT(Parameters!$B$6)*Factors!OF6+SQRT(Parameters!$B$7)*Factors!OF9+SQRT(Parameters!$B$9)*NORM.S.INV(RAND())</f>
        <v/>
      </c>
      <c r="OG2" s="19">
        <f>SQRT(Parameters!$B$5)*Factors!OG2+SQRT(Parameters!$B$6)*Factors!OG6+SQRT(Parameters!$B$7)*Factors!OG9+SQRT(Parameters!$B$9)*NORM.S.INV(RAND())</f>
        <v/>
      </c>
      <c r="OH2" s="19">
        <f>SQRT(Parameters!$B$5)*Factors!OH2+SQRT(Parameters!$B$6)*Factors!OH6+SQRT(Parameters!$B$7)*Factors!OH9+SQRT(Parameters!$B$9)*NORM.S.INV(RAND())</f>
        <v/>
      </c>
      <c r="OI2" s="19">
        <f>SQRT(Parameters!$B$5)*Factors!OI2+SQRT(Parameters!$B$6)*Factors!OI6+SQRT(Parameters!$B$7)*Factors!OI9+SQRT(Parameters!$B$9)*NORM.S.INV(RAND())</f>
        <v/>
      </c>
      <c r="OJ2" s="19">
        <f>SQRT(Parameters!$B$5)*Factors!OJ2+SQRT(Parameters!$B$6)*Factors!OJ6+SQRT(Parameters!$B$7)*Factors!OJ9+SQRT(Parameters!$B$9)*NORM.S.INV(RAND())</f>
        <v/>
      </c>
      <c r="OK2" s="19">
        <f>SQRT(Parameters!$B$5)*Factors!OK2+SQRT(Parameters!$B$6)*Factors!OK6+SQRT(Parameters!$B$7)*Factors!OK9+SQRT(Parameters!$B$9)*NORM.S.INV(RAND())</f>
        <v/>
      </c>
      <c r="OL2" s="19">
        <f>SQRT(Parameters!$B$5)*Factors!OL2+SQRT(Parameters!$B$6)*Factors!OL6+SQRT(Parameters!$B$7)*Factors!OL9+SQRT(Parameters!$B$9)*NORM.S.INV(RAND())</f>
        <v/>
      </c>
      <c r="OM2" s="19">
        <f>SQRT(Parameters!$B$5)*Factors!OM2+SQRT(Parameters!$B$6)*Factors!OM6+SQRT(Parameters!$B$7)*Factors!OM9+SQRT(Parameters!$B$9)*NORM.S.INV(RAND())</f>
        <v/>
      </c>
      <c r="ON2" s="19">
        <f>SQRT(Parameters!$B$5)*Factors!ON2+SQRT(Parameters!$B$6)*Factors!ON6+SQRT(Parameters!$B$7)*Factors!ON9+SQRT(Parameters!$B$9)*NORM.S.INV(RAND())</f>
        <v/>
      </c>
      <c r="OO2" s="19">
        <f>SQRT(Parameters!$B$5)*Factors!OO2+SQRT(Parameters!$B$6)*Factors!OO6+SQRT(Parameters!$B$7)*Factors!OO9+SQRT(Parameters!$B$9)*NORM.S.INV(RAND())</f>
        <v/>
      </c>
      <c r="OP2" s="19">
        <f>SQRT(Parameters!$B$5)*Factors!OP2+SQRT(Parameters!$B$6)*Factors!OP6+SQRT(Parameters!$B$7)*Factors!OP9+SQRT(Parameters!$B$9)*NORM.S.INV(RAND())</f>
        <v/>
      </c>
      <c r="OQ2" s="19">
        <f>SQRT(Parameters!$B$5)*Factors!OQ2+SQRT(Parameters!$B$6)*Factors!OQ6+SQRT(Parameters!$B$7)*Factors!OQ9+SQRT(Parameters!$B$9)*NORM.S.INV(RAND())</f>
        <v/>
      </c>
      <c r="OR2" s="19">
        <f>SQRT(Parameters!$B$5)*Factors!OR2+SQRT(Parameters!$B$6)*Factors!OR6+SQRT(Parameters!$B$7)*Factors!OR9+SQRT(Parameters!$B$9)*NORM.S.INV(RAND())</f>
        <v/>
      </c>
      <c r="OS2" s="19">
        <f>SQRT(Parameters!$B$5)*Factors!OS2+SQRT(Parameters!$B$6)*Factors!OS6+SQRT(Parameters!$B$7)*Factors!OS9+SQRT(Parameters!$B$9)*NORM.S.INV(RAND())</f>
        <v/>
      </c>
      <c r="OT2" s="19">
        <f>SQRT(Parameters!$B$5)*Factors!OT2+SQRT(Parameters!$B$6)*Factors!OT6+SQRT(Parameters!$B$7)*Factors!OT9+SQRT(Parameters!$B$9)*NORM.S.INV(RAND())</f>
        <v/>
      </c>
      <c r="OU2" s="19">
        <f>SQRT(Parameters!$B$5)*Factors!OU2+SQRT(Parameters!$B$6)*Factors!OU6+SQRT(Parameters!$B$7)*Factors!OU9+SQRT(Parameters!$B$9)*NORM.S.INV(RAND())</f>
        <v/>
      </c>
      <c r="OV2" s="19">
        <f>SQRT(Parameters!$B$5)*Factors!OV2+SQRT(Parameters!$B$6)*Factors!OV6+SQRT(Parameters!$B$7)*Factors!OV9+SQRT(Parameters!$B$9)*NORM.S.INV(RAND())</f>
        <v/>
      </c>
      <c r="OW2" s="19">
        <f>SQRT(Parameters!$B$5)*Factors!OW2+SQRT(Parameters!$B$6)*Factors!OW6+SQRT(Parameters!$B$7)*Factors!OW9+SQRT(Parameters!$B$9)*NORM.S.INV(RAND())</f>
        <v/>
      </c>
      <c r="OX2" s="19">
        <f>SQRT(Parameters!$B$5)*Factors!OX2+SQRT(Parameters!$B$6)*Factors!OX6+SQRT(Parameters!$B$7)*Factors!OX9+SQRT(Parameters!$B$9)*NORM.S.INV(RAND())</f>
        <v/>
      </c>
      <c r="OY2" s="19">
        <f>SQRT(Parameters!$B$5)*Factors!OY2+SQRT(Parameters!$B$6)*Factors!OY6+SQRT(Parameters!$B$7)*Factors!OY9+SQRT(Parameters!$B$9)*NORM.S.INV(RAND())</f>
        <v/>
      </c>
      <c r="OZ2" s="19">
        <f>SQRT(Parameters!$B$5)*Factors!OZ2+SQRT(Parameters!$B$6)*Factors!OZ6+SQRT(Parameters!$B$7)*Factors!OZ9+SQRT(Parameters!$B$9)*NORM.S.INV(RAND())</f>
        <v/>
      </c>
      <c r="PA2" s="19">
        <f>SQRT(Parameters!$B$5)*Factors!PA2+SQRT(Parameters!$B$6)*Factors!PA6+SQRT(Parameters!$B$7)*Factors!PA9+SQRT(Parameters!$B$9)*NORM.S.INV(RAND())</f>
        <v/>
      </c>
      <c r="PB2" s="19">
        <f>SQRT(Parameters!$B$5)*Factors!PB2+SQRT(Parameters!$B$6)*Factors!PB6+SQRT(Parameters!$B$7)*Factors!PB9+SQRT(Parameters!$B$9)*NORM.S.INV(RAND())</f>
        <v/>
      </c>
      <c r="PC2" s="19">
        <f>SQRT(Parameters!$B$5)*Factors!PC2+SQRT(Parameters!$B$6)*Factors!PC6+SQRT(Parameters!$B$7)*Factors!PC9+SQRT(Parameters!$B$9)*NORM.S.INV(RAND())</f>
        <v/>
      </c>
      <c r="PD2" s="19">
        <f>SQRT(Parameters!$B$5)*Factors!PD2+SQRT(Parameters!$B$6)*Factors!PD6+SQRT(Parameters!$B$7)*Factors!PD9+SQRT(Parameters!$B$9)*NORM.S.INV(RAND())</f>
        <v/>
      </c>
      <c r="PE2" s="19">
        <f>SQRT(Parameters!$B$5)*Factors!PE2+SQRT(Parameters!$B$6)*Factors!PE6+SQRT(Parameters!$B$7)*Factors!PE9+SQRT(Parameters!$B$9)*NORM.S.INV(RAND())</f>
        <v/>
      </c>
      <c r="PF2" s="19">
        <f>SQRT(Parameters!$B$5)*Factors!PF2+SQRT(Parameters!$B$6)*Factors!PF6+SQRT(Parameters!$B$7)*Factors!PF9+SQRT(Parameters!$B$9)*NORM.S.INV(RAND())</f>
        <v/>
      </c>
      <c r="PG2" s="19">
        <f>SQRT(Parameters!$B$5)*Factors!PG2+SQRT(Parameters!$B$6)*Factors!PG6+SQRT(Parameters!$B$7)*Factors!PG9+SQRT(Parameters!$B$9)*NORM.S.INV(RAND())</f>
        <v/>
      </c>
      <c r="PH2" s="19">
        <f>SQRT(Parameters!$B$5)*Factors!PH2+SQRT(Parameters!$B$6)*Factors!PH6+SQRT(Parameters!$B$7)*Factors!PH9+SQRT(Parameters!$B$9)*NORM.S.INV(RAND())</f>
        <v/>
      </c>
      <c r="PI2" s="19">
        <f>SQRT(Parameters!$B$5)*Factors!PI2+SQRT(Parameters!$B$6)*Factors!PI6+SQRT(Parameters!$B$7)*Factors!PI9+SQRT(Parameters!$B$9)*NORM.S.INV(RAND())</f>
        <v/>
      </c>
      <c r="PJ2" s="19">
        <f>SQRT(Parameters!$B$5)*Factors!PJ2+SQRT(Parameters!$B$6)*Factors!PJ6+SQRT(Parameters!$B$7)*Factors!PJ9+SQRT(Parameters!$B$9)*NORM.S.INV(RAND())</f>
        <v/>
      </c>
      <c r="PK2" s="19">
        <f>SQRT(Parameters!$B$5)*Factors!PK2+SQRT(Parameters!$B$6)*Factors!PK6+SQRT(Parameters!$B$7)*Factors!PK9+SQRT(Parameters!$B$9)*NORM.S.INV(RAND())</f>
        <v/>
      </c>
      <c r="PL2" s="19">
        <f>SQRT(Parameters!$B$5)*Factors!PL2+SQRT(Parameters!$B$6)*Factors!PL6+SQRT(Parameters!$B$7)*Factors!PL9+SQRT(Parameters!$B$9)*NORM.S.INV(RAND())</f>
        <v/>
      </c>
      <c r="PM2" s="19">
        <f>SQRT(Parameters!$B$5)*Factors!PM2+SQRT(Parameters!$B$6)*Factors!PM6+SQRT(Parameters!$B$7)*Factors!PM9+SQRT(Parameters!$B$9)*NORM.S.INV(RAND())</f>
        <v/>
      </c>
      <c r="PN2" s="19">
        <f>SQRT(Parameters!$B$5)*Factors!PN2+SQRT(Parameters!$B$6)*Factors!PN6+SQRT(Parameters!$B$7)*Factors!PN9+SQRT(Parameters!$B$9)*NORM.S.INV(RAND())</f>
        <v/>
      </c>
      <c r="PO2" s="19">
        <f>SQRT(Parameters!$B$5)*Factors!PO2+SQRT(Parameters!$B$6)*Factors!PO6+SQRT(Parameters!$B$7)*Factors!PO9+SQRT(Parameters!$B$9)*NORM.S.INV(RAND())</f>
        <v/>
      </c>
      <c r="PP2" s="19">
        <f>SQRT(Parameters!$B$5)*Factors!PP2+SQRT(Parameters!$B$6)*Factors!PP6+SQRT(Parameters!$B$7)*Factors!PP9+SQRT(Parameters!$B$9)*NORM.S.INV(RAND())</f>
        <v/>
      </c>
      <c r="PQ2" s="19">
        <f>SQRT(Parameters!$B$5)*Factors!PQ2+SQRT(Parameters!$B$6)*Factors!PQ6+SQRT(Parameters!$B$7)*Factors!PQ9+SQRT(Parameters!$B$9)*NORM.S.INV(RAND())</f>
        <v/>
      </c>
      <c r="PR2" s="19">
        <f>SQRT(Parameters!$B$5)*Factors!PR2+SQRT(Parameters!$B$6)*Factors!PR6+SQRT(Parameters!$B$7)*Factors!PR9+SQRT(Parameters!$B$9)*NORM.S.INV(RAND())</f>
        <v/>
      </c>
      <c r="PS2" s="19">
        <f>SQRT(Parameters!$B$5)*Factors!PS2+SQRT(Parameters!$B$6)*Factors!PS6+SQRT(Parameters!$B$7)*Factors!PS9+SQRT(Parameters!$B$9)*NORM.S.INV(RAND())</f>
        <v/>
      </c>
      <c r="PT2" s="19">
        <f>SQRT(Parameters!$B$5)*Factors!PT2+SQRT(Parameters!$B$6)*Factors!PT6+SQRT(Parameters!$B$7)*Factors!PT9+SQRT(Parameters!$B$9)*NORM.S.INV(RAND())</f>
        <v/>
      </c>
      <c r="PU2" s="19">
        <f>SQRT(Parameters!$B$5)*Factors!PU2+SQRT(Parameters!$B$6)*Factors!PU6+SQRT(Parameters!$B$7)*Factors!PU9+SQRT(Parameters!$B$9)*NORM.S.INV(RAND())</f>
        <v/>
      </c>
      <c r="PV2" s="19">
        <f>SQRT(Parameters!$B$5)*Factors!PV2+SQRT(Parameters!$B$6)*Factors!PV6+SQRT(Parameters!$B$7)*Factors!PV9+SQRT(Parameters!$B$9)*NORM.S.INV(RAND())</f>
        <v/>
      </c>
      <c r="PW2" s="19">
        <f>SQRT(Parameters!$B$5)*Factors!PW2+SQRT(Parameters!$B$6)*Factors!PW6+SQRT(Parameters!$B$7)*Factors!PW9+SQRT(Parameters!$B$9)*NORM.S.INV(RAND())</f>
        <v/>
      </c>
      <c r="PX2" s="19">
        <f>SQRT(Parameters!$B$5)*Factors!PX2+SQRT(Parameters!$B$6)*Factors!PX6+SQRT(Parameters!$B$7)*Factors!PX9+SQRT(Parameters!$B$9)*NORM.S.INV(RAND())</f>
        <v/>
      </c>
      <c r="PY2" s="19">
        <f>SQRT(Parameters!$B$5)*Factors!PY2+SQRT(Parameters!$B$6)*Factors!PY6+SQRT(Parameters!$B$7)*Factors!PY9+SQRT(Parameters!$B$9)*NORM.S.INV(RAND())</f>
        <v/>
      </c>
      <c r="PZ2" s="19">
        <f>SQRT(Parameters!$B$5)*Factors!PZ2+SQRT(Parameters!$B$6)*Factors!PZ6+SQRT(Parameters!$B$7)*Factors!PZ9+SQRT(Parameters!$B$9)*NORM.S.INV(RAND())</f>
        <v/>
      </c>
      <c r="QA2" s="19">
        <f>SQRT(Parameters!$B$5)*Factors!QA2+SQRT(Parameters!$B$6)*Factors!QA6+SQRT(Parameters!$B$7)*Factors!QA9+SQRT(Parameters!$B$9)*NORM.S.INV(RAND())</f>
        <v/>
      </c>
      <c r="QB2" s="19">
        <f>SQRT(Parameters!$B$5)*Factors!QB2+SQRT(Parameters!$B$6)*Factors!QB6+SQRT(Parameters!$B$7)*Factors!QB9+SQRT(Parameters!$B$9)*NORM.S.INV(RAND())</f>
        <v/>
      </c>
      <c r="QC2" s="19">
        <f>SQRT(Parameters!$B$5)*Factors!QC2+SQRT(Parameters!$B$6)*Factors!QC6+SQRT(Parameters!$B$7)*Factors!QC9+SQRT(Parameters!$B$9)*NORM.S.INV(RAND())</f>
        <v/>
      </c>
      <c r="QD2" s="19">
        <f>SQRT(Parameters!$B$5)*Factors!QD2+SQRT(Parameters!$B$6)*Factors!QD6+SQRT(Parameters!$B$7)*Factors!QD9+SQRT(Parameters!$B$9)*NORM.S.INV(RAND())</f>
        <v/>
      </c>
      <c r="QE2" s="19">
        <f>SQRT(Parameters!$B$5)*Factors!QE2+SQRT(Parameters!$B$6)*Factors!QE6+SQRT(Parameters!$B$7)*Factors!QE9+SQRT(Parameters!$B$9)*NORM.S.INV(RAND())</f>
        <v/>
      </c>
      <c r="QF2" s="19">
        <f>SQRT(Parameters!$B$5)*Factors!QF2+SQRT(Parameters!$B$6)*Factors!QF6+SQRT(Parameters!$B$7)*Factors!QF9+SQRT(Parameters!$B$9)*NORM.S.INV(RAND())</f>
        <v/>
      </c>
      <c r="QG2" s="19">
        <f>SQRT(Parameters!$B$5)*Factors!QG2+SQRT(Parameters!$B$6)*Factors!QG6+SQRT(Parameters!$B$7)*Factors!QG9+SQRT(Parameters!$B$9)*NORM.S.INV(RAND())</f>
        <v/>
      </c>
      <c r="QH2" s="19">
        <f>SQRT(Parameters!$B$5)*Factors!QH2+SQRT(Parameters!$B$6)*Factors!QH6+SQRT(Parameters!$B$7)*Factors!QH9+SQRT(Parameters!$B$9)*NORM.S.INV(RAND())</f>
        <v/>
      </c>
      <c r="QI2" s="19">
        <f>SQRT(Parameters!$B$5)*Factors!QI2+SQRT(Parameters!$B$6)*Factors!QI6+SQRT(Parameters!$B$7)*Factors!QI9+SQRT(Parameters!$B$9)*NORM.S.INV(RAND())</f>
        <v/>
      </c>
      <c r="QJ2" s="19">
        <f>SQRT(Parameters!$B$5)*Factors!QJ2+SQRT(Parameters!$B$6)*Factors!QJ6+SQRT(Parameters!$B$7)*Factors!QJ9+SQRT(Parameters!$B$9)*NORM.S.INV(RAND())</f>
        <v/>
      </c>
      <c r="QK2" s="19">
        <f>SQRT(Parameters!$B$5)*Factors!QK2+SQRT(Parameters!$B$6)*Factors!QK6+SQRT(Parameters!$B$7)*Factors!QK9+SQRT(Parameters!$B$9)*NORM.S.INV(RAND())</f>
        <v/>
      </c>
      <c r="QL2" s="19">
        <f>SQRT(Parameters!$B$5)*Factors!QL2+SQRT(Parameters!$B$6)*Factors!QL6+SQRT(Parameters!$B$7)*Factors!QL9+SQRT(Parameters!$B$9)*NORM.S.INV(RAND())</f>
        <v/>
      </c>
      <c r="QM2" s="19">
        <f>SQRT(Parameters!$B$5)*Factors!QM2+SQRT(Parameters!$B$6)*Factors!QM6+SQRT(Parameters!$B$7)*Factors!QM9+SQRT(Parameters!$B$9)*NORM.S.INV(RAND())</f>
        <v/>
      </c>
      <c r="QN2" s="19">
        <f>SQRT(Parameters!$B$5)*Factors!QN2+SQRT(Parameters!$B$6)*Factors!QN6+SQRT(Parameters!$B$7)*Factors!QN9+SQRT(Parameters!$B$9)*NORM.S.INV(RAND())</f>
        <v/>
      </c>
      <c r="QO2" s="19">
        <f>SQRT(Parameters!$B$5)*Factors!QO2+SQRT(Parameters!$B$6)*Factors!QO6+SQRT(Parameters!$B$7)*Factors!QO9+SQRT(Parameters!$B$9)*NORM.S.INV(RAND())</f>
        <v/>
      </c>
      <c r="QP2" s="19">
        <f>SQRT(Parameters!$B$5)*Factors!QP2+SQRT(Parameters!$B$6)*Factors!QP6+SQRT(Parameters!$B$7)*Factors!QP9+SQRT(Parameters!$B$9)*NORM.S.INV(RAND())</f>
        <v/>
      </c>
      <c r="QQ2" s="19">
        <f>SQRT(Parameters!$B$5)*Factors!QQ2+SQRT(Parameters!$B$6)*Factors!QQ6+SQRT(Parameters!$B$7)*Factors!QQ9+SQRT(Parameters!$B$9)*NORM.S.INV(RAND())</f>
        <v/>
      </c>
      <c r="QR2" s="19">
        <f>SQRT(Parameters!$B$5)*Factors!QR2+SQRT(Parameters!$B$6)*Factors!QR6+SQRT(Parameters!$B$7)*Factors!QR9+SQRT(Parameters!$B$9)*NORM.S.INV(RAND())</f>
        <v/>
      </c>
      <c r="QS2" s="19">
        <f>SQRT(Parameters!$B$5)*Factors!QS2+SQRT(Parameters!$B$6)*Factors!QS6+SQRT(Parameters!$B$7)*Factors!QS9+SQRT(Parameters!$B$9)*NORM.S.INV(RAND())</f>
        <v/>
      </c>
      <c r="QT2" s="19">
        <f>SQRT(Parameters!$B$5)*Factors!QT2+SQRT(Parameters!$B$6)*Factors!QT6+SQRT(Parameters!$B$7)*Factors!QT9+SQRT(Parameters!$B$9)*NORM.S.INV(RAND())</f>
        <v/>
      </c>
      <c r="QU2" s="19">
        <f>SQRT(Parameters!$B$5)*Factors!QU2+SQRT(Parameters!$B$6)*Factors!QU6+SQRT(Parameters!$B$7)*Factors!QU9+SQRT(Parameters!$B$9)*NORM.S.INV(RAND())</f>
        <v/>
      </c>
      <c r="QV2" s="19">
        <f>SQRT(Parameters!$B$5)*Factors!QV2+SQRT(Parameters!$B$6)*Factors!QV6+SQRT(Parameters!$B$7)*Factors!QV9+SQRT(Parameters!$B$9)*NORM.S.INV(RAND())</f>
        <v/>
      </c>
      <c r="QW2" s="19">
        <f>SQRT(Parameters!$B$5)*Factors!QW2+SQRT(Parameters!$B$6)*Factors!QW6+SQRT(Parameters!$B$7)*Factors!QW9+SQRT(Parameters!$B$9)*NORM.S.INV(RAND())</f>
        <v/>
      </c>
      <c r="QX2" s="19">
        <f>SQRT(Parameters!$B$5)*Factors!QX2+SQRT(Parameters!$B$6)*Factors!QX6+SQRT(Parameters!$B$7)*Factors!QX9+SQRT(Parameters!$B$9)*NORM.S.INV(RAND())</f>
        <v/>
      </c>
      <c r="QY2" s="19">
        <f>SQRT(Parameters!$B$5)*Factors!QY2+SQRT(Parameters!$B$6)*Factors!QY6+SQRT(Parameters!$B$7)*Factors!QY9+SQRT(Parameters!$B$9)*NORM.S.INV(RAND())</f>
        <v/>
      </c>
      <c r="QZ2" s="19">
        <f>SQRT(Parameters!$B$5)*Factors!QZ2+SQRT(Parameters!$B$6)*Factors!QZ6+SQRT(Parameters!$B$7)*Factors!QZ9+SQRT(Parameters!$B$9)*NORM.S.INV(RAND())</f>
        <v/>
      </c>
      <c r="RA2" s="19">
        <f>SQRT(Parameters!$B$5)*Factors!RA2+SQRT(Parameters!$B$6)*Factors!RA6+SQRT(Parameters!$B$7)*Factors!RA9+SQRT(Parameters!$B$9)*NORM.S.INV(RAND())</f>
        <v/>
      </c>
      <c r="RB2" s="19">
        <f>SQRT(Parameters!$B$5)*Factors!RB2+SQRT(Parameters!$B$6)*Factors!RB6+SQRT(Parameters!$B$7)*Factors!RB9+SQRT(Parameters!$B$9)*NORM.S.INV(RAND())</f>
        <v/>
      </c>
      <c r="RC2" s="19">
        <f>SQRT(Parameters!$B$5)*Factors!RC2+SQRT(Parameters!$B$6)*Factors!RC6+SQRT(Parameters!$B$7)*Factors!RC9+SQRT(Parameters!$B$9)*NORM.S.INV(RAND())</f>
        <v/>
      </c>
      <c r="RD2" s="19">
        <f>SQRT(Parameters!$B$5)*Factors!RD2+SQRT(Parameters!$B$6)*Factors!RD6+SQRT(Parameters!$B$7)*Factors!RD9+SQRT(Parameters!$B$9)*NORM.S.INV(RAND())</f>
        <v/>
      </c>
      <c r="RE2" s="19">
        <f>SQRT(Parameters!$B$5)*Factors!RE2+SQRT(Parameters!$B$6)*Factors!RE6+SQRT(Parameters!$B$7)*Factors!RE9+SQRT(Parameters!$B$9)*NORM.S.INV(RAND())</f>
        <v/>
      </c>
      <c r="RF2" s="19">
        <f>SQRT(Parameters!$B$5)*Factors!RF2+SQRT(Parameters!$B$6)*Factors!RF6+SQRT(Parameters!$B$7)*Factors!RF9+SQRT(Parameters!$B$9)*NORM.S.INV(RAND())</f>
        <v/>
      </c>
      <c r="RG2" s="19">
        <f>SQRT(Parameters!$B$5)*Factors!RG2+SQRT(Parameters!$B$6)*Factors!RG6+SQRT(Parameters!$B$7)*Factors!RG9+SQRT(Parameters!$B$9)*NORM.S.INV(RAND())</f>
        <v/>
      </c>
      <c r="RH2" s="19">
        <f>SQRT(Parameters!$B$5)*Factors!RH2+SQRT(Parameters!$B$6)*Factors!RH6+SQRT(Parameters!$B$7)*Factors!RH9+SQRT(Parameters!$B$9)*NORM.S.INV(RAND())</f>
        <v/>
      </c>
      <c r="RI2" s="19">
        <f>SQRT(Parameters!$B$5)*Factors!RI2+SQRT(Parameters!$B$6)*Factors!RI6+SQRT(Parameters!$B$7)*Factors!RI9+SQRT(Parameters!$B$9)*NORM.S.INV(RAND())</f>
        <v/>
      </c>
      <c r="RJ2" s="19">
        <f>SQRT(Parameters!$B$5)*Factors!RJ2+SQRT(Parameters!$B$6)*Factors!RJ6+SQRT(Parameters!$B$7)*Factors!RJ9+SQRT(Parameters!$B$9)*NORM.S.INV(RAND())</f>
        <v/>
      </c>
      <c r="RK2" s="19">
        <f>SQRT(Parameters!$B$5)*Factors!RK2+SQRT(Parameters!$B$6)*Factors!RK6+SQRT(Parameters!$B$7)*Factors!RK9+SQRT(Parameters!$B$9)*NORM.S.INV(RAND())</f>
        <v/>
      </c>
      <c r="RL2" s="19">
        <f>SQRT(Parameters!$B$5)*Factors!RL2+SQRT(Parameters!$B$6)*Factors!RL6+SQRT(Parameters!$B$7)*Factors!RL9+SQRT(Parameters!$B$9)*NORM.S.INV(RAND())</f>
        <v/>
      </c>
      <c r="RM2" s="19">
        <f>SQRT(Parameters!$B$5)*Factors!RM2+SQRT(Parameters!$B$6)*Factors!RM6+SQRT(Parameters!$B$7)*Factors!RM9+SQRT(Parameters!$B$9)*NORM.S.INV(RAND())</f>
        <v/>
      </c>
      <c r="RN2" s="19">
        <f>SQRT(Parameters!$B$5)*Factors!RN2+SQRT(Parameters!$B$6)*Factors!RN6+SQRT(Parameters!$B$7)*Factors!RN9+SQRT(Parameters!$B$9)*NORM.S.INV(RAND())</f>
        <v/>
      </c>
      <c r="RO2" s="19">
        <f>SQRT(Parameters!$B$5)*Factors!RO2+SQRT(Parameters!$B$6)*Factors!RO6+SQRT(Parameters!$B$7)*Factors!RO9+SQRT(Parameters!$B$9)*NORM.S.INV(RAND())</f>
        <v/>
      </c>
      <c r="RP2" s="19">
        <f>SQRT(Parameters!$B$5)*Factors!RP2+SQRT(Parameters!$B$6)*Factors!RP6+SQRT(Parameters!$B$7)*Factors!RP9+SQRT(Parameters!$B$9)*NORM.S.INV(RAND())</f>
        <v/>
      </c>
      <c r="RQ2" s="19">
        <f>SQRT(Parameters!$B$5)*Factors!RQ2+SQRT(Parameters!$B$6)*Factors!RQ6+SQRT(Parameters!$B$7)*Factors!RQ9+SQRT(Parameters!$B$9)*NORM.S.INV(RAND())</f>
        <v/>
      </c>
      <c r="RR2" s="19">
        <f>SQRT(Parameters!$B$5)*Factors!RR2+SQRT(Parameters!$B$6)*Factors!RR6+SQRT(Parameters!$B$7)*Factors!RR9+SQRT(Parameters!$B$9)*NORM.S.INV(RAND())</f>
        <v/>
      </c>
      <c r="RS2" s="19">
        <f>SQRT(Parameters!$B$5)*Factors!RS2+SQRT(Parameters!$B$6)*Factors!RS6+SQRT(Parameters!$B$7)*Factors!RS9+SQRT(Parameters!$B$9)*NORM.S.INV(RAND())</f>
        <v/>
      </c>
      <c r="RT2" s="19">
        <f>SQRT(Parameters!$B$5)*Factors!RT2+SQRT(Parameters!$B$6)*Factors!RT6+SQRT(Parameters!$B$7)*Factors!RT9+SQRT(Parameters!$B$9)*NORM.S.INV(RAND())</f>
        <v/>
      </c>
      <c r="RU2" s="19">
        <f>SQRT(Parameters!$B$5)*Factors!RU2+SQRT(Parameters!$B$6)*Factors!RU6+SQRT(Parameters!$B$7)*Factors!RU9+SQRT(Parameters!$B$9)*NORM.S.INV(RAND())</f>
        <v/>
      </c>
      <c r="RV2" s="19">
        <f>SQRT(Parameters!$B$5)*Factors!RV2+SQRT(Parameters!$B$6)*Factors!RV6+SQRT(Parameters!$B$7)*Factors!RV9+SQRT(Parameters!$B$9)*NORM.S.INV(RAND())</f>
        <v/>
      </c>
      <c r="RW2" s="19">
        <f>SQRT(Parameters!$B$5)*Factors!RW2+SQRT(Parameters!$B$6)*Factors!RW6+SQRT(Parameters!$B$7)*Factors!RW9+SQRT(Parameters!$B$9)*NORM.S.INV(RAND())</f>
        <v/>
      </c>
      <c r="RX2" s="19">
        <f>SQRT(Parameters!$B$5)*Factors!RX2+SQRT(Parameters!$B$6)*Factors!RX6+SQRT(Parameters!$B$7)*Factors!RX9+SQRT(Parameters!$B$9)*NORM.S.INV(RAND())</f>
        <v/>
      </c>
      <c r="RY2" s="19">
        <f>SQRT(Parameters!$B$5)*Factors!RY2+SQRT(Parameters!$B$6)*Factors!RY6+SQRT(Parameters!$B$7)*Factors!RY9+SQRT(Parameters!$B$9)*NORM.S.INV(RAND())</f>
        <v/>
      </c>
      <c r="RZ2" s="19">
        <f>SQRT(Parameters!$B$5)*Factors!RZ2+SQRT(Parameters!$B$6)*Factors!RZ6+SQRT(Parameters!$B$7)*Factors!RZ9+SQRT(Parameters!$B$9)*NORM.S.INV(RAND())</f>
        <v/>
      </c>
      <c r="SA2" s="19">
        <f>SQRT(Parameters!$B$5)*Factors!SA2+SQRT(Parameters!$B$6)*Factors!SA6+SQRT(Parameters!$B$7)*Factors!SA9+SQRT(Parameters!$B$9)*NORM.S.INV(RAND())</f>
        <v/>
      </c>
      <c r="SB2" s="19">
        <f>SQRT(Parameters!$B$5)*Factors!SB2+SQRT(Parameters!$B$6)*Factors!SB6+SQRT(Parameters!$B$7)*Factors!SB9+SQRT(Parameters!$B$9)*NORM.S.INV(RAND())</f>
        <v/>
      </c>
      <c r="SC2" s="19">
        <f>SQRT(Parameters!$B$5)*Factors!SC2+SQRT(Parameters!$B$6)*Factors!SC6+SQRT(Parameters!$B$7)*Factors!SC9+SQRT(Parameters!$B$9)*NORM.S.INV(RAND())</f>
        <v/>
      </c>
      <c r="SD2" s="19">
        <f>SQRT(Parameters!$B$5)*Factors!SD2+SQRT(Parameters!$B$6)*Factors!SD6+SQRT(Parameters!$B$7)*Factors!SD9+SQRT(Parameters!$B$9)*NORM.S.INV(RAND())</f>
        <v/>
      </c>
      <c r="SE2" s="19">
        <f>SQRT(Parameters!$B$5)*Factors!SE2+SQRT(Parameters!$B$6)*Factors!SE6+SQRT(Parameters!$B$7)*Factors!SE9+SQRT(Parameters!$B$9)*NORM.S.INV(RAND())</f>
        <v/>
      </c>
      <c r="SF2" s="19">
        <f>SQRT(Parameters!$B$5)*Factors!SF2+SQRT(Parameters!$B$6)*Factors!SF6+SQRT(Parameters!$B$7)*Factors!SF9+SQRT(Parameters!$B$9)*NORM.S.INV(RAND())</f>
        <v/>
      </c>
      <c r="SG2" s="19">
        <f>SQRT(Parameters!$B$5)*Factors!SG2+SQRT(Parameters!$B$6)*Factors!SG6+SQRT(Parameters!$B$7)*Factors!SG9+SQRT(Parameters!$B$9)*NORM.S.INV(RAND())</f>
        <v/>
      </c>
    </row>
    <row r="3">
      <c r="A3" s="17" t="inlineStr">
        <is>
          <t>OBL-002</t>
        </is>
      </c>
      <c r="B3" s="19">
        <f>SQRT(Parameters!$B$5)*Factors!B2+SQRT(Parameters!$B$6)*Factors!B5+SQRT(Parameters!$B$7)*Factors!B9+SQRT(Parameters!$B$9)*NORM.S.INV(RAND())</f>
        <v/>
      </c>
      <c r="C3" s="19">
        <f>SQRT(Parameters!$B$5)*Factors!C2+SQRT(Parameters!$B$6)*Factors!C5+SQRT(Parameters!$B$7)*Factors!C9+SQRT(Parameters!$B$9)*NORM.S.INV(RAND())</f>
        <v/>
      </c>
      <c r="D3" s="19">
        <f>SQRT(Parameters!$B$5)*Factors!D2+SQRT(Parameters!$B$6)*Factors!D5+SQRT(Parameters!$B$7)*Factors!D9+SQRT(Parameters!$B$9)*NORM.S.INV(RAND())</f>
        <v/>
      </c>
      <c r="E3" s="19">
        <f>SQRT(Parameters!$B$5)*Factors!E2+SQRT(Parameters!$B$6)*Factors!E5+SQRT(Parameters!$B$7)*Factors!E9+SQRT(Parameters!$B$9)*NORM.S.INV(RAND())</f>
        <v/>
      </c>
      <c r="F3" s="19">
        <f>SQRT(Parameters!$B$5)*Factors!F2+SQRT(Parameters!$B$6)*Factors!F5+SQRT(Parameters!$B$7)*Factors!F9+SQRT(Parameters!$B$9)*NORM.S.INV(RAND())</f>
        <v/>
      </c>
      <c r="G3" s="19">
        <f>SQRT(Parameters!$B$5)*Factors!G2+SQRT(Parameters!$B$6)*Factors!G5+SQRT(Parameters!$B$7)*Factors!G9+SQRT(Parameters!$B$9)*NORM.S.INV(RAND())</f>
        <v/>
      </c>
      <c r="H3" s="19">
        <f>SQRT(Parameters!$B$5)*Factors!H2+SQRT(Parameters!$B$6)*Factors!H5+SQRT(Parameters!$B$7)*Factors!H9+SQRT(Parameters!$B$9)*NORM.S.INV(RAND())</f>
        <v/>
      </c>
      <c r="I3" s="19">
        <f>SQRT(Parameters!$B$5)*Factors!I2+SQRT(Parameters!$B$6)*Factors!I5+SQRT(Parameters!$B$7)*Factors!I9+SQRT(Parameters!$B$9)*NORM.S.INV(RAND())</f>
        <v/>
      </c>
      <c r="J3" s="19">
        <f>SQRT(Parameters!$B$5)*Factors!J2+SQRT(Parameters!$B$6)*Factors!J5+SQRT(Parameters!$B$7)*Factors!J9+SQRT(Parameters!$B$9)*NORM.S.INV(RAND())</f>
        <v/>
      </c>
      <c r="K3" s="19">
        <f>SQRT(Parameters!$B$5)*Factors!K2+SQRT(Parameters!$B$6)*Factors!K5+SQRT(Parameters!$B$7)*Factors!K9+SQRT(Parameters!$B$9)*NORM.S.INV(RAND())</f>
        <v/>
      </c>
      <c r="L3" s="19">
        <f>SQRT(Parameters!$B$5)*Factors!L2+SQRT(Parameters!$B$6)*Factors!L5+SQRT(Parameters!$B$7)*Factors!L9+SQRT(Parameters!$B$9)*NORM.S.INV(RAND())</f>
        <v/>
      </c>
      <c r="M3" s="19">
        <f>SQRT(Parameters!$B$5)*Factors!M2+SQRT(Parameters!$B$6)*Factors!M5+SQRT(Parameters!$B$7)*Factors!M9+SQRT(Parameters!$B$9)*NORM.S.INV(RAND())</f>
        <v/>
      </c>
      <c r="N3" s="19">
        <f>SQRT(Parameters!$B$5)*Factors!N2+SQRT(Parameters!$B$6)*Factors!N5+SQRT(Parameters!$B$7)*Factors!N9+SQRT(Parameters!$B$9)*NORM.S.INV(RAND())</f>
        <v/>
      </c>
      <c r="O3" s="19">
        <f>SQRT(Parameters!$B$5)*Factors!O2+SQRT(Parameters!$B$6)*Factors!O5+SQRT(Parameters!$B$7)*Factors!O9+SQRT(Parameters!$B$9)*NORM.S.INV(RAND())</f>
        <v/>
      </c>
      <c r="P3" s="19">
        <f>SQRT(Parameters!$B$5)*Factors!P2+SQRT(Parameters!$B$6)*Factors!P5+SQRT(Parameters!$B$7)*Factors!P9+SQRT(Parameters!$B$9)*NORM.S.INV(RAND())</f>
        <v/>
      </c>
      <c r="Q3" s="19">
        <f>SQRT(Parameters!$B$5)*Factors!Q2+SQRT(Parameters!$B$6)*Factors!Q5+SQRT(Parameters!$B$7)*Factors!Q9+SQRT(Parameters!$B$9)*NORM.S.INV(RAND())</f>
        <v/>
      </c>
      <c r="R3" s="19">
        <f>SQRT(Parameters!$B$5)*Factors!R2+SQRT(Parameters!$B$6)*Factors!R5+SQRT(Parameters!$B$7)*Factors!R9+SQRT(Parameters!$B$9)*NORM.S.INV(RAND())</f>
        <v/>
      </c>
      <c r="S3" s="19">
        <f>SQRT(Parameters!$B$5)*Factors!S2+SQRT(Parameters!$B$6)*Factors!S5+SQRT(Parameters!$B$7)*Factors!S9+SQRT(Parameters!$B$9)*NORM.S.INV(RAND())</f>
        <v/>
      </c>
      <c r="T3" s="19">
        <f>SQRT(Parameters!$B$5)*Factors!T2+SQRT(Parameters!$B$6)*Factors!T5+SQRT(Parameters!$B$7)*Factors!T9+SQRT(Parameters!$B$9)*NORM.S.INV(RAND())</f>
        <v/>
      </c>
      <c r="U3" s="19">
        <f>SQRT(Parameters!$B$5)*Factors!U2+SQRT(Parameters!$B$6)*Factors!U5+SQRT(Parameters!$B$7)*Factors!U9+SQRT(Parameters!$B$9)*NORM.S.INV(RAND())</f>
        <v/>
      </c>
      <c r="V3" s="19">
        <f>SQRT(Parameters!$B$5)*Factors!V2+SQRT(Parameters!$B$6)*Factors!V5+SQRT(Parameters!$B$7)*Factors!V9+SQRT(Parameters!$B$9)*NORM.S.INV(RAND())</f>
        <v/>
      </c>
      <c r="W3" s="19">
        <f>SQRT(Parameters!$B$5)*Factors!W2+SQRT(Parameters!$B$6)*Factors!W5+SQRT(Parameters!$B$7)*Factors!W9+SQRT(Parameters!$B$9)*NORM.S.INV(RAND())</f>
        <v/>
      </c>
      <c r="X3" s="19">
        <f>SQRT(Parameters!$B$5)*Factors!X2+SQRT(Parameters!$B$6)*Factors!X5+SQRT(Parameters!$B$7)*Factors!X9+SQRT(Parameters!$B$9)*NORM.S.INV(RAND())</f>
        <v/>
      </c>
      <c r="Y3" s="19">
        <f>SQRT(Parameters!$B$5)*Factors!Y2+SQRT(Parameters!$B$6)*Factors!Y5+SQRT(Parameters!$B$7)*Factors!Y9+SQRT(Parameters!$B$9)*NORM.S.INV(RAND())</f>
        <v/>
      </c>
      <c r="Z3" s="19">
        <f>SQRT(Parameters!$B$5)*Factors!Z2+SQRT(Parameters!$B$6)*Factors!Z5+SQRT(Parameters!$B$7)*Factors!Z9+SQRT(Parameters!$B$9)*NORM.S.INV(RAND())</f>
        <v/>
      </c>
      <c r="AA3" s="19">
        <f>SQRT(Parameters!$B$5)*Factors!AA2+SQRT(Parameters!$B$6)*Factors!AA5+SQRT(Parameters!$B$7)*Factors!AA9+SQRT(Parameters!$B$9)*NORM.S.INV(RAND())</f>
        <v/>
      </c>
      <c r="AB3" s="19">
        <f>SQRT(Parameters!$B$5)*Factors!AB2+SQRT(Parameters!$B$6)*Factors!AB5+SQRT(Parameters!$B$7)*Factors!AB9+SQRT(Parameters!$B$9)*NORM.S.INV(RAND())</f>
        <v/>
      </c>
      <c r="AC3" s="19">
        <f>SQRT(Parameters!$B$5)*Factors!AC2+SQRT(Parameters!$B$6)*Factors!AC5+SQRT(Parameters!$B$7)*Factors!AC9+SQRT(Parameters!$B$9)*NORM.S.INV(RAND())</f>
        <v/>
      </c>
      <c r="AD3" s="19">
        <f>SQRT(Parameters!$B$5)*Factors!AD2+SQRT(Parameters!$B$6)*Factors!AD5+SQRT(Parameters!$B$7)*Factors!AD9+SQRT(Parameters!$B$9)*NORM.S.INV(RAND())</f>
        <v/>
      </c>
      <c r="AE3" s="19">
        <f>SQRT(Parameters!$B$5)*Factors!AE2+SQRT(Parameters!$B$6)*Factors!AE5+SQRT(Parameters!$B$7)*Factors!AE9+SQRT(Parameters!$B$9)*NORM.S.INV(RAND())</f>
        <v/>
      </c>
      <c r="AF3" s="19">
        <f>SQRT(Parameters!$B$5)*Factors!AF2+SQRT(Parameters!$B$6)*Factors!AF5+SQRT(Parameters!$B$7)*Factors!AF9+SQRT(Parameters!$B$9)*NORM.S.INV(RAND())</f>
        <v/>
      </c>
      <c r="AG3" s="19">
        <f>SQRT(Parameters!$B$5)*Factors!AG2+SQRT(Parameters!$B$6)*Factors!AG5+SQRT(Parameters!$B$7)*Factors!AG9+SQRT(Parameters!$B$9)*NORM.S.INV(RAND())</f>
        <v/>
      </c>
      <c r="AH3" s="19">
        <f>SQRT(Parameters!$B$5)*Factors!AH2+SQRT(Parameters!$B$6)*Factors!AH5+SQRT(Parameters!$B$7)*Factors!AH9+SQRT(Parameters!$B$9)*NORM.S.INV(RAND())</f>
        <v/>
      </c>
      <c r="AI3" s="19">
        <f>SQRT(Parameters!$B$5)*Factors!AI2+SQRT(Parameters!$B$6)*Factors!AI5+SQRT(Parameters!$B$7)*Factors!AI9+SQRT(Parameters!$B$9)*NORM.S.INV(RAND())</f>
        <v/>
      </c>
      <c r="AJ3" s="19">
        <f>SQRT(Parameters!$B$5)*Factors!AJ2+SQRT(Parameters!$B$6)*Factors!AJ5+SQRT(Parameters!$B$7)*Factors!AJ9+SQRT(Parameters!$B$9)*NORM.S.INV(RAND())</f>
        <v/>
      </c>
      <c r="AK3" s="19">
        <f>SQRT(Parameters!$B$5)*Factors!AK2+SQRT(Parameters!$B$6)*Factors!AK5+SQRT(Parameters!$B$7)*Factors!AK9+SQRT(Parameters!$B$9)*NORM.S.INV(RAND())</f>
        <v/>
      </c>
      <c r="AL3" s="19">
        <f>SQRT(Parameters!$B$5)*Factors!AL2+SQRT(Parameters!$B$6)*Factors!AL5+SQRT(Parameters!$B$7)*Factors!AL9+SQRT(Parameters!$B$9)*NORM.S.INV(RAND())</f>
        <v/>
      </c>
      <c r="AM3" s="19">
        <f>SQRT(Parameters!$B$5)*Factors!AM2+SQRT(Parameters!$B$6)*Factors!AM5+SQRT(Parameters!$B$7)*Factors!AM9+SQRT(Parameters!$B$9)*NORM.S.INV(RAND())</f>
        <v/>
      </c>
      <c r="AN3" s="19">
        <f>SQRT(Parameters!$B$5)*Factors!AN2+SQRT(Parameters!$B$6)*Factors!AN5+SQRT(Parameters!$B$7)*Factors!AN9+SQRT(Parameters!$B$9)*NORM.S.INV(RAND())</f>
        <v/>
      </c>
      <c r="AO3" s="19">
        <f>SQRT(Parameters!$B$5)*Factors!AO2+SQRT(Parameters!$B$6)*Factors!AO5+SQRT(Parameters!$B$7)*Factors!AO9+SQRT(Parameters!$B$9)*NORM.S.INV(RAND())</f>
        <v/>
      </c>
      <c r="AP3" s="19">
        <f>SQRT(Parameters!$B$5)*Factors!AP2+SQRT(Parameters!$B$6)*Factors!AP5+SQRT(Parameters!$B$7)*Factors!AP9+SQRT(Parameters!$B$9)*NORM.S.INV(RAND())</f>
        <v/>
      </c>
      <c r="AQ3" s="19">
        <f>SQRT(Parameters!$B$5)*Factors!AQ2+SQRT(Parameters!$B$6)*Factors!AQ5+SQRT(Parameters!$B$7)*Factors!AQ9+SQRT(Parameters!$B$9)*NORM.S.INV(RAND())</f>
        <v/>
      </c>
      <c r="AR3" s="19">
        <f>SQRT(Parameters!$B$5)*Factors!AR2+SQRT(Parameters!$B$6)*Factors!AR5+SQRT(Parameters!$B$7)*Factors!AR9+SQRT(Parameters!$B$9)*NORM.S.INV(RAND())</f>
        <v/>
      </c>
      <c r="AS3" s="19">
        <f>SQRT(Parameters!$B$5)*Factors!AS2+SQRT(Parameters!$B$6)*Factors!AS5+SQRT(Parameters!$B$7)*Factors!AS9+SQRT(Parameters!$B$9)*NORM.S.INV(RAND())</f>
        <v/>
      </c>
      <c r="AT3" s="19">
        <f>SQRT(Parameters!$B$5)*Factors!AT2+SQRT(Parameters!$B$6)*Factors!AT5+SQRT(Parameters!$B$7)*Factors!AT9+SQRT(Parameters!$B$9)*NORM.S.INV(RAND())</f>
        <v/>
      </c>
      <c r="AU3" s="19">
        <f>SQRT(Parameters!$B$5)*Factors!AU2+SQRT(Parameters!$B$6)*Factors!AU5+SQRT(Parameters!$B$7)*Factors!AU9+SQRT(Parameters!$B$9)*NORM.S.INV(RAND())</f>
        <v/>
      </c>
      <c r="AV3" s="19">
        <f>SQRT(Parameters!$B$5)*Factors!AV2+SQRT(Parameters!$B$6)*Factors!AV5+SQRT(Parameters!$B$7)*Factors!AV9+SQRT(Parameters!$B$9)*NORM.S.INV(RAND())</f>
        <v/>
      </c>
      <c r="AW3" s="19">
        <f>SQRT(Parameters!$B$5)*Factors!AW2+SQRT(Parameters!$B$6)*Factors!AW5+SQRT(Parameters!$B$7)*Factors!AW9+SQRT(Parameters!$B$9)*NORM.S.INV(RAND())</f>
        <v/>
      </c>
      <c r="AX3" s="19">
        <f>SQRT(Parameters!$B$5)*Factors!AX2+SQRT(Parameters!$B$6)*Factors!AX5+SQRT(Parameters!$B$7)*Factors!AX9+SQRT(Parameters!$B$9)*NORM.S.INV(RAND())</f>
        <v/>
      </c>
      <c r="AY3" s="19">
        <f>SQRT(Parameters!$B$5)*Factors!AY2+SQRT(Parameters!$B$6)*Factors!AY5+SQRT(Parameters!$B$7)*Factors!AY9+SQRT(Parameters!$B$9)*NORM.S.INV(RAND())</f>
        <v/>
      </c>
      <c r="AZ3" s="19">
        <f>SQRT(Parameters!$B$5)*Factors!AZ2+SQRT(Parameters!$B$6)*Factors!AZ5+SQRT(Parameters!$B$7)*Factors!AZ9+SQRT(Parameters!$B$9)*NORM.S.INV(RAND())</f>
        <v/>
      </c>
      <c r="BA3" s="19">
        <f>SQRT(Parameters!$B$5)*Factors!BA2+SQRT(Parameters!$B$6)*Factors!BA5+SQRT(Parameters!$B$7)*Factors!BA9+SQRT(Parameters!$B$9)*NORM.S.INV(RAND())</f>
        <v/>
      </c>
      <c r="BB3" s="19">
        <f>SQRT(Parameters!$B$5)*Factors!BB2+SQRT(Parameters!$B$6)*Factors!BB5+SQRT(Parameters!$B$7)*Factors!BB9+SQRT(Parameters!$B$9)*NORM.S.INV(RAND())</f>
        <v/>
      </c>
      <c r="BC3" s="19">
        <f>SQRT(Parameters!$B$5)*Factors!BC2+SQRT(Parameters!$B$6)*Factors!BC5+SQRT(Parameters!$B$7)*Factors!BC9+SQRT(Parameters!$B$9)*NORM.S.INV(RAND())</f>
        <v/>
      </c>
      <c r="BD3" s="19">
        <f>SQRT(Parameters!$B$5)*Factors!BD2+SQRT(Parameters!$B$6)*Factors!BD5+SQRT(Parameters!$B$7)*Factors!BD9+SQRT(Parameters!$B$9)*NORM.S.INV(RAND())</f>
        <v/>
      </c>
      <c r="BE3" s="19">
        <f>SQRT(Parameters!$B$5)*Factors!BE2+SQRT(Parameters!$B$6)*Factors!BE5+SQRT(Parameters!$B$7)*Factors!BE9+SQRT(Parameters!$B$9)*NORM.S.INV(RAND())</f>
        <v/>
      </c>
      <c r="BF3" s="19">
        <f>SQRT(Parameters!$B$5)*Factors!BF2+SQRT(Parameters!$B$6)*Factors!BF5+SQRT(Parameters!$B$7)*Factors!BF9+SQRT(Parameters!$B$9)*NORM.S.INV(RAND())</f>
        <v/>
      </c>
      <c r="BG3" s="19">
        <f>SQRT(Parameters!$B$5)*Factors!BG2+SQRT(Parameters!$B$6)*Factors!BG5+SQRT(Parameters!$B$7)*Factors!BG9+SQRT(Parameters!$B$9)*NORM.S.INV(RAND())</f>
        <v/>
      </c>
      <c r="BH3" s="19">
        <f>SQRT(Parameters!$B$5)*Factors!BH2+SQRT(Parameters!$B$6)*Factors!BH5+SQRT(Parameters!$B$7)*Factors!BH9+SQRT(Parameters!$B$9)*NORM.S.INV(RAND())</f>
        <v/>
      </c>
      <c r="BI3" s="19">
        <f>SQRT(Parameters!$B$5)*Factors!BI2+SQRT(Parameters!$B$6)*Factors!BI5+SQRT(Parameters!$B$7)*Factors!BI9+SQRT(Parameters!$B$9)*NORM.S.INV(RAND())</f>
        <v/>
      </c>
      <c r="BJ3" s="19">
        <f>SQRT(Parameters!$B$5)*Factors!BJ2+SQRT(Parameters!$B$6)*Factors!BJ5+SQRT(Parameters!$B$7)*Factors!BJ9+SQRT(Parameters!$B$9)*NORM.S.INV(RAND())</f>
        <v/>
      </c>
      <c r="BK3" s="19">
        <f>SQRT(Parameters!$B$5)*Factors!BK2+SQRT(Parameters!$B$6)*Factors!BK5+SQRT(Parameters!$B$7)*Factors!BK9+SQRT(Parameters!$B$9)*NORM.S.INV(RAND())</f>
        <v/>
      </c>
      <c r="BL3" s="19">
        <f>SQRT(Parameters!$B$5)*Factors!BL2+SQRT(Parameters!$B$6)*Factors!BL5+SQRT(Parameters!$B$7)*Factors!BL9+SQRT(Parameters!$B$9)*NORM.S.INV(RAND())</f>
        <v/>
      </c>
      <c r="BM3" s="19">
        <f>SQRT(Parameters!$B$5)*Factors!BM2+SQRT(Parameters!$B$6)*Factors!BM5+SQRT(Parameters!$B$7)*Factors!BM9+SQRT(Parameters!$B$9)*NORM.S.INV(RAND())</f>
        <v/>
      </c>
      <c r="BN3" s="19">
        <f>SQRT(Parameters!$B$5)*Factors!BN2+SQRT(Parameters!$B$6)*Factors!BN5+SQRT(Parameters!$B$7)*Factors!BN9+SQRT(Parameters!$B$9)*NORM.S.INV(RAND())</f>
        <v/>
      </c>
      <c r="BO3" s="19">
        <f>SQRT(Parameters!$B$5)*Factors!BO2+SQRT(Parameters!$B$6)*Factors!BO5+SQRT(Parameters!$B$7)*Factors!BO9+SQRT(Parameters!$B$9)*NORM.S.INV(RAND())</f>
        <v/>
      </c>
      <c r="BP3" s="19">
        <f>SQRT(Parameters!$B$5)*Factors!BP2+SQRT(Parameters!$B$6)*Factors!BP5+SQRT(Parameters!$B$7)*Factors!BP9+SQRT(Parameters!$B$9)*NORM.S.INV(RAND())</f>
        <v/>
      </c>
      <c r="BQ3" s="19">
        <f>SQRT(Parameters!$B$5)*Factors!BQ2+SQRT(Parameters!$B$6)*Factors!BQ5+SQRT(Parameters!$B$7)*Factors!BQ9+SQRT(Parameters!$B$9)*NORM.S.INV(RAND())</f>
        <v/>
      </c>
      <c r="BR3" s="19">
        <f>SQRT(Parameters!$B$5)*Factors!BR2+SQRT(Parameters!$B$6)*Factors!BR5+SQRT(Parameters!$B$7)*Factors!BR9+SQRT(Parameters!$B$9)*NORM.S.INV(RAND())</f>
        <v/>
      </c>
      <c r="BS3" s="19">
        <f>SQRT(Parameters!$B$5)*Factors!BS2+SQRT(Parameters!$B$6)*Factors!BS5+SQRT(Parameters!$B$7)*Factors!BS9+SQRT(Parameters!$B$9)*NORM.S.INV(RAND())</f>
        <v/>
      </c>
      <c r="BT3" s="19">
        <f>SQRT(Parameters!$B$5)*Factors!BT2+SQRT(Parameters!$B$6)*Factors!BT5+SQRT(Parameters!$B$7)*Factors!BT9+SQRT(Parameters!$B$9)*NORM.S.INV(RAND())</f>
        <v/>
      </c>
      <c r="BU3" s="19">
        <f>SQRT(Parameters!$B$5)*Factors!BU2+SQRT(Parameters!$B$6)*Factors!BU5+SQRT(Parameters!$B$7)*Factors!BU9+SQRT(Parameters!$B$9)*NORM.S.INV(RAND())</f>
        <v/>
      </c>
      <c r="BV3" s="19">
        <f>SQRT(Parameters!$B$5)*Factors!BV2+SQRT(Parameters!$B$6)*Factors!BV5+SQRT(Parameters!$B$7)*Factors!BV9+SQRT(Parameters!$B$9)*NORM.S.INV(RAND())</f>
        <v/>
      </c>
      <c r="BW3" s="19">
        <f>SQRT(Parameters!$B$5)*Factors!BW2+SQRT(Parameters!$B$6)*Factors!BW5+SQRT(Parameters!$B$7)*Factors!BW9+SQRT(Parameters!$B$9)*NORM.S.INV(RAND())</f>
        <v/>
      </c>
      <c r="BX3" s="19">
        <f>SQRT(Parameters!$B$5)*Factors!BX2+SQRT(Parameters!$B$6)*Factors!BX5+SQRT(Parameters!$B$7)*Factors!BX9+SQRT(Parameters!$B$9)*NORM.S.INV(RAND())</f>
        <v/>
      </c>
      <c r="BY3" s="19">
        <f>SQRT(Parameters!$B$5)*Factors!BY2+SQRT(Parameters!$B$6)*Factors!BY5+SQRT(Parameters!$B$7)*Factors!BY9+SQRT(Parameters!$B$9)*NORM.S.INV(RAND())</f>
        <v/>
      </c>
      <c r="BZ3" s="19">
        <f>SQRT(Parameters!$B$5)*Factors!BZ2+SQRT(Parameters!$B$6)*Factors!BZ5+SQRT(Parameters!$B$7)*Factors!BZ9+SQRT(Parameters!$B$9)*NORM.S.INV(RAND())</f>
        <v/>
      </c>
      <c r="CA3" s="19">
        <f>SQRT(Parameters!$B$5)*Factors!CA2+SQRT(Parameters!$B$6)*Factors!CA5+SQRT(Parameters!$B$7)*Factors!CA9+SQRT(Parameters!$B$9)*NORM.S.INV(RAND())</f>
        <v/>
      </c>
      <c r="CB3" s="19">
        <f>SQRT(Parameters!$B$5)*Factors!CB2+SQRT(Parameters!$B$6)*Factors!CB5+SQRT(Parameters!$B$7)*Factors!CB9+SQRT(Parameters!$B$9)*NORM.S.INV(RAND())</f>
        <v/>
      </c>
      <c r="CC3" s="19">
        <f>SQRT(Parameters!$B$5)*Factors!CC2+SQRT(Parameters!$B$6)*Factors!CC5+SQRT(Parameters!$B$7)*Factors!CC9+SQRT(Parameters!$B$9)*NORM.S.INV(RAND())</f>
        <v/>
      </c>
      <c r="CD3" s="19">
        <f>SQRT(Parameters!$B$5)*Factors!CD2+SQRT(Parameters!$B$6)*Factors!CD5+SQRT(Parameters!$B$7)*Factors!CD9+SQRT(Parameters!$B$9)*NORM.S.INV(RAND())</f>
        <v/>
      </c>
      <c r="CE3" s="19">
        <f>SQRT(Parameters!$B$5)*Factors!CE2+SQRT(Parameters!$B$6)*Factors!CE5+SQRT(Parameters!$B$7)*Factors!CE9+SQRT(Parameters!$B$9)*NORM.S.INV(RAND())</f>
        <v/>
      </c>
      <c r="CF3" s="19">
        <f>SQRT(Parameters!$B$5)*Factors!CF2+SQRT(Parameters!$B$6)*Factors!CF5+SQRT(Parameters!$B$7)*Factors!CF9+SQRT(Parameters!$B$9)*NORM.S.INV(RAND())</f>
        <v/>
      </c>
      <c r="CG3" s="19">
        <f>SQRT(Parameters!$B$5)*Factors!CG2+SQRT(Parameters!$B$6)*Factors!CG5+SQRT(Parameters!$B$7)*Factors!CG9+SQRT(Parameters!$B$9)*NORM.S.INV(RAND())</f>
        <v/>
      </c>
      <c r="CH3" s="19">
        <f>SQRT(Parameters!$B$5)*Factors!CH2+SQRT(Parameters!$B$6)*Factors!CH5+SQRT(Parameters!$B$7)*Factors!CH9+SQRT(Parameters!$B$9)*NORM.S.INV(RAND())</f>
        <v/>
      </c>
      <c r="CI3" s="19">
        <f>SQRT(Parameters!$B$5)*Factors!CI2+SQRT(Parameters!$B$6)*Factors!CI5+SQRT(Parameters!$B$7)*Factors!CI9+SQRT(Parameters!$B$9)*NORM.S.INV(RAND())</f>
        <v/>
      </c>
      <c r="CJ3" s="19">
        <f>SQRT(Parameters!$B$5)*Factors!CJ2+SQRT(Parameters!$B$6)*Factors!CJ5+SQRT(Parameters!$B$7)*Factors!CJ9+SQRT(Parameters!$B$9)*NORM.S.INV(RAND())</f>
        <v/>
      </c>
      <c r="CK3" s="19">
        <f>SQRT(Parameters!$B$5)*Factors!CK2+SQRT(Parameters!$B$6)*Factors!CK5+SQRT(Parameters!$B$7)*Factors!CK9+SQRT(Parameters!$B$9)*NORM.S.INV(RAND())</f>
        <v/>
      </c>
      <c r="CL3" s="19">
        <f>SQRT(Parameters!$B$5)*Factors!CL2+SQRT(Parameters!$B$6)*Factors!CL5+SQRT(Parameters!$B$7)*Factors!CL9+SQRT(Parameters!$B$9)*NORM.S.INV(RAND())</f>
        <v/>
      </c>
      <c r="CM3" s="19">
        <f>SQRT(Parameters!$B$5)*Factors!CM2+SQRT(Parameters!$B$6)*Factors!CM5+SQRT(Parameters!$B$7)*Factors!CM9+SQRT(Parameters!$B$9)*NORM.S.INV(RAND())</f>
        <v/>
      </c>
      <c r="CN3" s="19">
        <f>SQRT(Parameters!$B$5)*Factors!CN2+SQRT(Parameters!$B$6)*Factors!CN5+SQRT(Parameters!$B$7)*Factors!CN9+SQRT(Parameters!$B$9)*NORM.S.INV(RAND())</f>
        <v/>
      </c>
      <c r="CO3" s="19">
        <f>SQRT(Parameters!$B$5)*Factors!CO2+SQRT(Parameters!$B$6)*Factors!CO5+SQRT(Parameters!$B$7)*Factors!CO9+SQRT(Parameters!$B$9)*NORM.S.INV(RAND())</f>
        <v/>
      </c>
      <c r="CP3" s="19">
        <f>SQRT(Parameters!$B$5)*Factors!CP2+SQRT(Parameters!$B$6)*Factors!CP5+SQRT(Parameters!$B$7)*Factors!CP9+SQRT(Parameters!$B$9)*NORM.S.INV(RAND())</f>
        <v/>
      </c>
      <c r="CQ3" s="19">
        <f>SQRT(Parameters!$B$5)*Factors!CQ2+SQRT(Parameters!$B$6)*Factors!CQ5+SQRT(Parameters!$B$7)*Factors!CQ9+SQRT(Parameters!$B$9)*NORM.S.INV(RAND())</f>
        <v/>
      </c>
      <c r="CR3" s="19">
        <f>SQRT(Parameters!$B$5)*Factors!CR2+SQRT(Parameters!$B$6)*Factors!CR5+SQRT(Parameters!$B$7)*Factors!CR9+SQRT(Parameters!$B$9)*NORM.S.INV(RAND())</f>
        <v/>
      </c>
      <c r="CS3" s="19">
        <f>SQRT(Parameters!$B$5)*Factors!CS2+SQRT(Parameters!$B$6)*Factors!CS5+SQRT(Parameters!$B$7)*Factors!CS9+SQRT(Parameters!$B$9)*NORM.S.INV(RAND())</f>
        <v/>
      </c>
      <c r="CT3" s="19">
        <f>SQRT(Parameters!$B$5)*Factors!CT2+SQRT(Parameters!$B$6)*Factors!CT5+SQRT(Parameters!$B$7)*Factors!CT9+SQRT(Parameters!$B$9)*NORM.S.INV(RAND())</f>
        <v/>
      </c>
      <c r="CU3" s="19">
        <f>SQRT(Parameters!$B$5)*Factors!CU2+SQRT(Parameters!$B$6)*Factors!CU5+SQRT(Parameters!$B$7)*Factors!CU9+SQRT(Parameters!$B$9)*NORM.S.INV(RAND())</f>
        <v/>
      </c>
      <c r="CV3" s="19">
        <f>SQRT(Parameters!$B$5)*Factors!CV2+SQRT(Parameters!$B$6)*Factors!CV5+SQRT(Parameters!$B$7)*Factors!CV9+SQRT(Parameters!$B$9)*NORM.S.INV(RAND())</f>
        <v/>
      </c>
      <c r="CW3" s="19">
        <f>SQRT(Parameters!$B$5)*Factors!CW2+SQRT(Parameters!$B$6)*Factors!CW5+SQRT(Parameters!$B$7)*Factors!CW9+SQRT(Parameters!$B$9)*NORM.S.INV(RAND())</f>
        <v/>
      </c>
      <c r="CX3" s="19">
        <f>SQRT(Parameters!$B$5)*Factors!CX2+SQRT(Parameters!$B$6)*Factors!CX5+SQRT(Parameters!$B$7)*Factors!CX9+SQRT(Parameters!$B$9)*NORM.S.INV(RAND())</f>
        <v/>
      </c>
      <c r="CY3" s="19">
        <f>SQRT(Parameters!$B$5)*Factors!CY2+SQRT(Parameters!$B$6)*Factors!CY5+SQRT(Parameters!$B$7)*Factors!CY9+SQRT(Parameters!$B$9)*NORM.S.INV(RAND())</f>
        <v/>
      </c>
      <c r="CZ3" s="19">
        <f>SQRT(Parameters!$B$5)*Factors!CZ2+SQRT(Parameters!$B$6)*Factors!CZ5+SQRT(Parameters!$B$7)*Factors!CZ9+SQRT(Parameters!$B$9)*NORM.S.INV(RAND())</f>
        <v/>
      </c>
      <c r="DA3" s="19">
        <f>SQRT(Parameters!$B$5)*Factors!DA2+SQRT(Parameters!$B$6)*Factors!DA5+SQRT(Parameters!$B$7)*Factors!DA9+SQRT(Parameters!$B$9)*NORM.S.INV(RAND())</f>
        <v/>
      </c>
      <c r="DB3" s="19">
        <f>SQRT(Parameters!$B$5)*Factors!DB2+SQRT(Parameters!$B$6)*Factors!DB5+SQRT(Parameters!$B$7)*Factors!DB9+SQRT(Parameters!$B$9)*NORM.S.INV(RAND())</f>
        <v/>
      </c>
      <c r="DC3" s="19">
        <f>SQRT(Parameters!$B$5)*Factors!DC2+SQRT(Parameters!$B$6)*Factors!DC5+SQRT(Parameters!$B$7)*Factors!DC9+SQRT(Parameters!$B$9)*NORM.S.INV(RAND())</f>
        <v/>
      </c>
      <c r="DD3" s="19">
        <f>SQRT(Parameters!$B$5)*Factors!DD2+SQRT(Parameters!$B$6)*Factors!DD5+SQRT(Parameters!$B$7)*Factors!DD9+SQRT(Parameters!$B$9)*NORM.S.INV(RAND())</f>
        <v/>
      </c>
      <c r="DE3" s="19">
        <f>SQRT(Parameters!$B$5)*Factors!DE2+SQRT(Parameters!$B$6)*Factors!DE5+SQRT(Parameters!$B$7)*Factors!DE9+SQRT(Parameters!$B$9)*NORM.S.INV(RAND())</f>
        <v/>
      </c>
      <c r="DF3" s="19">
        <f>SQRT(Parameters!$B$5)*Factors!DF2+SQRT(Parameters!$B$6)*Factors!DF5+SQRT(Parameters!$B$7)*Factors!DF9+SQRT(Parameters!$B$9)*NORM.S.INV(RAND())</f>
        <v/>
      </c>
      <c r="DG3" s="19">
        <f>SQRT(Parameters!$B$5)*Factors!DG2+SQRT(Parameters!$B$6)*Factors!DG5+SQRT(Parameters!$B$7)*Factors!DG9+SQRT(Parameters!$B$9)*NORM.S.INV(RAND())</f>
        <v/>
      </c>
      <c r="DH3" s="19">
        <f>SQRT(Parameters!$B$5)*Factors!DH2+SQRT(Parameters!$B$6)*Factors!DH5+SQRT(Parameters!$B$7)*Factors!DH9+SQRT(Parameters!$B$9)*NORM.S.INV(RAND())</f>
        <v/>
      </c>
      <c r="DI3" s="19">
        <f>SQRT(Parameters!$B$5)*Factors!DI2+SQRT(Parameters!$B$6)*Factors!DI5+SQRT(Parameters!$B$7)*Factors!DI9+SQRT(Parameters!$B$9)*NORM.S.INV(RAND())</f>
        <v/>
      </c>
      <c r="DJ3" s="19">
        <f>SQRT(Parameters!$B$5)*Factors!DJ2+SQRT(Parameters!$B$6)*Factors!DJ5+SQRT(Parameters!$B$7)*Factors!DJ9+SQRT(Parameters!$B$9)*NORM.S.INV(RAND())</f>
        <v/>
      </c>
      <c r="DK3" s="19">
        <f>SQRT(Parameters!$B$5)*Factors!DK2+SQRT(Parameters!$B$6)*Factors!DK5+SQRT(Parameters!$B$7)*Factors!DK9+SQRT(Parameters!$B$9)*NORM.S.INV(RAND())</f>
        <v/>
      </c>
      <c r="DL3" s="19">
        <f>SQRT(Parameters!$B$5)*Factors!DL2+SQRT(Parameters!$B$6)*Factors!DL5+SQRT(Parameters!$B$7)*Factors!DL9+SQRT(Parameters!$B$9)*NORM.S.INV(RAND())</f>
        <v/>
      </c>
      <c r="DM3" s="19">
        <f>SQRT(Parameters!$B$5)*Factors!DM2+SQRT(Parameters!$B$6)*Factors!DM5+SQRT(Parameters!$B$7)*Factors!DM9+SQRT(Parameters!$B$9)*NORM.S.INV(RAND())</f>
        <v/>
      </c>
      <c r="DN3" s="19">
        <f>SQRT(Parameters!$B$5)*Factors!DN2+SQRT(Parameters!$B$6)*Factors!DN5+SQRT(Parameters!$B$7)*Factors!DN9+SQRT(Parameters!$B$9)*NORM.S.INV(RAND())</f>
        <v/>
      </c>
      <c r="DO3" s="19">
        <f>SQRT(Parameters!$B$5)*Factors!DO2+SQRT(Parameters!$B$6)*Factors!DO5+SQRT(Parameters!$B$7)*Factors!DO9+SQRT(Parameters!$B$9)*NORM.S.INV(RAND())</f>
        <v/>
      </c>
      <c r="DP3" s="19">
        <f>SQRT(Parameters!$B$5)*Factors!DP2+SQRT(Parameters!$B$6)*Factors!DP5+SQRT(Parameters!$B$7)*Factors!DP9+SQRT(Parameters!$B$9)*NORM.S.INV(RAND())</f>
        <v/>
      </c>
      <c r="DQ3" s="19">
        <f>SQRT(Parameters!$B$5)*Factors!DQ2+SQRT(Parameters!$B$6)*Factors!DQ5+SQRT(Parameters!$B$7)*Factors!DQ9+SQRT(Parameters!$B$9)*NORM.S.INV(RAND())</f>
        <v/>
      </c>
      <c r="DR3" s="19">
        <f>SQRT(Parameters!$B$5)*Factors!DR2+SQRT(Parameters!$B$6)*Factors!DR5+SQRT(Parameters!$B$7)*Factors!DR9+SQRT(Parameters!$B$9)*NORM.S.INV(RAND())</f>
        <v/>
      </c>
      <c r="DS3" s="19">
        <f>SQRT(Parameters!$B$5)*Factors!DS2+SQRT(Parameters!$B$6)*Factors!DS5+SQRT(Parameters!$B$7)*Factors!DS9+SQRT(Parameters!$B$9)*NORM.S.INV(RAND())</f>
        <v/>
      </c>
      <c r="DT3" s="19">
        <f>SQRT(Parameters!$B$5)*Factors!DT2+SQRT(Parameters!$B$6)*Factors!DT5+SQRT(Parameters!$B$7)*Factors!DT9+SQRT(Parameters!$B$9)*NORM.S.INV(RAND())</f>
        <v/>
      </c>
      <c r="DU3" s="19">
        <f>SQRT(Parameters!$B$5)*Factors!DU2+SQRT(Parameters!$B$6)*Factors!DU5+SQRT(Parameters!$B$7)*Factors!DU9+SQRT(Parameters!$B$9)*NORM.S.INV(RAND())</f>
        <v/>
      </c>
      <c r="DV3" s="19">
        <f>SQRT(Parameters!$B$5)*Factors!DV2+SQRT(Parameters!$B$6)*Factors!DV5+SQRT(Parameters!$B$7)*Factors!DV9+SQRT(Parameters!$B$9)*NORM.S.INV(RAND())</f>
        <v/>
      </c>
      <c r="DW3" s="19">
        <f>SQRT(Parameters!$B$5)*Factors!DW2+SQRT(Parameters!$B$6)*Factors!DW5+SQRT(Parameters!$B$7)*Factors!DW9+SQRT(Parameters!$B$9)*NORM.S.INV(RAND())</f>
        <v/>
      </c>
      <c r="DX3" s="19">
        <f>SQRT(Parameters!$B$5)*Factors!DX2+SQRT(Parameters!$B$6)*Factors!DX5+SQRT(Parameters!$B$7)*Factors!DX9+SQRT(Parameters!$B$9)*NORM.S.INV(RAND())</f>
        <v/>
      </c>
      <c r="DY3" s="19">
        <f>SQRT(Parameters!$B$5)*Factors!DY2+SQRT(Parameters!$B$6)*Factors!DY5+SQRT(Parameters!$B$7)*Factors!DY9+SQRT(Parameters!$B$9)*NORM.S.INV(RAND())</f>
        <v/>
      </c>
      <c r="DZ3" s="19">
        <f>SQRT(Parameters!$B$5)*Factors!DZ2+SQRT(Parameters!$B$6)*Factors!DZ5+SQRT(Parameters!$B$7)*Factors!DZ9+SQRT(Parameters!$B$9)*NORM.S.INV(RAND())</f>
        <v/>
      </c>
      <c r="EA3" s="19">
        <f>SQRT(Parameters!$B$5)*Factors!EA2+SQRT(Parameters!$B$6)*Factors!EA5+SQRT(Parameters!$B$7)*Factors!EA9+SQRT(Parameters!$B$9)*NORM.S.INV(RAND())</f>
        <v/>
      </c>
      <c r="EB3" s="19">
        <f>SQRT(Parameters!$B$5)*Factors!EB2+SQRT(Parameters!$B$6)*Factors!EB5+SQRT(Parameters!$B$7)*Factors!EB9+SQRT(Parameters!$B$9)*NORM.S.INV(RAND())</f>
        <v/>
      </c>
      <c r="EC3" s="19">
        <f>SQRT(Parameters!$B$5)*Factors!EC2+SQRT(Parameters!$B$6)*Factors!EC5+SQRT(Parameters!$B$7)*Factors!EC9+SQRT(Parameters!$B$9)*NORM.S.INV(RAND())</f>
        <v/>
      </c>
      <c r="ED3" s="19">
        <f>SQRT(Parameters!$B$5)*Factors!ED2+SQRT(Parameters!$B$6)*Factors!ED5+SQRT(Parameters!$B$7)*Factors!ED9+SQRT(Parameters!$B$9)*NORM.S.INV(RAND())</f>
        <v/>
      </c>
      <c r="EE3" s="19">
        <f>SQRT(Parameters!$B$5)*Factors!EE2+SQRT(Parameters!$B$6)*Factors!EE5+SQRT(Parameters!$B$7)*Factors!EE9+SQRT(Parameters!$B$9)*NORM.S.INV(RAND())</f>
        <v/>
      </c>
      <c r="EF3" s="19">
        <f>SQRT(Parameters!$B$5)*Factors!EF2+SQRT(Parameters!$B$6)*Factors!EF5+SQRT(Parameters!$B$7)*Factors!EF9+SQRT(Parameters!$B$9)*NORM.S.INV(RAND())</f>
        <v/>
      </c>
      <c r="EG3" s="19">
        <f>SQRT(Parameters!$B$5)*Factors!EG2+SQRT(Parameters!$B$6)*Factors!EG5+SQRT(Parameters!$B$7)*Factors!EG9+SQRT(Parameters!$B$9)*NORM.S.INV(RAND())</f>
        <v/>
      </c>
      <c r="EH3" s="19">
        <f>SQRT(Parameters!$B$5)*Factors!EH2+SQRT(Parameters!$B$6)*Factors!EH5+SQRT(Parameters!$B$7)*Factors!EH9+SQRT(Parameters!$B$9)*NORM.S.INV(RAND())</f>
        <v/>
      </c>
      <c r="EI3" s="19">
        <f>SQRT(Parameters!$B$5)*Factors!EI2+SQRT(Parameters!$B$6)*Factors!EI5+SQRT(Parameters!$B$7)*Factors!EI9+SQRT(Parameters!$B$9)*NORM.S.INV(RAND())</f>
        <v/>
      </c>
      <c r="EJ3" s="19">
        <f>SQRT(Parameters!$B$5)*Factors!EJ2+SQRT(Parameters!$B$6)*Factors!EJ5+SQRT(Parameters!$B$7)*Factors!EJ9+SQRT(Parameters!$B$9)*NORM.S.INV(RAND())</f>
        <v/>
      </c>
      <c r="EK3" s="19">
        <f>SQRT(Parameters!$B$5)*Factors!EK2+SQRT(Parameters!$B$6)*Factors!EK5+SQRT(Parameters!$B$7)*Factors!EK9+SQRT(Parameters!$B$9)*NORM.S.INV(RAND())</f>
        <v/>
      </c>
      <c r="EL3" s="19">
        <f>SQRT(Parameters!$B$5)*Factors!EL2+SQRT(Parameters!$B$6)*Factors!EL5+SQRT(Parameters!$B$7)*Factors!EL9+SQRT(Parameters!$B$9)*NORM.S.INV(RAND())</f>
        <v/>
      </c>
      <c r="EM3" s="19">
        <f>SQRT(Parameters!$B$5)*Factors!EM2+SQRT(Parameters!$B$6)*Factors!EM5+SQRT(Parameters!$B$7)*Factors!EM9+SQRT(Parameters!$B$9)*NORM.S.INV(RAND())</f>
        <v/>
      </c>
      <c r="EN3" s="19">
        <f>SQRT(Parameters!$B$5)*Factors!EN2+SQRT(Parameters!$B$6)*Factors!EN5+SQRT(Parameters!$B$7)*Factors!EN9+SQRT(Parameters!$B$9)*NORM.S.INV(RAND())</f>
        <v/>
      </c>
      <c r="EO3" s="19">
        <f>SQRT(Parameters!$B$5)*Factors!EO2+SQRT(Parameters!$B$6)*Factors!EO5+SQRT(Parameters!$B$7)*Factors!EO9+SQRT(Parameters!$B$9)*NORM.S.INV(RAND())</f>
        <v/>
      </c>
      <c r="EP3" s="19">
        <f>SQRT(Parameters!$B$5)*Factors!EP2+SQRT(Parameters!$B$6)*Factors!EP5+SQRT(Parameters!$B$7)*Factors!EP9+SQRT(Parameters!$B$9)*NORM.S.INV(RAND())</f>
        <v/>
      </c>
      <c r="EQ3" s="19">
        <f>SQRT(Parameters!$B$5)*Factors!EQ2+SQRT(Parameters!$B$6)*Factors!EQ5+SQRT(Parameters!$B$7)*Factors!EQ9+SQRT(Parameters!$B$9)*NORM.S.INV(RAND())</f>
        <v/>
      </c>
      <c r="ER3" s="19">
        <f>SQRT(Parameters!$B$5)*Factors!ER2+SQRT(Parameters!$B$6)*Factors!ER5+SQRT(Parameters!$B$7)*Factors!ER9+SQRT(Parameters!$B$9)*NORM.S.INV(RAND())</f>
        <v/>
      </c>
      <c r="ES3" s="19">
        <f>SQRT(Parameters!$B$5)*Factors!ES2+SQRT(Parameters!$B$6)*Factors!ES5+SQRT(Parameters!$B$7)*Factors!ES9+SQRT(Parameters!$B$9)*NORM.S.INV(RAND())</f>
        <v/>
      </c>
      <c r="ET3" s="19">
        <f>SQRT(Parameters!$B$5)*Factors!ET2+SQRT(Parameters!$B$6)*Factors!ET5+SQRT(Parameters!$B$7)*Factors!ET9+SQRT(Parameters!$B$9)*NORM.S.INV(RAND())</f>
        <v/>
      </c>
      <c r="EU3" s="19">
        <f>SQRT(Parameters!$B$5)*Factors!EU2+SQRT(Parameters!$B$6)*Factors!EU5+SQRT(Parameters!$B$7)*Factors!EU9+SQRT(Parameters!$B$9)*NORM.S.INV(RAND())</f>
        <v/>
      </c>
      <c r="EV3" s="19">
        <f>SQRT(Parameters!$B$5)*Factors!EV2+SQRT(Parameters!$B$6)*Factors!EV5+SQRT(Parameters!$B$7)*Factors!EV9+SQRT(Parameters!$B$9)*NORM.S.INV(RAND())</f>
        <v/>
      </c>
      <c r="EW3" s="19">
        <f>SQRT(Parameters!$B$5)*Factors!EW2+SQRT(Parameters!$B$6)*Factors!EW5+SQRT(Parameters!$B$7)*Factors!EW9+SQRT(Parameters!$B$9)*NORM.S.INV(RAND())</f>
        <v/>
      </c>
      <c r="EX3" s="19">
        <f>SQRT(Parameters!$B$5)*Factors!EX2+SQRT(Parameters!$B$6)*Factors!EX5+SQRT(Parameters!$B$7)*Factors!EX9+SQRT(Parameters!$B$9)*NORM.S.INV(RAND())</f>
        <v/>
      </c>
      <c r="EY3" s="19">
        <f>SQRT(Parameters!$B$5)*Factors!EY2+SQRT(Parameters!$B$6)*Factors!EY5+SQRT(Parameters!$B$7)*Factors!EY9+SQRT(Parameters!$B$9)*NORM.S.INV(RAND())</f>
        <v/>
      </c>
      <c r="EZ3" s="19">
        <f>SQRT(Parameters!$B$5)*Factors!EZ2+SQRT(Parameters!$B$6)*Factors!EZ5+SQRT(Parameters!$B$7)*Factors!EZ9+SQRT(Parameters!$B$9)*NORM.S.INV(RAND())</f>
        <v/>
      </c>
      <c r="FA3" s="19">
        <f>SQRT(Parameters!$B$5)*Factors!FA2+SQRT(Parameters!$B$6)*Factors!FA5+SQRT(Parameters!$B$7)*Factors!FA9+SQRT(Parameters!$B$9)*NORM.S.INV(RAND())</f>
        <v/>
      </c>
      <c r="FB3" s="19">
        <f>SQRT(Parameters!$B$5)*Factors!FB2+SQRT(Parameters!$B$6)*Factors!FB5+SQRT(Parameters!$B$7)*Factors!FB9+SQRT(Parameters!$B$9)*NORM.S.INV(RAND())</f>
        <v/>
      </c>
      <c r="FC3" s="19">
        <f>SQRT(Parameters!$B$5)*Factors!FC2+SQRT(Parameters!$B$6)*Factors!FC5+SQRT(Parameters!$B$7)*Factors!FC9+SQRT(Parameters!$B$9)*NORM.S.INV(RAND())</f>
        <v/>
      </c>
      <c r="FD3" s="19">
        <f>SQRT(Parameters!$B$5)*Factors!FD2+SQRT(Parameters!$B$6)*Factors!FD5+SQRT(Parameters!$B$7)*Factors!FD9+SQRT(Parameters!$B$9)*NORM.S.INV(RAND())</f>
        <v/>
      </c>
      <c r="FE3" s="19">
        <f>SQRT(Parameters!$B$5)*Factors!FE2+SQRT(Parameters!$B$6)*Factors!FE5+SQRT(Parameters!$B$7)*Factors!FE9+SQRT(Parameters!$B$9)*NORM.S.INV(RAND())</f>
        <v/>
      </c>
      <c r="FF3" s="19">
        <f>SQRT(Parameters!$B$5)*Factors!FF2+SQRT(Parameters!$B$6)*Factors!FF5+SQRT(Parameters!$B$7)*Factors!FF9+SQRT(Parameters!$B$9)*NORM.S.INV(RAND())</f>
        <v/>
      </c>
      <c r="FG3" s="19">
        <f>SQRT(Parameters!$B$5)*Factors!FG2+SQRT(Parameters!$B$6)*Factors!FG5+SQRT(Parameters!$B$7)*Factors!FG9+SQRT(Parameters!$B$9)*NORM.S.INV(RAND())</f>
        <v/>
      </c>
      <c r="FH3" s="19">
        <f>SQRT(Parameters!$B$5)*Factors!FH2+SQRT(Parameters!$B$6)*Factors!FH5+SQRT(Parameters!$B$7)*Factors!FH9+SQRT(Parameters!$B$9)*NORM.S.INV(RAND())</f>
        <v/>
      </c>
      <c r="FI3" s="19">
        <f>SQRT(Parameters!$B$5)*Factors!FI2+SQRT(Parameters!$B$6)*Factors!FI5+SQRT(Parameters!$B$7)*Factors!FI9+SQRT(Parameters!$B$9)*NORM.S.INV(RAND())</f>
        <v/>
      </c>
      <c r="FJ3" s="19">
        <f>SQRT(Parameters!$B$5)*Factors!FJ2+SQRT(Parameters!$B$6)*Factors!FJ5+SQRT(Parameters!$B$7)*Factors!FJ9+SQRT(Parameters!$B$9)*NORM.S.INV(RAND())</f>
        <v/>
      </c>
      <c r="FK3" s="19">
        <f>SQRT(Parameters!$B$5)*Factors!FK2+SQRT(Parameters!$B$6)*Factors!FK5+SQRT(Parameters!$B$7)*Factors!FK9+SQRT(Parameters!$B$9)*NORM.S.INV(RAND())</f>
        <v/>
      </c>
      <c r="FL3" s="19">
        <f>SQRT(Parameters!$B$5)*Factors!FL2+SQRT(Parameters!$B$6)*Factors!FL5+SQRT(Parameters!$B$7)*Factors!FL9+SQRT(Parameters!$B$9)*NORM.S.INV(RAND())</f>
        <v/>
      </c>
      <c r="FM3" s="19">
        <f>SQRT(Parameters!$B$5)*Factors!FM2+SQRT(Parameters!$B$6)*Factors!FM5+SQRT(Parameters!$B$7)*Factors!FM9+SQRT(Parameters!$B$9)*NORM.S.INV(RAND())</f>
        <v/>
      </c>
      <c r="FN3" s="19">
        <f>SQRT(Parameters!$B$5)*Factors!FN2+SQRT(Parameters!$B$6)*Factors!FN5+SQRT(Parameters!$B$7)*Factors!FN9+SQRT(Parameters!$B$9)*NORM.S.INV(RAND())</f>
        <v/>
      </c>
      <c r="FO3" s="19">
        <f>SQRT(Parameters!$B$5)*Factors!FO2+SQRT(Parameters!$B$6)*Factors!FO5+SQRT(Parameters!$B$7)*Factors!FO9+SQRT(Parameters!$B$9)*NORM.S.INV(RAND())</f>
        <v/>
      </c>
      <c r="FP3" s="19">
        <f>SQRT(Parameters!$B$5)*Factors!FP2+SQRT(Parameters!$B$6)*Factors!FP5+SQRT(Parameters!$B$7)*Factors!FP9+SQRT(Parameters!$B$9)*NORM.S.INV(RAND())</f>
        <v/>
      </c>
      <c r="FQ3" s="19">
        <f>SQRT(Parameters!$B$5)*Factors!FQ2+SQRT(Parameters!$B$6)*Factors!FQ5+SQRT(Parameters!$B$7)*Factors!FQ9+SQRT(Parameters!$B$9)*NORM.S.INV(RAND())</f>
        <v/>
      </c>
      <c r="FR3" s="19">
        <f>SQRT(Parameters!$B$5)*Factors!FR2+SQRT(Parameters!$B$6)*Factors!FR5+SQRT(Parameters!$B$7)*Factors!FR9+SQRT(Parameters!$B$9)*NORM.S.INV(RAND())</f>
        <v/>
      </c>
      <c r="FS3" s="19">
        <f>SQRT(Parameters!$B$5)*Factors!FS2+SQRT(Parameters!$B$6)*Factors!FS5+SQRT(Parameters!$B$7)*Factors!FS9+SQRT(Parameters!$B$9)*NORM.S.INV(RAND())</f>
        <v/>
      </c>
      <c r="FT3" s="19">
        <f>SQRT(Parameters!$B$5)*Factors!FT2+SQRT(Parameters!$B$6)*Factors!FT5+SQRT(Parameters!$B$7)*Factors!FT9+SQRT(Parameters!$B$9)*NORM.S.INV(RAND())</f>
        <v/>
      </c>
      <c r="FU3" s="19">
        <f>SQRT(Parameters!$B$5)*Factors!FU2+SQRT(Parameters!$B$6)*Factors!FU5+SQRT(Parameters!$B$7)*Factors!FU9+SQRT(Parameters!$B$9)*NORM.S.INV(RAND())</f>
        <v/>
      </c>
      <c r="FV3" s="19">
        <f>SQRT(Parameters!$B$5)*Factors!FV2+SQRT(Parameters!$B$6)*Factors!FV5+SQRT(Parameters!$B$7)*Factors!FV9+SQRT(Parameters!$B$9)*NORM.S.INV(RAND())</f>
        <v/>
      </c>
      <c r="FW3" s="19">
        <f>SQRT(Parameters!$B$5)*Factors!FW2+SQRT(Parameters!$B$6)*Factors!FW5+SQRT(Parameters!$B$7)*Factors!FW9+SQRT(Parameters!$B$9)*NORM.S.INV(RAND())</f>
        <v/>
      </c>
      <c r="FX3" s="19">
        <f>SQRT(Parameters!$B$5)*Factors!FX2+SQRT(Parameters!$B$6)*Factors!FX5+SQRT(Parameters!$B$7)*Factors!FX9+SQRT(Parameters!$B$9)*NORM.S.INV(RAND())</f>
        <v/>
      </c>
      <c r="FY3" s="19">
        <f>SQRT(Parameters!$B$5)*Factors!FY2+SQRT(Parameters!$B$6)*Factors!FY5+SQRT(Parameters!$B$7)*Factors!FY9+SQRT(Parameters!$B$9)*NORM.S.INV(RAND())</f>
        <v/>
      </c>
      <c r="FZ3" s="19">
        <f>SQRT(Parameters!$B$5)*Factors!FZ2+SQRT(Parameters!$B$6)*Factors!FZ5+SQRT(Parameters!$B$7)*Factors!FZ9+SQRT(Parameters!$B$9)*NORM.S.INV(RAND())</f>
        <v/>
      </c>
      <c r="GA3" s="19">
        <f>SQRT(Parameters!$B$5)*Factors!GA2+SQRT(Parameters!$B$6)*Factors!GA5+SQRT(Parameters!$B$7)*Factors!GA9+SQRT(Parameters!$B$9)*NORM.S.INV(RAND())</f>
        <v/>
      </c>
      <c r="GB3" s="19">
        <f>SQRT(Parameters!$B$5)*Factors!GB2+SQRT(Parameters!$B$6)*Factors!GB5+SQRT(Parameters!$B$7)*Factors!GB9+SQRT(Parameters!$B$9)*NORM.S.INV(RAND())</f>
        <v/>
      </c>
      <c r="GC3" s="19">
        <f>SQRT(Parameters!$B$5)*Factors!GC2+SQRT(Parameters!$B$6)*Factors!GC5+SQRT(Parameters!$B$7)*Factors!GC9+SQRT(Parameters!$B$9)*NORM.S.INV(RAND())</f>
        <v/>
      </c>
      <c r="GD3" s="19">
        <f>SQRT(Parameters!$B$5)*Factors!GD2+SQRT(Parameters!$B$6)*Factors!GD5+SQRT(Parameters!$B$7)*Factors!GD9+SQRT(Parameters!$B$9)*NORM.S.INV(RAND())</f>
        <v/>
      </c>
      <c r="GE3" s="19">
        <f>SQRT(Parameters!$B$5)*Factors!GE2+SQRT(Parameters!$B$6)*Factors!GE5+SQRT(Parameters!$B$7)*Factors!GE9+SQRT(Parameters!$B$9)*NORM.S.INV(RAND())</f>
        <v/>
      </c>
      <c r="GF3" s="19">
        <f>SQRT(Parameters!$B$5)*Factors!GF2+SQRT(Parameters!$B$6)*Factors!GF5+SQRT(Parameters!$B$7)*Factors!GF9+SQRT(Parameters!$B$9)*NORM.S.INV(RAND())</f>
        <v/>
      </c>
      <c r="GG3" s="19">
        <f>SQRT(Parameters!$B$5)*Factors!GG2+SQRT(Parameters!$B$6)*Factors!GG5+SQRT(Parameters!$B$7)*Factors!GG9+SQRT(Parameters!$B$9)*NORM.S.INV(RAND())</f>
        <v/>
      </c>
      <c r="GH3" s="19">
        <f>SQRT(Parameters!$B$5)*Factors!GH2+SQRT(Parameters!$B$6)*Factors!GH5+SQRT(Parameters!$B$7)*Factors!GH9+SQRT(Parameters!$B$9)*NORM.S.INV(RAND())</f>
        <v/>
      </c>
      <c r="GI3" s="19">
        <f>SQRT(Parameters!$B$5)*Factors!GI2+SQRT(Parameters!$B$6)*Factors!GI5+SQRT(Parameters!$B$7)*Factors!GI9+SQRT(Parameters!$B$9)*NORM.S.INV(RAND())</f>
        <v/>
      </c>
      <c r="GJ3" s="19">
        <f>SQRT(Parameters!$B$5)*Factors!GJ2+SQRT(Parameters!$B$6)*Factors!GJ5+SQRT(Parameters!$B$7)*Factors!GJ9+SQRT(Parameters!$B$9)*NORM.S.INV(RAND())</f>
        <v/>
      </c>
      <c r="GK3" s="19">
        <f>SQRT(Parameters!$B$5)*Factors!GK2+SQRT(Parameters!$B$6)*Factors!GK5+SQRT(Parameters!$B$7)*Factors!GK9+SQRT(Parameters!$B$9)*NORM.S.INV(RAND())</f>
        <v/>
      </c>
      <c r="GL3" s="19">
        <f>SQRT(Parameters!$B$5)*Factors!GL2+SQRT(Parameters!$B$6)*Factors!GL5+SQRT(Parameters!$B$7)*Factors!GL9+SQRT(Parameters!$B$9)*NORM.S.INV(RAND())</f>
        <v/>
      </c>
      <c r="GM3" s="19">
        <f>SQRT(Parameters!$B$5)*Factors!GM2+SQRT(Parameters!$B$6)*Factors!GM5+SQRT(Parameters!$B$7)*Factors!GM9+SQRT(Parameters!$B$9)*NORM.S.INV(RAND())</f>
        <v/>
      </c>
      <c r="GN3" s="19">
        <f>SQRT(Parameters!$B$5)*Factors!GN2+SQRT(Parameters!$B$6)*Factors!GN5+SQRT(Parameters!$B$7)*Factors!GN9+SQRT(Parameters!$B$9)*NORM.S.INV(RAND())</f>
        <v/>
      </c>
      <c r="GO3" s="19">
        <f>SQRT(Parameters!$B$5)*Factors!GO2+SQRT(Parameters!$B$6)*Factors!GO5+SQRT(Parameters!$B$7)*Factors!GO9+SQRT(Parameters!$B$9)*NORM.S.INV(RAND())</f>
        <v/>
      </c>
      <c r="GP3" s="19">
        <f>SQRT(Parameters!$B$5)*Factors!GP2+SQRT(Parameters!$B$6)*Factors!GP5+SQRT(Parameters!$B$7)*Factors!GP9+SQRT(Parameters!$B$9)*NORM.S.INV(RAND())</f>
        <v/>
      </c>
      <c r="GQ3" s="19">
        <f>SQRT(Parameters!$B$5)*Factors!GQ2+SQRT(Parameters!$B$6)*Factors!GQ5+SQRT(Parameters!$B$7)*Factors!GQ9+SQRT(Parameters!$B$9)*NORM.S.INV(RAND())</f>
        <v/>
      </c>
      <c r="GR3" s="19">
        <f>SQRT(Parameters!$B$5)*Factors!GR2+SQRT(Parameters!$B$6)*Factors!GR5+SQRT(Parameters!$B$7)*Factors!GR9+SQRT(Parameters!$B$9)*NORM.S.INV(RAND())</f>
        <v/>
      </c>
      <c r="GS3" s="19">
        <f>SQRT(Parameters!$B$5)*Factors!GS2+SQRT(Parameters!$B$6)*Factors!GS5+SQRT(Parameters!$B$7)*Factors!GS9+SQRT(Parameters!$B$9)*NORM.S.INV(RAND())</f>
        <v/>
      </c>
      <c r="GT3" s="19">
        <f>SQRT(Parameters!$B$5)*Factors!GT2+SQRT(Parameters!$B$6)*Factors!GT5+SQRT(Parameters!$B$7)*Factors!GT9+SQRT(Parameters!$B$9)*NORM.S.INV(RAND())</f>
        <v/>
      </c>
      <c r="GU3" s="19">
        <f>SQRT(Parameters!$B$5)*Factors!GU2+SQRT(Parameters!$B$6)*Factors!GU5+SQRT(Parameters!$B$7)*Factors!GU9+SQRT(Parameters!$B$9)*NORM.S.INV(RAND())</f>
        <v/>
      </c>
      <c r="GV3" s="19">
        <f>SQRT(Parameters!$B$5)*Factors!GV2+SQRT(Parameters!$B$6)*Factors!GV5+SQRT(Parameters!$B$7)*Factors!GV9+SQRT(Parameters!$B$9)*NORM.S.INV(RAND())</f>
        <v/>
      </c>
      <c r="GW3" s="19">
        <f>SQRT(Parameters!$B$5)*Factors!GW2+SQRT(Parameters!$B$6)*Factors!GW5+SQRT(Parameters!$B$7)*Factors!GW9+SQRT(Parameters!$B$9)*NORM.S.INV(RAND())</f>
        <v/>
      </c>
      <c r="GX3" s="19">
        <f>SQRT(Parameters!$B$5)*Factors!GX2+SQRT(Parameters!$B$6)*Factors!GX5+SQRT(Parameters!$B$7)*Factors!GX9+SQRT(Parameters!$B$9)*NORM.S.INV(RAND())</f>
        <v/>
      </c>
      <c r="GY3" s="19">
        <f>SQRT(Parameters!$B$5)*Factors!GY2+SQRT(Parameters!$B$6)*Factors!GY5+SQRT(Parameters!$B$7)*Factors!GY9+SQRT(Parameters!$B$9)*NORM.S.INV(RAND())</f>
        <v/>
      </c>
      <c r="GZ3" s="19">
        <f>SQRT(Parameters!$B$5)*Factors!GZ2+SQRT(Parameters!$B$6)*Factors!GZ5+SQRT(Parameters!$B$7)*Factors!GZ9+SQRT(Parameters!$B$9)*NORM.S.INV(RAND())</f>
        <v/>
      </c>
      <c r="HA3" s="19">
        <f>SQRT(Parameters!$B$5)*Factors!HA2+SQRT(Parameters!$B$6)*Factors!HA5+SQRT(Parameters!$B$7)*Factors!HA9+SQRT(Parameters!$B$9)*NORM.S.INV(RAND())</f>
        <v/>
      </c>
      <c r="HB3" s="19">
        <f>SQRT(Parameters!$B$5)*Factors!HB2+SQRT(Parameters!$B$6)*Factors!HB5+SQRT(Parameters!$B$7)*Factors!HB9+SQRT(Parameters!$B$9)*NORM.S.INV(RAND())</f>
        <v/>
      </c>
      <c r="HC3" s="19">
        <f>SQRT(Parameters!$B$5)*Factors!HC2+SQRT(Parameters!$B$6)*Factors!HC5+SQRT(Parameters!$B$7)*Factors!HC9+SQRT(Parameters!$B$9)*NORM.S.INV(RAND())</f>
        <v/>
      </c>
      <c r="HD3" s="19">
        <f>SQRT(Parameters!$B$5)*Factors!HD2+SQRT(Parameters!$B$6)*Factors!HD5+SQRT(Parameters!$B$7)*Factors!HD9+SQRT(Parameters!$B$9)*NORM.S.INV(RAND())</f>
        <v/>
      </c>
      <c r="HE3" s="19">
        <f>SQRT(Parameters!$B$5)*Factors!HE2+SQRT(Parameters!$B$6)*Factors!HE5+SQRT(Parameters!$B$7)*Factors!HE9+SQRT(Parameters!$B$9)*NORM.S.INV(RAND())</f>
        <v/>
      </c>
      <c r="HF3" s="19">
        <f>SQRT(Parameters!$B$5)*Factors!HF2+SQRT(Parameters!$B$6)*Factors!HF5+SQRT(Parameters!$B$7)*Factors!HF9+SQRT(Parameters!$B$9)*NORM.S.INV(RAND())</f>
        <v/>
      </c>
      <c r="HG3" s="19">
        <f>SQRT(Parameters!$B$5)*Factors!HG2+SQRT(Parameters!$B$6)*Factors!HG5+SQRT(Parameters!$B$7)*Factors!HG9+SQRT(Parameters!$B$9)*NORM.S.INV(RAND())</f>
        <v/>
      </c>
      <c r="HH3" s="19">
        <f>SQRT(Parameters!$B$5)*Factors!HH2+SQRT(Parameters!$B$6)*Factors!HH5+SQRT(Parameters!$B$7)*Factors!HH9+SQRT(Parameters!$B$9)*NORM.S.INV(RAND())</f>
        <v/>
      </c>
      <c r="HI3" s="19">
        <f>SQRT(Parameters!$B$5)*Factors!HI2+SQRT(Parameters!$B$6)*Factors!HI5+SQRT(Parameters!$B$7)*Factors!HI9+SQRT(Parameters!$B$9)*NORM.S.INV(RAND())</f>
        <v/>
      </c>
      <c r="HJ3" s="19">
        <f>SQRT(Parameters!$B$5)*Factors!HJ2+SQRT(Parameters!$B$6)*Factors!HJ5+SQRT(Parameters!$B$7)*Factors!HJ9+SQRT(Parameters!$B$9)*NORM.S.INV(RAND())</f>
        <v/>
      </c>
      <c r="HK3" s="19">
        <f>SQRT(Parameters!$B$5)*Factors!HK2+SQRT(Parameters!$B$6)*Factors!HK5+SQRT(Parameters!$B$7)*Factors!HK9+SQRT(Parameters!$B$9)*NORM.S.INV(RAND())</f>
        <v/>
      </c>
      <c r="HL3" s="19">
        <f>SQRT(Parameters!$B$5)*Factors!HL2+SQRT(Parameters!$B$6)*Factors!HL5+SQRT(Parameters!$B$7)*Factors!HL9+SQRT(Parameters!$B$9)*NORM.S.INV(RAND())</f>
        <v/>
      </c>
      <c r="HM3" s="19">
        <f>SQRT(Parameters!$B$5)*Factors!HM2+SQRT(Parameters!$B$6)*Factors!HM5+SQRT(Parameters!$B$7)*Factors!HM9+SQRT(Parameters!$B$9)*NORM.S.INV(RAND())</f>
        <v/>
      </c>
      <c r="HN3" s="19">
        <f>SQRT(Parameters!$B$5)*Factors!HN2+SQRT(Parameters!$B$6)*Factors!HN5+SQRT(Parameters!$B$7)*Factors!HN9+SQRT(Parameters!$B$9)*NORM.S.INV(RAND())</f>
        <v/>
      </c>
      <c r="HO3" s="19">
        <f>SQRT(Parameters!$B$5)*Factors!HO2+SQRT(Parameters!$B$6)*Factors!HO5+SQRT(Parameters!$B$7)*Factors!HO9+SQRT(Parameters!$B$9)*NORM.S.INV(RAND())</f>
        <v/>
      </c>
      <c r="HP3" s="19">
        <f>SQRT(Parameters!$B$5)*Factors!HP2+SQRT(Parameters!$B$6)*Factors!HP5+SQRT(Parameters!$B$7)*Factors!HP9+SQRT(Parameters!$B$9)*NORM.S.INV(RAND())</f>
        <v/>
      </c>
      <c r="HQ3" s="19">
        <f>SQRT(Parameters!$B$5)*Factors!HQ2+SQRT(Parameters!$B$6)*Factors!HQ5+SQRT(Parameters!$B$7)*Factors!HQ9+SQRT(Parameters!$B$9)*NORM.S.INV(RAND())</f>
        <v/>
      </c>
      <c r="HR3" s="19">
        <f>SQRT(Parameters!$B$5)*Factors!HR2+SQRT(Parameters!$B$6)*Factors!HR5+SQRT(Parameters!$B$7)*Factors!HR9+SQRT(Parameters!$B$9)*NORM.S.INV(RAND())</f>
        <v/>
      </c>
      <c r="HS3" s="19">
        <f>SQRT(Parameters!$B$5)*Factors!HS2+SQRT(Parameters!$B$6)*Factors!HS5+SQRT(Parameters!$B$7)*Factors!HS9+SQRT(Parameters!$B$9)*NORM.S.INV(RAND())</f>
        <v/>
      </c>
      <c r="HT3" s="19">
        <f>SQRT(Parameters!$B$5)*Factors!HT2+SQRT(Parameters!$B$6)*Factors!HT5+SQRT(Parameters!$B$7)*Factors!HT9+SQRT(Parameters!$B$9)*NORM.S.INV(RAND())</f>
        <v/>
      </c>
      <c r="HU3" s="19">
        <f>SQRT(Parameters!$B$5)*Factors!HU2+SQRT(Parameters!$B$6)*Factors!HU5+SQRT(Parameters!$B$7)*Factors!HU9+SQRT(Parameters!$B$9)*NORM.S.INV(RAND())</f>
        <v/>
      </c>
      <c r="HV3" s="19">
        <f>SQRT(Parameters!$B$5)*Factors!HV2+SQRT(Parameters!$B$6)*Factors!HV5+SQRT(Parameters!$B$7)*Factors!HV9+SQRT(Parameters!$B$9)*NORM.S.INV(RAND())</f>
        <v/>
      </c>
      <c r="HW3" s="19">
        <f>SQRT(Parameters!$B$5)*Factors!HW2+SQRT(Parameters!$B$6)*Factors!HW5+SQRT(Parameters!$B$7)*Factors!HW9+SQRT(Parameters!$B$9)*NORM.S.INV(RAND())</f>
        <v/>
      </c>
      <c r="HX3" s="19">
        <f>SQRT(Parameters!$B$5)*Factors!HX2+SQRT(Parameters!$B$6)*Factors!HX5+SQRT(Parameters!$B$7)*Factors!HX9+SQRT(Parameters!$B$9)*NORM.S.INV(RAND())</f>
        <v/>
      </c>
      <c r="HY3" s="19">
        <f>SQRT(Parameters!$B$5)*Factors!HY2+SQRT(Parameters!$B$6)*Factors!HY5+SQRT(Parameters!$B$7)*Factors!HY9+SQRT(Parameters!$B$9)*NORM.S.INV(RAND())</f>
        <v/>
      </c>
      <c r="HZ3" s="19">
        <f>SQRT(Parameters!$B$5)*Factors!HZ2+SQRT(Parameters!$B$6)*Factors!HZ5+SQRT(Parameters!$B$7)*Factors!HZ9+SQRT(Parameters!$B$9)*NORM.S.INV(RAND())</f>
        <v/>
      </c>
      <c r="IA3" s="19">
        <f>SQRT(Parameters!$B$5)*Factors!IA2+SQRT(Parameters!$B$6)*Factors!IA5+SQRT(Parameters!$B$7)*Factors!IA9+SQRT(Parameters!$B$9)*NORM.S.INV(RAND())</f>
        <v/>
      </c>
      <c r="IB3" s="19">
        <f>SQRT(Parameters!$B$5)*Factors!IB2+SQRT(Parameters!$B$6)*Factors!IB5+SQRT(Parameters!$B$7)*Factors!IB9+SQRT(Parameters!$B$9)*NORM.S.INV(RAND())</f>
        <v/>
      </c>
      <c r="IC3" s="19">
        <f>SQRT(Parameters!$B$5)*Factors!IC2+SQRT(Parameters!$B$6)*Factors!IC5+SQRT(Parameters!$B$7)*Factors!IC9+SQRT(Parameters!$B$9)*NORM.S.INV(RAND())</f>
        <v/>
      </c>
      <c r="ID3" s="19">
        <f>SQRT(Parameters!$B$5)*Factors!ID2+SQRT(Parameters!$B$6)*Factors!ID5+SQRT(Parameters!$B$7)*Factors!ID9+SQRT(Parameters!$B$9)*NORM.S.INV(RAND())</f>
        <v/>
      </c>
      <c r="IE3" s="19">
        <f>SQRT(Parameters!$B$5)*Factors!IE2+SQRT(Parameters!$B$6)*Factors!IE5+SQRT(Parameters!$B$7)*Factors!IE9+SQRT(Parameters!$B$9)*NORM.S.INV(RAND())</f>
        <v/>
      </c>
      <c r="IF3" s="19">
        <f>SQRT(Parameters!$B$5)*Factors!IF2+SQRT(Parameters!$B$6)*Factors!IF5+SQRT(Parameters!$B$7)*Factors!IF9+SQRT(Parameters!$B$9)*NORM.S.INV(RAND())</f>
        <v/>
      </c>
      <c r="IG3" s="19">
        <f>SQRT(Parameters!$B$5)*Factors!IG2+SQRT(Parameters!$B$6)*Factors!IG5+SQRT(Parameters!$B$7)*Factors!IG9+SQRT(Parameters!$B$9)*NORM.S.INV(RAND())</f>
        <v/>
      </c>
      <c r="IH3" s="19">
        <f>SQRT(Parameters!$B$5)*Factors!IH2+SQRT(Parameters!$B$6)*Factors!IH5+SQRT(Parameters!$B$7)*Factors!IH9+SQRT(Parameters!$B$9)*NORM.S.INV(RAND())</f>
        <v/>
      </c>
      <c r="II3" s="19">
        <f>SQRT(Parameters!$B$5)*Factors!II2+SQRT(Parameters!$B$6)*Factors!II5+SQRT(Parameters!$B$7)*Factors!II9+SQRT(Parameters!$B$9)*NORM.S.INV(RAND())</f>
        <v/>
      </c>
      <c r="IJ3" s="19">
        <f>SQRT(Parameters!$B$5)*Factors!IJ2+SQRT(Parameters!$B$6)*Factors!IJ5+SQRT(Parameters!$B$7)*Factors!IJ9+SQRT(Parameters!$B$9)*NORM.S.INV(RAND())</f>
        <v/>
      </c>
      <c r="IK3" s="19">
        <f>SQRT(Parameters!$B$5)*Factors!IK2+SQRT(Parameters!$B$6)*Factors!IK5+SQRT(Parameters!$B$7)*Factors!IK9+SQRT(Parameters!$B$9)*NORM.S.INV(RAND())</f>
        <v/>
      </c>
      <c r="IL3" s="19">
        <f>SQRT(Parameters!$B$5)*Factors!IL2+SQRT(Parameters!$B$6)*Factors!IL5+SQRT(Parameters!$B$7)*Factors!IL9+SQRT(Parameters!$B$9)*NORM.S.INV(RAND())</f>
        <v/>
      </c>
      <c r="IM3" s="19">
        <f>SQRT(Parameters!$B$5)*Factors!IM2+SQRT(Parameters!$B$6)*Factors!IM5+SQRT(Parameters!$B$7)*Factors!IM9+SQRT(Parameters!$B$9)*NORM.S.INV(RAND())</f>
        <v/>
      </c>
      <c r="IN3" s="19">
        <f>SQRT(Parameters!$B$5)*Factors!IN2+SQRT(Parameters!$B$6)*Factors!IN5+SQRT(Parameters!$B$7)*Factors!IN9+SQRT(Parameters!$B$9)*NORM.S.INV(RAND())</f>
        <v/>
      </c>
      <c r="IO3" s="19">
        <f>SQRT(Parameters!$B$5)*Factors!IO2+SQRT(Parameters!$B$6)*Factors!IO5+SQRT(Parameters!$B$7)*Factors!IO9+SQRT(Parameters!$B$9)*NORM.S.INV(RAND())</f>
        <v/>
      </c>
      <c r="IP3" s="19">
        <f>SQRT(Parameters!$B$5)*Factors!IP2+SQRT(Parameters!$B$6)*Factors!IP5+SQRT(Parameters!$B$7)*Factors!IP9+SQRT(Parameters!$B$9)*NORM.S.INV(RAND())</f>
        <v/>
      </c>
      <c r="IQ3" s="19">
        <f>SQRT(Parameters!$B$5)*Factors!IQ2+SQRT(Parameters!$B$6)*Factors!IQ5+SQRT(Parameters!$B$7)*Factors!IQ9+SQRT(Parameters!$B$9)*NORM.S.INV(RAND())</f>
        <v/>
      </c>
      <c r="IR3" s="19">
        <f>SQRT(Parameters!$B$5)*Factors!IR2+SQRT(Parameters!$B$6)*Factors!IR5+SQRT(Parameters!$B$7)*Factors!IR9+SQRT(Parameters!$B$9)*NORM.S.INV(RAND())</f>
        <v/>
      </c>
      <c r="IS3" s="19">
        <f>SQRT(Parameters!$B$5)*Factors!IS2+SQRT(Parameters!$B$6)*Factors!IS5+SQRT(Parameters!$B$7)*Factors!IS9+SQRT(Parameters!$B$9)*NORM.S.INV(RAND())</f>
        <v/>
      </c>
      <c r="IT3" s="19">
        <f>SQRT(Parameters!$B$5)*Factors!IT2+SQRT(Parameters!$B$6)*Factors!IT5+SQRT(Parameters!$B$7)*Factors!IT9+SQRT(Parameters!$B$9)*NORM.S.INV(RAND())</f>
        <v/>
      </c>
      <c r="IU3" s="19">
        <f>SQRT(Parameters!$B$5)*Factors!IU2+SQRT(Parameters!$B$6)*Factors!IU5+SQRT(Parameters!$B$7)*Factors!IU9+SQRT(Parameters!$B$9)*NORM.S.INV(RAND())</f>
        <v/>
      </c>
      <c r="IV3" s="19">
        <f>SQRT(Parameters!$B$5)*Factors!IV2+SQRT(Parameters!$B$6)*Factors!IV5+SQRT(Parameters!$B$7)*Factors!IV9+SQRT(Parameters!$B$9)*NORM.S.INV(RAND())</f>
        <v/>
      </c>
      <c r="IW3" s="19">
        <f>SQRT(Parameters!$B$5)*Factors!IW2+SQRT(Parameters!$B$6)*Factors!IW5+SQRT(Parameters!$B$7)*Factors!IW9+SQRT(Parameters!$B$9)*NORM.S.INV(RAND())</f>
        <v/>
      </c>
      <c r="IX3" s="19">
        <f>SQRT(Parameters!$B$5)*Factors!IX2+SQRT(Parameters!$B$6)*Factors!IX5+SQRT(Parameters!$B$7)*Factors!IX9+SQRT(Parameters!$B$9)*NORM.S.INV(RAND())</f>
        <v/>
      </c>
      <c r="IY3" s="19">
        <f>SQRT(Parameters!$B$5)*Factors!IY2+SQRT(Parameters!$B$6)*Factors!IY5+SQRT(Parameters!$B$7)*Factors!IY9+SQRT(Parameters!$B$9)*NORM.S.INV(RAND())</f>
        <v/>
      </c>
      <c r="IZ3" s="19">
        <f>SQRT(Parameters!$B$5)*Factors!IZ2+SQRT(Parameters!$B$6)*Factors!IZ5+SQRT(Parameters!$B$7)*Factors!IZ9+SQRT(Parameters!$B$9)*NORM.S.INV(RAND())</f>
        <v/>
      </c>
      <c r="JA3" s="19">
        <f>SQRT(Parameters!$B$5)*Factors!JA2+SQRT(Parameters!$B$6)*Factors!JA5+SQRT(Parameters!$B$7)*Factors!JA9+SQRT(Parameters!$B$9)*NORM.S.INV(RAND())</f>
        <v/>
      </c>
      <c r="JB3" s="19">
        <f>SQRT(Parameters!$B$5)*Factors!JB2+SQRT(Parameters!$B$6)*Factors!JB5+SQRT(Parameters!$B$7)*Factors!JB9+SQRT(Parameters!$B$9)*NORM.S.INV(RAND())</f>
        <v/>
      </c>
      <c r="JC3" s="19">
        <f>SQRT(Parameters!$B$5)*Factors!JC2+SQRT(Parameters!$B$6)*Factors!JC5+SQRT(Parameters!$B$7)*Factors!JC9+SQRT(Parameters!$B$9)*NORM.S.INV(RAND())</f>
        <v/>
      </c>
      <c r="JD3" s="19">
        <f>SQRT(Parameters!$B$5)*Factors!JD2+SQRT(Parameters!$B$6)*Factors!JD5+SQRT(Parameters!$B$7)*Factors!JD9+SQRT(Parameters!$B$9)*NORM.S.INV(RAND())</f>
        <v/>
      </c>
      <c r="JE3" s="19">
        <f>SQRT(Parameters!$B$5)*Factors!JE2+SQRT(Parameters!$B$6)*Factors!JE5+SQRT(Parameters!$B$7)*Factors!JE9+SQRT(Parameters!$B$9)*NORM.S.INV(RAND())</f>
        <v/>
      </c>
      <c r="JF3" s="19">
        <f>SQRT(Parameters!$B$5)*Factors!JF2+SQRT(Parameters!$B$6)*Factors!JF5+SQRT(Parameters!$B$7)*Factors!JF9+SQRT(Parameters!$B$9)*NORM.S.INV(RAND())</f>
        <v/>
      </c>
      <c r="JG3" s="19">
        <f>SQRT(Parameters!$B$5)*Factors!JG2+SQRT(Parameters!$B$6)*Factors!JG5+SQRT(Parameters!$B$7)*Factors!JG9+SQRT(Parameters!$B$9)*NORM.S.INV(RAND())</f>
        <v/>
      </c>
      <c r="JH3" s="19">
        <f>SQRT(Parameters!$B$5)*Factors!JH2+SQRT(Parameters!$B$6)*Factors!JH5+SQRT(Parameters!$B$7)*Factors!JH9+SQRT(Parameters!$B$9)*NORM.S.INV(RAND())</f>
        <v/>
      </c>
      <c r="JI3" s="19">
        <f>SQRT(Parameters!$B$5)*Factors!JI2+SQRT(Parameters!$B$6)*Factors!JI5+SQRT(Parameters!$B$7)*Factors!JI9+SQRT(Parameters!$B$9)*NORM.S.INV(RAND())</f>
        <v/>
      </c>
      <c r="JJ3" s="19">
        <f>SQRT(Parameters!$B$5)*Factors!JJ2+SQRT(Parameters!$B$6)*Factors!JJ5+SQRT(Parameters!$B$7)*Factors!JJ9+SQRT(Parameters!$B$9)*NORM.S.INV(RAND())</f>
        <v/>
      </c>
      <c r="JK3" s="19">
        <f>SQRT(Parameters!$B$5)*Factors!JK2+SQRT(Parameters!$B$6)*Factors!JK5+SQRT(Parameters!$B$7)*Factors!JK9+SQRT(Parameters!$B$9)*NORM.S.INV(RAND())</f>
        <v/>
      </c>
      <c r="JL3" s="19">
        <f>SQRT(Parameters!$B$5)*Factors!JL2+SQRT(Parameters!$B$6)*Factors!JL5+SQRT(Parameters!$B$7)*Factors!JL9+SQRT(Parameters!$B$9)*NORM.S.INV(RAND())</f>
        <v/>
      </c>
      <c r="JM3" s="19">
        <f>SQRT(Parameters!$B$5)*Factors!JM2+SQRT(Parameters!$B$6)*Factors!JM5+SQRT(Parameters!$B$7)*Factors!JM9+SQRT(Parameters!$B$9)*NORM.S.INV(RAND())</f>
        <v/>
      </c>
      <c r="JN3" s="19">
        <f>SQRT(Parameters!$B$5)*Factors!JN2+SQRT(Parameters!$B$6)*Factors!JN5+SQRT(Parameters!$B$7)*Factors!JN9+SQRT(Parameters!$B$9)*NORM.S.INV(RAND())</f>
        <v/>
      </c>
      <c r="JO3" s="19">
        <f>SQRT(Parameters!$B$5)*Factors!JO2+SQRT(Parameters!$B$6)*Factors!JO5+SQRT(Parameters!$B$7)*Factors!JO9+SQRT(Parameters!$B$9)*NORM.S.INV(RAND())</f>
        <v/>
      </c>
      <c r="JP3" s="19">
        <f>SQRT(Parameters!$B$5)*Factors!JP2+SQRT(Parameters!$B$6)*Factors!JP5+SQRT(Parameters!$B$7)*Factors!JP9+SQRT(Parameters!$B$9)*NORM.S.INV(RAND())</f>
        <v/>
      </c>
      <c r="JQ3" s="19">
        <f>SQRT(Parameters!$B$5)*Factors!JQ2+SQRT(Parameters!$B$6)*Factors!JQ5+SQRT(Parameters!$B$7)*Factors!JQ9+SQRT(Parameters!$B$9)*NORM.S.INV(RAND())</f>
        <v/>
      </c>
      <c r="JR3" s="19">
        <f>SQRT(Parameters!$B$5)*Factors!JR2+SQRT(Parameters!$B$6)*Factors!JR5+SQRT(Parameters!$B$7)*Factors!JR9+SQRT(Parameters!$B$9)*NORM.S.INV(RAND())</f>
        <v/>
      </c>
      <c r="JS3" s="19">
        <f>SQRT(Parameters!$B$5)*Factors!JS2+SQRT(Parameters!$B$6)*Factors!JS5+SQRT(Parameters!$B$7)*Factors!JS9+SQRT(Parameters!$B$9)*NORM.S.INV(RAND())</f>
        <v/>
      </c>
      <c r="JT3" s="19">
        <f>SQRT(Parameters!$B$5)*Factors!JT2+SQRT(Parameters!$B$6)*Factors!JT5+SQRT(Parameters!$B$7)*Factors!JT9+SQRT(Parameters!$B$9)*NORM.S.INV(RAND())</f>
        <v/>
      </c>
      <c r="JU3" s="19">
        <f>SQRT(Parameters!$B$5)*Factors!JU2+SQRT(Parameters!$B$6)*Factors!JU5+SQRT(Parameters!$B$7)*Factors!JU9+SQRT(Parameters!$B$9)*NORM.S.INV(RAND())</f>
        <v/>
      </c>
      <c r="JV3" s="19">
        <f>SQRT(Parameters!$B$5)*Factors!JV2+SQRT(Parameters!$B$6)*Factors!JV5+SQRT(Parameters!$B$7)*Factors!JV9+SQRT(Parameters!$B$9)*NORM.S.INV(RAND())</f>
        <v/>
      </c>
      <c r="JW3" s="19">
        <f>SQRT(Parameters!$B$5)*Factors!JW2+SQRT(Parameters!$B$6)*Factors!JW5+SQRT(Parameters!$B$7)*Factors!JW9+SQRT(Parameters!$B$9)*NORM.S.INV(RAND())</f>
        <v/>
      </c>
      <c r="JX3" s="19">
        <f>SQRT(Parameters!$B$5)*Factors!JX2+SQRT(Parameters!$B$6)*Factors!JX5+SQRT(Parameters!$B$7)*Factors!JX9+SQRT(Parameters!$B$9)*NORM.S.INV(RAND())</f>
        <v/>
      </c>
      <c r="JY3" s="19">
        <f>SQRT(Parameters!$B$5)*Factors!JY2+SQRT(Parameters!$B$6)*Factors!JY5+SQRT(Parameters!$B$7)*Factors!JY9+SQRT(Parameters!$B$9)*NORM.S.INV(RAND())</f>
        <v/>
      </c>
      <c r="JZ3" s="19">
        <f>SQRT(Parameters!$B$5)*Factors!JZ2+SQRT(Parameters!$B$6)*Factors!JZ5+SQRT(Parameters!$B$7)*Factors!JZ9+SQRT(Parameters!$B$9)*NORM.S.INV(RAND())</f>
        <v/>
      </c>
      <c r="KA3" s="19">
        <f>SQRT(Parameters!$B$5)*Factors!KA2+SQRT(Parameters!$B$6)*Factors!KA5+SQRT(Parameters!$B$7)*Factors!KA9+SQRT(Parameters!$B$9)*NORM.S.INV(RAND())</f>
        <v/>
      </c>
      <c r="KB3" s="19">
        <f>SQRT(Parameters!$B$5)*Factors!KB2+SQRT(Parameters!$B$6)*Factors!KB5+SQRT(Parameters!$B$7)*Factors!KB9+SQRT(Parameters!$B$9)*NORM.S.INV(RAND())</f>
        <v/>
      </c>
      <c r="KC3" s="19">
        <f>SQRT(Parameters!$B$5)*Factors!KC2+SQRT(Parameters!$B$6)*Factors!KC5+SQRT(Parameters!$B$7)*Factors!KC9+SQRT(Parameters!$B$9)*NORM.S.INV(RAND())</f>
        <v/>
      </c>
      <c r="KD3" s="19">
        <f>SQRT(Parameters!$B$5)*Factors!KD2+SQRT(Parameters!$B$6)*Factors!KD5+SQRT(Parameters!$B$7)*Factors!KD9+SQRT(Parameters!$B$9)*NORM.S.INV(RAND())</f>
        <v/>
      </c>
      <c r="KE3" s="19">
        <f>SQRT(Parameters!$B$5)*Factors!KE2+SQRT(Parameters!$B$6)*Factors!KE5+SQRT(Parameters!$B$7)*Factors!KE9+SQRT(Parameters!$B$9)*NORM.S.INV(RAND())</f>
        <v/>
      </c>
      <c r="KF3" s="19">
        <f>SQRT(Parameters!$B$5)*Factors!KF2+SQRT(Parameters!$B$6)*Factors!KF5+SQRT(Parameters!$B$7)*Factors!KF9+SQRT(Parameters!$B$9)*NORM.S.INV(RAND())</f>
        <v/>
      </c>
      <c r="KG3" s="19">
        <f>SQRT(Parameters!$B$5)*Factors!KG2+SQRT(Parameters!$B$6)*Factors!KG5+SQRT(Parameters!$B$7)*Factors!KG9+SQRT(Parameters!$B$9)*NORM.S.INV(RAND())</f>
        <v/>
      </c>
      <c r="KH3" s="19">
        <f>SQRT(Parameters!$B$5)*Factors!KH2+SQRT(Parameters!$B$6)*Factors!KH5+SQRT(Parameters!$B$7)*Factors!KH9+SQRT(Parameters!$B$9)*NORM.S.INV(RAND())</f>
        <v/>
      </c>
      <c r="KI3" s="19">
        <f>SQRT(Parameters!$B$5)*Factors!KI2+SQRT(Parameters!$B$6)*Factors!KI5+SQRT(Parameters!$B$7)*Factors!KI9+SQRT(Parameters!$B$9)*NORM.S.INV(RAND())</f>
        <v/>
      </c>
      <c r="KJ3" s="19">
        <f>SQRT(Parameters!$B$5)*Factors!KJ2+SQRT(Parameters!$B$6)*Factors!KJ5+SQRT(Parameters!$B$7)*Factors!KJ9+SQRT(Parameters!$B$9)*NORM.S.INV(RAND())</f>
        <v/>
      </c>
      <c r="KK3" s="19">
        <f>SQRT(Parameters!$B$5)*Factors!KK2+SQRT(Parameters!$B$6)*Factors!KK5+SQRT(Parameters!$B$7)*Factors!KK9+SQRT(Parameters!$B$9)*NORM.S.INV(RAND())</f>
        <v/>
      </c>
      <c r="KL3" s="19">
        <f>SQRT(Parameters!$B$5)*Factors!KL2+SQRT(Parameters!$B$6)*Factors!KL5+SQRT(Parameters!$B$7)*Factors!KL9+SQRT(Parameters!$B$9)*NORM.S.INV(RAND())</f>
        <v/>
      </c>
      <c r="KM3" s="19">
        <f>SQRT(Parameters!$B$5)*Factors!KM2+SQRT(Parameters!$B$6)*Factors!KM5+SQRT(Parameters!$B$7)*Factors!KM9+SQRT(Parameters!$B$9)*NORM.S.INV(RAND())</f>
        <v/>
      </c>
      <c r="KN3" s="19">
        <f>SQRT(Parameters!$B$5)*Factors!KN2+SQRT(Parameters!$B$6)*Factors!KN5+SQRT(Parameters!$B$7)*Factors!KN9+SQRT(Parameters!$B$9)*NORM.S.INV(RAND())</f>
        <v/>
      </c>
      <c r="KO3" s="19">
        <f>SQRT(Parameters!$B$5)*Factors!KO2+SQRT(Parameters!$B$6)*Factors!KO5+SQRT(Parameters!$B$7)*Factors!KO9+SQRT(Parameters!$B$9)*NORM.S.INV(RAND())</f>
        <v/>
      </c>
      <c r="KP3" s="19">
        <f>SQRT(Parameters!$B$5)*Factors!KP2+SQRT(Parameters!$B$6)*Factors!KP5+SQRT(Parameters!$B$7)*Factors!KP9+SQRT(Parameters!$B$9)*NORM.S.INV(RAND())</f>
        <v/>
      </c>
      <c r="KQ3" s="19">
        <f>SQRT(Parameters!$B$5)*Factors!KQ2+SQRT(Parameters!$B$6)*Factors!KQ5+SQRT(Parameters!$B$7)*Factors!KQ9+SQRT(Parameters!$B$9)*NORM.S.INV(RAND())</f>
        <v/>
      </c>
      <c r="KR3" s="19">
        <f>SQRT(Parameters!$B$5)*Factors!KR2+SQRT(Parameters!$B$6)*Factors!KR5+SQRT(Parameters!$B$7)*Factors!KR9+SQRT(Parameters!$B$9)*NORM.S.INV(RAND())</f>
        <v/>
      </c>
      <c r="KS3" s="19">
        <f>SQRT(Parameters!$B$5)*Factors!KS2+SQRT(Parameters!$B$6)*Factors!KS5+SQRT(Parameters!$B$7)*Factors!KS9+SQRT(Parameters!$B$9)*NORM.S.INV(RAND())</f>
        <v/>
      </c>
      <c r="KT3" s="19">
        <f>SQRT(Parameters!$B$5)*Factors!KT2+SQRT(Parameters!$B$6)*Factors!KT5+SQRT(Parameters!$B$7)*Factors!KT9+SQRT(Parameters!$B$9)*NORM.S.INV(RAND())</f>
        <v/>
      </c>
      <c r="KU3" s="19">
        <f>SQRT(Parameters!$B$5)*Factors!KU2+SQRT(Parameters!$B$6)*Factors!KU5+SQRT(Parameters!$B$7)*Factors!KU9+SQRT(Parameters!$B$9)*NORM.S.INV(RAND())</f>
        <v/>
      </c>
      <c r="KV3" s="19">
        <f>SQRT(Parameters!$B$5)*Factors!KV2+SQRT(Parameters!$B$6)*Factors!KV5+SQRT(Parameters!$B$7)*Factors!KV9+SQRT(Parameters!$B$9)*NORM.S.INV(RAND())</f>
        <v/>
      </c>
      <c r="KW3" s="19">
        <f>SQRT(Parameters!$B$5)*Factors!KW2+SQRT(Parameters!$B$6)*Factors!KW5+SQRT(Parameters!$B$7)*Factors!KW9+SQRT(Parameters!$B$9)*NORM.S.INV(RAND())</f>
        <v/>
      </c>
      <c r="KX3" s="19">
        <f>SQRT(Parameters!$B$5)*Factors!KX2+SQRT(Parameters!$B$6)*Factors!KX5+SQRT(Parameters!$B$7)*Factors!KX9+SQRT(Parameters!$B$9)*NORM.S.INV(RAND())</f>
        <v/>
      </c>
      <c r="KY3" s="19">
        <f>SQRT(Parameters!$B$5)*Factors!KY2+SQRT(Parameters!$B$6)*Factors!KY5+SQRT(Parameters!$B$7)*Factors!KY9+SQRT(Parameters!$B$9)*NORM.S.INV(RAND())</f>
        <v/>
      </c>
      <c r="KZ3" s="19">
        <f>SQRT(Parameters!$B$5)*Factors!KZ2+SQRT(Parameters!$B$6)*Factors!KZ5+SQRT(Parameters!$B$7)*Factors!KZ9+SQRT(Parameters!$B$9)*NORM.S.INV(RAND())</f>
        <v/>
      </c>
      <c r="LA3" s="19">
        <f>SQRT(Parameters!$B$5)*Factors!LA2+SQRT(Parameters!$B$6)*Factors!LA5+SQRT(Parameters!$B$7)*Factors!LA9+SQRT(Parameters!$B$9)*NORM.S.INV(RAND())</f>
        <v/>
      </c>
      <c r="LB3" s="19">
        <f>SQRT(Parameters!$B$5)*Factors!LB2+SQRT(Parameters!$B$6)*Factors!LB5+SQRT(Parameters!$B$7)*Factors!LB9+SQRT(Parameters!$B$9)*NORM.S.INV(RAND())</f>
        <v/>
      </c>
      <c r="LC3" s="19">
        <f>SQRT(Parameters!$B$5)*Factors!LC2+SQRT(Parameters!$B$6)*Factors!LC5+SQRT(Parameters!$B$7)*Factors!LC9+SQRT(Parameters!$B$9)*NORM.S.INV(RAND())</f>
        <v/>
      </c>
      <c r="LD3" s="19">
        <f>SQRT(Parameters!$B$5)*Factors!LD2+SQRT(Parameters!$B$6)*Factors!LD5+SQRT(Parameters!$B$7)*Factors!LD9+SQRT(Parameters!$B$9)*NORM.S.INV(RAND())</f>
        <v/>
      </c>
      <c r="LE3" s="19">
        <f>SQRT(Parameters!$B$5)*Factors!LE2+SQRT(Parameters!$B$6)*Factors!LE5+SQRT(Parameters!$B$7)*Factors!LE9+SQRT(Parameters!$B$9)*NORM.S.INV(RAND())</f>
        <v/>
      </c>
      <c r="LF3" s="19">
        <f>SQRT(Parameters!$B$5)*Factors!LF2+SQRT(Parameters!$B$6)*Factors!LF5+SQRT(Parameters!$B$7)*Factors!LF9+SQRT(Parameters!$B$9)*NORM.S.INV(RAND())</f>
        <v/>
      </c>
      <c r="LG3" s="19">
        <f>SQRT(Parameters!$B$5)*Factors!LG2+SQRT(Parameters!$B$6)*Factors!LG5+SQRT(Parameters!$B$7)*Factors!LG9+SQRT(Parameters!$B$9)*NORM.S.INV(RAND())</f>
        <v/>
      </c>
      <c r="LH3" s="19">
        <f>SQRT(Parameters!$B$5)*Factors!LH2+SQRT(Parameters!$B$6)*Factors!LH5+SQRT(Parameters!$B$7)*Factors!LH9+SQRT(Parameters!$B$9)*NORM.S.INV(RAND())</f>
        <v/>
      </c>
      <c r="LI3" s="19">
        <f>SQRT(Parameters!$B$5)*Factors!LI2+SQRT(Parameters!$B$6)*Factors!LI5+SQRT(Parameters!$B$7)*Factors!LI9+SQRT(Parameters!$B$9)*NORM.S.INV(RAND())</f>
        <v/>
      </c>
      <c r="LJ3" s="19">
        <f>SQRT(Parameters!$B$5)*Factors!LJ2+SQRT(Parameters!$B$6)*Factors!LJ5+SQRT(Parameters!$B$7)*Factors!LJ9+SQRT(Parameters!$B$9)*NORM.S.INV(RAND())</f>
        <v/>
      </c>
      <c r="LK3" s="19">
        <f>SQRT(Parameters!$B$5)*Factors!LK2+SQRT(Parameters!$B$6)*Factors!LK5+SQRT(Parameters!$B$7)*Factors!LK9+SQRT(Parameters!$B$9)*NORM.S.INV(RAND())</f>
        <v/>
      </c>
      <c r="LL3" s="19">
        <f>SQRT(Parameters!$B$5)*Factors!LL2+SQRT(Parameters!$B$6)*Factors!LL5+SQRT(Parameters!$B$7)*Factors!LL9+SQRT(Parameters!$B$9)*NORM.S.INV(RAND())</f>
        <v/>
      </c>
      <c r="LM3" s="19">
        <f>SQRT(Parameters!$B$5)*Factors!LM2+SQRT(Parameters!$B$6)*Factors!LM5+SQRT(Parameters!$B$7)*Factors!LM9+SQRT(Parameters!$B$9)*NORM.S.INV(RAND())</f>
        <v/>
      </c>
      <c r="LN3" s="19">
        <f>SQRT(Parameters!$B$5)*Factors!LN2+SQRT(Parameters!$B$6)*Factors!LN5+SQRT(Parameters!$B$7)*Factors!LN9+SQRT(Parameters!$B$9)*NORM.S.INV(RAND())</f>
        <v/>
      </c>
      <c r="LO3" s="19">
        <f>SQRT(Parameters!$B$5)*Factors!LO2+SQRT(Parameters!$B$6)*Factors!LO5+SQRT(Parameters!$B$7)*Factors!LO9+SQRT(Parameters!$B$9)*NORM.S.INV(RAND())</f>
        <v/>
      </c>
      <c r="LP3" s="19">
        <f>SQRT(Parameters!$B$5)*Factors!LP2+SQRT(Parameters!$B$6)*Factors!LP5+SQRT(Parameters!$B$7)*Factors!LP9+SQRT(Parameters!$B$9)*NORM.S.INV(RAND())</f>
        <v/>
      </c>
      <c r="LQ3" s="19">
        <f>SQRT(Parameters!$B$5)*Factors!LQ2+SQRT(Parameters!$B$6)*Factors!LQ5+SQRT(Parameters!$B$7)*Factors!LQ9+SQRT(Parameters!$B$9)*NORM.S.INV(RAND())</f>
        <v/>
      </c>
      <c r="LR3" s="19">
        <f>SQRT(Parameters!$B$5)*Factors!LR2+SQRT(Parameters!$B$6)*Factors!LR5+SQRT(Parameters!$B$7)*Factors!LR9+SQRT(Parameters!$B$9)*NORM.S.INV(RAND())</f>
        <v/>
      </c>
      <c r="LS3" s="19">
        <f>SQRT(Parameters!$B$5)*Factors!LS2+SQRT(Parameters!$B$6)*Factors!LS5+SQRT(Parameters!$B$7)*Factors!LS9+SQRT(Parameters!$B$9)*NORM.S.INV(RAND())</f>
        <v/>
      </c>
      <c r="LT3" s="19">
        <f>SQRT(Parameters!$B$5)*Factors!LT2+SQRT(Parameters!$B$6)*Factors!LT5+SQRT(Parameters!$B$7)*Factors!LT9+SQRT(Parameters!$B$9)*NORM.S.INV(RAND())</f>
        <v/>
      </c>
      <c r="LU3" s="19">
        <f>SQRT(Parameters!$B$5)*Factors!LU2+SQRT(Parameters!$B$6)*Factors!LU5+SQRT(Parameters!$B$7)*Factors!LU9+SQRT(Parameters!$B$9)*NORM.S.INV(RAND())</f>
        <v/>
      </c>
      <c r="LV3" s="19">
        <f>SQRT(Parameters!$B$5)*Factors!LV2+SQRT(Parameters!$B$6)*Factors!LV5+SQRT(Parameters!$B$7)*Factors!LV9+SQRT(Parameters!$B$9)*NORM.S.INV(RAND())</f>
        <v/>
      </c>
      <c r="LW3" s="19">
        <f>SQRT(Parameters!$B$5)*Factors!LW2+SQRT(Parameters!$B$6)*Factors!LW5+SQRT(Parameters!$B$7)*Factors!LW9+SQRT(Parameters!$B$9)*NORM.S.INV(RAND())</f>
        <v/>
      </c>
      <c r="LX3" s="19">
        <f>SQRT(Parameters!$B$5)*Factors!LX2+SQRT(Parameters!$B$6)*Factors!LX5+SQRT(Parameters!$B$7)*Factors!LX9+SQRT(Parameters!$B$9)*NORM.S.INV(RAND())</f>
        <v/>
      </c>
      <c r="LY3" s="19">
        <f>SQRT(Parameters!$B$5)*Factors!LY2+SQRT(Parameters!$B$6)*Factors!LY5+SQRT(Parameters!$B$7)*Factors!LY9+SQRT(Parameters!$B$9)*NORM.S.INV(RAND())</f>
        <v/>
      </c>
      <c r="LZ3" s="19">
        <f>SQRT(Parameters!$B$5)*Factors!LZ2+SQRT(Parameters!$B$6)*Factors!LZ5+SQRT(Parameters!$B$7)*Factors!LZ9+SQRT(Parameters!$B$9)*NORM.S.INV(RAND())</f>
        <v/>
      </c>
      <c r="MA3" s="19">
        <f>SQRT(Parameters!$B$5)*Factors!MA2+SQRT(Parameters!$B$6)*Factors!MA5+SQRT(Parameters!$B$7)*Factors!MA9+SQRT(Parameters!$B$9)*NORM.S.INV(RAND())</f>
        <v/>
      </c>
      <c r="MB3" s="19">
        <f>SQRT(Parameters!$B$5)*Factors!MB2+SQRT(Parameters!$B$6)*Factors!MB5+SQRT(Parameters!$B$7)*Factors!MB9+SQRT(Parameters!$B$9)*NORM.S.INV(RAND())</f>
        <v/>
      </c>
      <c r="MC3" s="19">
        <f>SQRT(Parameters!$B$5)*Factors!MC2+SQRT(Parameters!$B$6)*Factors!MC5+SQRT(Parameters!$B$7)*Factors!MC9+SQRT(Parameters!$B$9)*NORM.S.INV(RAND())</f>
        <v/>
      </c>
      <c r="MD3" s="19">
        <f>SQRT(Parameters!$B$5)*Factors!MD2+SQRT(Parameters!$B$6)*Factors!MD5+SQRT(Parameters!$B$7)*Factors!MD9+SQRT(Parameters!$B$9)*NORM.S.INV(RAND())</f>
        <v/>
      </c>
      <c r="ME3" s="19">
        <f>SQRT(Parameters!$B$5)*Factors!ME2+SQRT(Parameters!$B$6)*Factors!ME5+SQRT(Parameters!$B$7)*Factors!ME9+SQRT(Parameters!$B$9)*NORM.S.INV(RAND())</f>
        <v/>
      </c>
      <c r="MF3" s="19">
        <f>SQRT(Parameters!$B$5)*Factors!MF2+SQRT(Parameters!$B$6)*Factors!MF5+SQRT(Parameters!$B$7)*Factors!MF9+SQRT(Parameters!$B$9)*NORM.S.INV(RAND())</f>
        <v/>
      </c>
      <c r="MG3" s="19">
        <f>SQRT(Parameters!$B$5)*Factors!MG2+SQRT(Parameters!$B$6)*Factors!MG5+SQRT(Parameters!$B$7)*Factors!MG9+SQRT(Parameters!$B$9)*NORM.S.INV(RAND())</f>
        <v/>
      </c>
      <c r="MH3" s="19">
        <f>SQRT(Parameters!$B$5)*Factors!MH2+SQRT(Parameters!$B$6)*Factors!MH5+SQRT(Parameters!$B$7)*Factors!MH9+SQRT(Parameters!$B$9)*NORM.S.INV(RAND())</f>
        <v/>
      </c>
      <c r="MI3" s="19">
        <f>SQRT(Parameters!$B$5)*Factors!MI2+SQRT(Parameters!$B$6)*Factors!MI5+SQRT(Parameters!$B$7)*Factors!MI9+SQRT(Parameters!$B$9)*NORM.S.INV(RAND())</f>
        <v/>
      </c>
      <c r="MJ3" s="19">
        <f>SQRT(Parameters!$B$5)*Factors!MJ2+SQRT(Parameters!$B$6)*Factors!MJ5+SQRT(Parameters!$B$7)*Factors!MJ9+SQRT(Parameters!$B$9)*NORM.S.INV(RAND())</f>
        <v/>
      </c>
      <c r="MK3" s="19">
        <f>SQRT(Parameters!$B$5)*Factors!MK2+SQRT(Parameters!$B$6)*Factors!MK5+SQRT(Parameters!$B$7)*Factors!MK9+SQRT(Parameters!$B$9)*NORM.S.INV(RAND())</f>
        <v/>
      </c>
      <c r="ML3" s="19">
        <f>SQRT(Parameters!$B$5)*Factors!ML2+SQRT(Parameters!$B$6)*Factors!ML5+SQRT(Parameters!$B$7)*Factors!ML9+SQRT(Parameters!$B$9)*NORM.S.INV(RAND())</f>
        <v/>
      </c>
      <c r="MM3" s="19">
        <f>SQRT(Parameters!$B$5)*Factors!MM2+SQRT(Parameters!$B$6)*Factors!MM5+SQRT(Parameters!$B$7)*Factors!MM9+SQRT(Parameters!$B$9)*NORM.S.INV(RAND())</f>
        <v/>
      </c>
      <c r="MN3" s="19">
        <f>SQRT(Parameters!$B$5)*Factors!MN2+SQRT(Parameters!$B$6)*Factors!MN5+SQRT(Parameters!$B$7)*Factors!MN9+SQRT(Parameters!$B$9)*NORM.S.INV(RAND())</f>
        <v/>
      </c>
      <c r="MO3" s="19">
        <f>SQRT(Parameters!$B$5)*Factors!MO2+SQRT(Parameters!$B$6)*Factors!MO5+SQRT(Parameters!$B$7)*Factors!MO9+SQRT(Parameters!$B$9)*NORM.S.INV(RAND())</f>
        <v/>
      </c>
      <c r="MP3" s="19">
        <f>SQRT(Parameters!$B$5)*Factors!MP2+SQRT(Parameters!$B$6)*Factors!MP5+SQRT(Parameters!$B$7)*Factors!MP9+SQRT(Parameters!$B$9)*NORM.S.INV(RAND())</f>
        <v/>
      </c>
      <c r="MQ3" s="19">
        <f>SQRT(Parameters!$B$5)*Factors!MQ2+SQRT(Parameters!$B$6)*Factors!MQ5+SQRT(Parameters!$B$7)*Factors!MQ9+SQRT(Parameters!$B$9)*NORM.S.INV(RAND())</f>
        <v/>
      </c>
      <c r="MR3" s="19">
        <f>SQRT(Parameters!$B$5)*Factors!MR2+SQRT(Parameters!$B$6)*Factors!MR5+SQRT(Parameters!$B$7)*Factors!MR9+SQRT(Parameters!$B$9)*NORM.S.INV(RAND())</f>
        <v/>
      </c>
      <c r="MS3" s="19">
        <f>SQRT(Parameters!$B$5)*Factors!MS2+SQRT(Parameters!$B$6)*Factors!MS5+SQRT(Parameters!$B$7)*Factors!MS9+SQRT(Parameters!$B$9)*NORM.S.INV(RAND())</f>
        <v/>
      </c>
      <c r="MT3" s="19">
        <f>SQRT(Parameters!$B$5)*Factors!MT2+SQRT(Parameters!$B$6)*Factors!MT5+SQRT(Parameters!$B$7)*Factors!MT9+SQRT(Parameters!$B$9)*NORM.S.INV(RAND())</f>
        <v/>
      </c>
      <c r="MU3" s="19">
        <f>SQRT(Parameters!$B$5)*Factors!MU2+SQRT(Parameters!$B$6)*Factors!MU5+SQRT(Parameters!$B$7)*Factors!MU9+SQRT(Parameters!$B$9)*NORM.S.INV(RAND())</f>
        <v/>
      </c>
      <c r="MV3" s="19">
        <f>SQRT(Parameters!$B$5)*Factors!MV2+SQRT(Parameters!$B$6)*Factors!MV5+SQRT(Parameters!$B$7)*Factors!MV9+SQRT(Parameters!$B$9)*NORM.S.INV(RAND())</f>
        <v/>
      </c>
      <c r="MW3" s="19">
        <f>SQRT(Parameters!$B$5)*Factors!MW2+SQRT(Parameters!$B$6)*Factors!MW5+SQRT(Parameters!$B$7)*Factors!MW9+SQRT(Parameters!$B$9)*NORM.S.INV(RAND())</f>
        <v/>
      </c>
      <c r="MX3" s="19">
        <f>SQRT(Parameters!$B$5)*Factors!MX2+SQRT(Parameters!$B$6)*Factors!MX5+SQRT(Parameters!$B$7)*Factors!MX9+SQRT(Parameters!$B$9)*NORM.S.INV(RAND())</f>
        <v/>
      </c>
      <c r="MY3" s="19">
        <f>SQRT(Parameters!$B$5)*Factors!MY2+SQRT(Parameters!$B$6)*Factors!MY5+SQRT(Parameters!$B$7)*Factors!MY9+SQRT(Parameters!$B$9)*NORM.S.INV(RAND())</f>
        <v/>
      </c>
      <c r="MZ3" s="19">
        <f>SQRT(Parameters!$B$5)*Factors!MZ2+SQRT(Parameters!$B$6)*Factors!MZ5+SQRT(Parameters!$B$7)*Factors!MZ9+SQRT(Parameters!$B$9)*NORM.S.INV(RAND())</f>
        <v/>
      </c>
      <c r="NA3" s="19">
        <f>SQRT(Parameters!$B$5)*Factors!NA2+SQRT(Parameters!$B$6)*Factors!NA5+SQRT(Parameters!$B$7)*Factors!NA9+SQRT(Parameters!$B$9)*NORM.S.INV(RAND())</f>
        <v/>
      </c>
      <c r="NB3" s="19">
        <f>SQRT(Parameters!$B$5)*Factors!NB2+SQRT(Parameters!$B$6)*Factors!NB5+SQRT(Parameters!$B$7)*Factors!NB9+SQRT(Parameters!$B$9)*NORM.S.INV(RAND())</f>
        <v/>
      </c>
      <c r="NC3" s="19">
        <f>SQRT(Parameters!$B$5)*Factors!NC2+SQRT(Parameters!$B$6)*Factors!NC5+SQRT(Parameters!$B$7)*Factors!NC9+SQRT(Parameters!$B$9)*NORM.S.INV(RAND())</f>
        <v/>
      </c>
      <c r="ND3" s="19">
        <f>SQRT(Parameters!$B$5)*Factors!ND2+SQRT(Parameters!$B$6)*Factors!ND5+SQRT(Parameters!$B$7)*Factors!ND9+SQRT(Parameters!$B$9)*NORM.S.INV(RAND())</f>
        <v/>
      </c>
      <c r="NE3" s="19">
        <f>SQRT(Parameters!$B$5)*Factors!NE2+SQRT(Parameters!$B$6)*Factors!NE5+SQRT(Parameters!$B$7)*Factors!NE9+SQRT(Parameters!$B$9)*NORM.S.INV(RAND())</f>
        <v/>
      </c>
      <c r="NF3" s="19">
        <f>SQRT(Parameters!$B$5)*Factors!NF2+SQRT(Parameters!$B$6)*Factors!NF5+SQRT(Parameters!$B$7)*Factors!NF9+SQRT(Parameters!$B$9)*NORM.S.INV(RAND())</f>
        <v/>
      </c>
      <c r="NG3" s="19">
        <f>SQRT(Parameters!$B$5)*Factors!NG2+SQRT(Parameters!$B$6)*Factors!NG5+SQRT(Parameters!$B$7)*Factors!NG9+SQRT(Parameters!$B$9)*NORM.S.INV(RAND())</f>
        <v/>
      </c>
      <c r="NH3" s="19">
        <f>SQRT(Parameters!$B$5)*Factors!NH2+SQRT(Parameters!$B$6)*Factors!NH5+SQRT(Parameters!$B$7)*Factors!NH9+SQRT(Parameters!$B$9)*NORM.S.INV(RAND())</f>
        <v/>
      </c>
      <c r="NI3" s="19">
        <f>SQRT(Parameters!$B$5)*Factors!NI2+SQRT(Parameters!$B$6)*Factors!NI5+SQRT(Parameters!$B$7)*Factors!NI9+SQRT(Parameters!$B$9)*NORM.S.INV(RAND())</f>
        <v/>
      </c>
      <c r="NJ3" s="19">
        <f>SQRT(Parameters!$B$5)*Factors!NJ2+SQRT(Parameters!$B$6)*Factors!NJ5+SQRT(Parameters!$B$7)*Factors!NJ9+SQRT(Parameters!$B$9)*NORM.S.INV(RAND())</f>
        <v/>
      </c>
      <c r="NK3" s="19">
        <f>SQRT(Parameters!$B$5)*Factors!NK2+SQRT(Parameters!$B$6)*Factors!NK5+SQRT(Parameters!$B$7)*Factors!NK9+SQRT(Parameters!$B$9)*NORM.S.INV(RAND())</f>
        <v/>
      </c>
      <c r="NL3" s="19">
        <f>SQRT(Parameters!$B$5)*Factors!NL2+SQRT(Parameters!$B$6)*Factors!NL5+SQRT(Parameters!$B$7)*Factors!NL9+SQRT(Parameters!$B$9)*NORM.S.INV(RAND())</f>
        <v/>
      </c>
      <c r="NM3" s="19">
        <f>SQRT(Parameters!$B$5)*Factors!NM2+SQRT(Parameters!$B$6)*Factors!NM5+SQRT(Parameters!$B$7)*Factors!NM9+SQRT(Parameters!$B$9)*NORM.S.INV(RAND())</f>
        <v/>
      </c>
      <c r="NN3" s="19">
        <f>SQRT(Parameters!$B$5)*Factors!NN2+SQRT(Parameters!$B$6)*Factors!NN5+SQRT(Parameters!$B$7)*Factors!NN9+SQRT(Parameters!$B$9)*NORM.S.INV(RAND())</f>
        <v/>
      </c>
      <c r="NO3" s="19">
        <f>SQRT(Parameters!$B$5)*Factors!NO2+SQRT(Parameters!$B$6)*Factors!NO5+SQRT(Parameters!$B$7)*Factors!NO9+SQRT(Parameters!$B$9)*NORM.S.INV(RAND())</f>
        <v/>
      </c>
      <c r="NP3" s="19">
        <f>SQRT(Parameters!$B$5)*Factors!NP2+SQRT(Parameters!$B$6)*Factors!NP5+SQRT(Parameters!$B$7)*Factors!NP9+SQRT(Parameters!$B$9)*NORM.S.INV(RAND())</f>
        <v/>
      </c>
      <c r="NQ3" s="19">
        <f>SQRT(Parameters!$B$5)*Factors!NQ2+SQRT(Parameters!$B$6)*Factors!NQ5+SQRT(Parameters!$B$7)*Factors!NQ9+SQRT(Parameters!$B$9)*NORM.S.INV(RAND())</f>
        <v/>
      </c>
      <c r="NR3" s="19">
        <f>SQRT(Parameters!$B$5)*Factors!NR2+SQRT(Parameters!$B$6)*Factors!NR5+SQRT(Parameters!$B$7)*Factors!NR9+SQRT(Parameters!$B$9)*NORM.S.INV(RAND())</f>
        <v/>
      </c>
      <c r="NS3" s="19">
        <f>SQRT(Parameters!$B$5)*Factors!NS2+SQRT(Parameters!$B$6)*Factors!NS5+SQRT(Parameters!$B$7)*Factors!NS9+SQRT(Parameters!$B$9)*NORM.S.INV(RAND())</f>
        <v/>
      </c>
      <c r="NT3" s="19">
        <f>SQRT(Parameters!$B$5)*Factors!NT2+SQRT(Parameters!$B$6)*Factors!NT5+SQRT(Parameters!$B$7)*Factors!NT9+SQRT(Parameters!$B$9)*NORM.S.INV(RAND())</f>
        <v/>
      </c>
      <c r="NU3" s="19">
        <f>SQRT(Parameters!$B$5)*Factors!NU2+SQRT(Parameters!$B$6)*Factors!NU5+SQRT(Parameters!$B$7)*Factors!NU9+SQRT(Parameters!$B$9)*NORM.S.INV(RAND())</f>
        <v/>
      </c>
      <c r="NV3" s="19">
        <f>SQRT(Parameters!$B$5)*Factors!NV2+SQRT(Parameters!$B$6)*Factors!NV5+SQRT(Parameters!$B$7)*Factors!NV9+SQRT(Parameters!$B$9)*NORM.S.INV(RAND())</f>
        <v/>
      </c>
      <c r="NW3" s="19">
        <f>SQRT(Parameters!$B$5)*Factors!NW2+SQRT(Parameters!$B$6)*Factors!NW5+SQRT(Parameters!$B$7)*Factors!NW9+SQRT(Parameters!$B$9)*NORM.S.INV(RAND())</f>
        <v/>
      </c>
      <c r="NX3" s="19">
        <f>SQRT(Parameters!$B$5)*Factors!NX2+SQRT(Parameters!$B$6)*Factors!NX5+SQRT(Parameters!$B$7)*Factors!NX9+SQRT(Parameters!$B$9)*NORM.S.INV(RAND())</f>
        <v/>
      </c>
      <c r="NY3" s="19">
        <f>SQRT(Parameters!$B$5)*Factors!NY2+SQRT(Parameters!$B$6)*Factors!NY5+SQRT(Parameters!$B$7)*Factors!NY9+SQRT(Parameters!$B$9)*NORM.S.INV(RAND())</f>
        <v/>
      </c>
      <c r="NZ3" s="19">
        <f>SQRT(Parameters!$B$5)*Factors!NZ2+SQRT(Parameters!$B$6)*Factors!NZ5+SQRT(Parameters!$B$7)*Factors!NZ9+SQRT(Parameters!$B$9)*NORM.S.INV(RAND())</f>
        <v/>
      </c>
      <c r="OA3" s="19">
        <f>SQRT(Parameters!$B$5)*Factors!OA2+SQRT(Parameters!$B$6)*Factors!OA5+SQRT(Parameters!$B$7)*Factors!OA9+SQRT(Parameters!$B$9)*NORM.S.INV(RAND())</f>
        <v/>
      </c>
      <c r="OB3" s="19">
        <f>SQRT(Parameters!$B$5)*Factors!OB2+SQRT(Parameters!$B$6)*Factors!OB5+SQRT(Parameters!$B$7)*Factors!OB9+SQRT(Parameters!$B$9)*NORM.S.INV(RAND())</f>
        <v/>
      </c>
      <c r="OC3" s="19">
        <f>SQRT(Parameters!$B$5)*Factors!OC2+SQRT(Parameters!$B$6)*Factors!OC5+SQRT(Parameters!$B$7)*Factors!OC9+SQRT(Parameters!$B$9)*NORM.S.INV(RAND())</f>
        <v/>
      </c>
      <c r="OD3" s="19">
        <f>SQRT(Parameters!$B$5)*Factors!OD2+SQRT(Parameters!$B$6)*Factors!OD5+SQRT(Parameters!$B$7)*Factors!OD9+SQRT(Parameters!$B$9)*NORM.S.INV(RAND())</f>
        <v/>
      </c>
      <c r="OE3" s="19">
        <f>SQRT(Parameters!$B$5)*Factors!OE2+SQRT(Parameters!$B$6)*Factors!OE5+SQRT(Parameters!$B$7)*Factors!OE9+SQRT(Parameters!$B$9)*NORM.S.INV(RAND())</f>
        <v/>
      </c>
      <c r="OF3" s="19">
        <f>SQRT(Parameters!$B$5)*Factors!OF2+SQRT(Parameters!$B$6)*Factors!OF5+SQRT(Parameters!$B$7)*Factors!OF9+SQRT(Parameters!$B$9)*NORM.S.INV(RAND())</f>
        <v/>
      </c>
      <c r="OG3" s="19">
        <f>SQRT(Parameters!$B$5)*Factors!OG2+SQRT(Parameters!$B$6)*Factors!OG5+SQRT(Parameters!$B$7)*Factors!OG9+SQRT(Parameters!$B$9)*NORM.S.INV(RAND())</f>
        <v/>
      </c>
      <c r="OH3" s="19">
        <f>SQRT(Parameters!$B$5)*Factors!OH2+SQRT(Parameters!$B$6)*Factors!OH5+SQRT(Parameters!$B$7)*Factors!OH9+SQRT(Parameters!$B$9)*NORM.S.INV(RAND())</f>
        <v/>
      </c>
      <c r="OI3" s="19">
        <f>SQRT(Parameters!$B$5)*Factors!OI2+SQRT(Parameters!$B$6)*Factors!OI5+SQRT(Parameters!$B$7)*Factors!OI9+SQRT(Parameters!$B$9)*NORM.S.INV(RAND())</f>
        <v/>
      </c>
      <c r="OJ3" s="19">
        <f>SQRT(Parameters!$B$5)*Factors!OJ2+SQRT(Parameters!$B$6)*Factors!OJ5+SQRT(Parameters!$B$7)*Factors!OJ9+SQRT(Parameters!$B$9)*NORM.S.INV(RAND())</f>
        <v/>
      </c>
      <c r="OK3" s="19">
        <f>SQRT(Parameters!$B$5)*Factors!OK2+SQRT(Parameters!$B$6)*Factors!OK5+SQRT(Parameters!$B$7)*Factors!OK9+SQRT(Parameters!$B$9)*NORM.S.INV(RAND())</f>
        <v/>
      </c>
      <c r="OL3" s="19">
        <f>SQRT(Parameters!$B$5)*Factors!OL2+SQRT(Parameters!$B$6)*Factors!OL5+SQRT(Parameters!$B$7)*Factors!OL9+SQRT(Parameters!$B$9)*NORM.S.INV(RAND())</f>
        <v/>
      </c>
      <c r="OM3" s="19">
        <f>SQRT(Parameters!$B$5)*Factors!OM2+SQRT(Parameters!$B$6)*Factors!OM5+SQRT(Parameters!$B$7)*Factors!OM9+SQRT(Parameters!$B$9)*NORM.S.INV(RAND())</f>
        <v/>
      </c>
      <c r="ON3" s="19">
        <f>SQRT(Parameters!$B$5)*Factors!ON2+SQRT(Parameters!$B$6)*Factors!ON5+SQRT(Parameters!$B$7)*Factors!ON9+SQRT(Parameters!$B$9)*NORM.S.INV(RAND())</f>
        <v/>
      </c>
      <c r="OO3" s="19">
        <f>SQRT(Parameters!$B$5)*Factors!OO2+SQRT(Parameters!$B$6)*Factors!OO5+SQRT(Parameters!$B$7)*Factors!OO9+SQRT(Parameters!$B$9)*NORM.S.INV(RAND())</f>
        <v/>
      </c>
      <c r="OP3" s="19">
        <f>SQRT(Parameters!$B$5)*Factors!OP2+SQRT(Parameters!$B$6)*Factors!OP5+SQRT(Parameters!$B$7)*Factors!OP9+SQRT(Parameters!$B$9)*NORM.S.INV(RAND())</f>
        <v/>
      </c>
      <c r="OQ3" s="19">
        <f>SQRT(Parameters!$B$5)*Factors!OQ2+SQRT(Parameters!$B$6)*Factors!OQ5+SQRT(Parameters!$B$7)*Factors!OQ9+SQRT(Parameters!$B$9)*NORM.S.INV(RAND())</f>
        <v/>
      </c>
      <c r="OR3" s="19">
        <f>SQRT(Parameters!$B$5)*Factors!OR2+SQRT(Parameters!$B$6)*Factors!OR5+SQRT(Parameters!$B$7)*Factors!OR9+SQRT(Parameters!$B$9)*NORM.S.INV(RAND())</f>
        <v/>
      </c>
      <c r="OS3" s="19">
        <f>SQRT(Parameters!$B$5)*Factors!OS2+SQRT(Parameters!$B$6)*Factors!OS5+SQRT(Parameters!$B$7)*Factors!OS9+SQRT(Parameters!$B$9)*NORM.S.INV(RAND())</f>
        <v/>
      </c>
      <c r="OT3" s="19">
        <f>SQRT(Parameters!$B$5)*Factors!OT2+SQRT(Parameters!$B$6)*Factors!OT5+SQRT(Parameters!$B$7)*Factors!OT9+SQRT(Parameters!$B$9)*NORM.S.INV(RAND())</f>
        <v/>
      </c>
      <c r="OU3" s="19">
        <f>SQRT(Parameters!$B$5)*Factors!OU2+SQRT(Parameters!$B$6)*Factors!OU5+SQRT(Parameters!$B$7)*Factors!OU9+SQRT(Parameters!$B$9)*NORM.S.INV(RAND())</f>
        <v/>
      </c>
      <c r="OV3" s="19">
        <f>SQRT(Parameters!$B$5)*Factors!OV2+SQRT(Parameters!$B$6)*Factors!OV5+SQRT(Parameters!$B$7)*Factors!OV9+SQRT(Parameters!$B$9)*NORM.S.INV(RAND())</f>
        <v/>
      </c>
      <c r="OW3" s="19">
        <f>SQRT(Parameters!$B$5)*Factors!OW2+SQRT(Parameters!$B$6)*Factors!OW5+SQRT(Parameters!$B$7)*Factors!OW9+SQRT(Parameters!$B$9)*NORM.S.INV(RAND())</f>
        <v/>
      </c>
      <c r="OX3" s="19">
        <f>SQRT(Parameters!$B$5)*Factors!OX2+SQRT(Parameters!$B$6)*Factors!OX5+SQRT(Parameters!$B$7)*Factors!OX9+SQRT(Parameters!$B$9)*NORM.S.INV(RAND())</f>
        <v/>
      </c>
      <c r="OY3" s="19">
        <f>SQRT(Parameters!$B$5)*Factors!OY2+SQRT(Parameters!$B$6)*Factors!OY5+SQRT(Parameters!$B$7)*Factors!OY9+SQRT(Parameters!$B$9)*NORM.S.INV(RAND())</f>
        <v/>
      </c>
      <c r="OZ3" s="19">
        <f>SQRT(Parameters!$B$5)*Factors!OZ2+SQRT(Parameters!$B$6)*Factors!OZ5+SQRT(Parameters!$B$7)*Factors!OZ9+SQRT(Parameters!$B$9)*NORM.S.INV(RAND())</f>
        <v/>
      </c>
      <c r="PA3" s="19">
        <f>SQRT(Parameters!$B$5)*Factors!PA2+SQRT(Parameters!$B$6)*Factors!PA5+SQRT(Parameters!$B$7)*Factors!PA9+SQRT(Parameters!$B$9)*NORM.S.INV(RAND())</f>
        <v/>
      </c>
      <c r="PB3" s="19">
        <f>SQRT(Parameters!$B$5)*Factors!PB2+SQRT(Parameters!$B$6)*Factors!PB5+SQRT(Parameters!$B$7)*Factors!PB9+SQRT(Parameters!$B$9)*NORM.S.INV(RAND())</f>
        <v/>
      </c>
      <c r="PC3" s="19">
        <f>SQRT(Parameters!$B$5)*Factors!PC2+SQRT(Parameters!$B$6)*Factors!PC5+SQRT(Parameters!$B$7)*Factors!PC9+SQRT(Parameters!$B$9)*NORM.S.INV(RAND())</f>
        <v/>
      </c>
      <c r="PD3" s="19">
        <f>SQRT(Parameters!$B$5)*Factors!PD2+SQRT(Parameters!$B$6)*Factors!PD5+SQRT(Parameters!$B$7)*Factors!PD9+SQRT(Parameters!$B$9)*NORM.S.INV(RAND())</f>
        <v/>
      </c>
      <c r="PE3" s="19">
        <f>SQRT(Parameters!$B$5)*Factors!PE2+SQRT(Parameters!$B$6)*Factors!PE5+SQRT(Parameters!$B$7)*Factors!PE9+SQRT(Parameters!$B$9)*NORM.S.INV(RAND())</f>
        <v/>
      </c>
      <c r="PF3" s="19">
        <f>SQRT(Parameters!$B$5)*Factors!PF2+SQRT(Parameters!$B$6)*Factors!PF5+SQRT(Parameters!$B$7)*Factors!PF9+SQRT(Parameters!$B$9)*NORM.S.INV(RAND())</f>
        <v/>
      </c>
      <c r="PG3" s="19">
        <f>SQRT(Parameters!$B$5)*Factors!PG2+SQRT(Parameters!$B$6)*Factors!PG5+SQRT(Parameters!$B$7)*Factors!PG9+SQRT(Parameters!$B$9)*NORM.S.INV(RAND())</f>
        <v/>
      </c>
      <c r="PH3" s="19">
        <f>SQRT(Parameters!$B$5)*Factors!PH2+SQRT(Parameters!$B$6)*Factors!PH5+SQRT(Parameters!$B$7)*Factors!PH9+SQRT(Parameters!$B$9)*NORM.S.INV(RAND())</f>
        <v/>
      </c>
      <c r="PI3" s="19">
        <f>SQRT(Parameters!$B$5)*Factors!PI2+SQRT(Parameters!$B$6)*Factors!PI5+SQRT(Parameters!$B$7)*Factors!PI9+SQRT(Parameters!$B$9)*NORM.S.INV(RAND())</f>
        <v/>
      </c>
      <c r="PJ3" s="19">
        <f>SQRT(Parameters!$B$5)*Factors!PJ2+SQRT(Parameters!$B$6)*Factors!PJ5+SQRT(Parameters!$B$7)*Factors!PJ9+SQRT(Parameters!$B$9)*NORM.S.INV(RAND())</f>
        <v/>
      </c>
      <c r="PK3" s="19">
        <f>SQRT(Parameters!$B$5)*Factors!PK2+SQRT(Parameters!$B$6)*Factors!PK5+SQRT(Parameters!$B$7)*Factors!PK9+SQRT(Parameters!$B$9)*NORM.S.INV(RAND())</f>
        <v/>
      </c>
      <c r="PL3" s="19">
        <f>SQRT(Parameters!$B$5)*Factors!PL2+SQRT(Parameters!$B$6)*Factors!PL5+SQRT(Parameters!$B$7)*Factors!PL9+SQRT(Parameters!$B$9)*NORM.S.INV(RAND())</f>
        <v/>
      </c>
      <c r="PM3" s="19">
        <f>SQRT(Parameters!$B$5)*Factors!PM2+SQRT(Parameters!$B$6)*Factors!PM5+SQRT(Parameters!$B$7)*Factors!PM9+SQRT(Parameters!$B$9)*NORM.S.INV(RAND())</f>
        <v/>
      </c>
      <c r="PN3" s="19">
        <f>SQRT(Parameters!$B$5)*Factors!PN2+SQRT(Parameters!$B$6)*Factors!PN5+SQRT(Parameters!$B$7)*Factors!PN9+SQRT(Parameters!$B$9)*NORM.S.INV(RAND())</f>
        <v/>
      </c>
      <c r="PO3" s="19">
        <f>SQRT(Parameters!$B$5)*Factors!PO2+SQRT(Parameters!$B$6)*Factors!PO5+SQRT(Parameters!$B$7)*Factors!PO9+SQRT(Parameters!$B$9)*NORM.S.INV(RAND())</f>
        <v/>
      </c>
      <c r="PP3" s="19">
        <f>SQRT(Parameters!$B$5)*Factors!PP2+SQRT(Parameters!$B$6)*Factors!PP5+SQRT(Parameters!$B$7)*Factors!PP9+SQRT(Parameters!$B$9)*NORM.S.INV(RAND())</f>
        <v/>
      </c>
      <c r="PQ3" s="19">
        <f>SQRT(Parameters!$B$5)*Factors!PQ2+SQRT(Parameters!$B$6)*Factors!PQ5+SQRT(Parameters!$B$7)*Factors!PQ9+SQRT(Parameters!$B$9)*NORM.S.INV(RAND())</f>
        <v/>
      </c>
      <c r="PR3" s="19">
        <f>SQRT(Parameters!$B$5)*Factors!PR2+SQRT(Parameters!$B$6)*Factors!PR5+SQRT(Parameters!$B$7)*Factors!PR9+SQRT(Parameters!$B$9)*NORM.S.INV(RAND())</f>
        <v/>
      </c>
      <c r="PS3" s="19">
        <f>SQRT(Parameters!$B$5)*Factors!PS2+SQRT(Parameters!$B$6)*Factors!PS5+SQRT(Parameters!$B$7)*Factors!PS9+SQRT(Parameters!$B$9)*NORM.S.INV(RAND())</f>
        <v/>
      </c>
      <c r="PT3" s="19">
        <f>SQRT(Parameters!$B$5)*Factors!PT2+SQRT(Parameters!$B$6)*Factors!PT5+SQRT(Parameters!$B$7)*Factors!PT9+SQRT(Parameters!$B$9)*NORM.S.INV(RAND())</f>
        <v/>
      </c>
      <c r="PU3" s="19">
        <f>SQRT(Parameters!$B$5)*Factors!PU2+SQRT(Parameters!$B$6)*Factors!PU5+SQRT(Parameters!$B$7)*Factors!PU9+SQRT(Parameters!$B$9)*NORM.S.INV(RAND())</f>
        <v/>
      </c>
      <c r="PV3" s="19">
        <f>SQRT(Parameters!$B$5)*Factors!PV2+SQRT(Parameters!$B$6)*Factors!PV5+SQRT(Parameters!$B$7)*Factors!PV9+SQRT(Parameters!$B$9)*NORM.S.INV(RAND())</f>
        <v/>
      </c>
      <c r="PW3" s="19">
        <f>SQRT(Parameters!$B$5)*Factors!PW2+SQRT(Parameters!$B$6)*Factors!PW5+SQRT(Parameters!$B$7)*Factors!PW9+SQRT(Parameters!$B$9)*NORM.S.INV(RAND())</f>
        <v/>
      </c>
      <c r="PX3" s="19">
        <f>SQRT(Parameters!$B$5)*Factors!PX2+SQRT(Parameters!$B$6)*Factors!PX5+SQRT(Parameters!$B$7)*Factors!PX9+SQRT(Parameters!$B$9)*NORM.S.INV(RAND())</f>
        <v/>
      </c>
      <c r="PY3" s="19">
        <f>SQRT(Parameters!$B$5)*Factors!PY2+SQRT(Parameters!$B$6)*Factors!PY5+SQRT(Parameters!$B$7)*Factors!PY9+SQRT(Parameters!$B$9)*NORM.S.INV(RAND())</f>
        <v/>
      </c>
      <c r="PZ3" s="19">
        <f>SQRT(Parameters!$B$5)*Factors!PZ2+SQRT(Parameters!$B$6)*Factors!PZ5+SQRT(Parameters!$B$7)*Factors!PZ9+SQRT(Parameters!$B$9)*NORM.S.INV(RAND())</f>
        <v/>
      </c>
      <c r="QA3" s="19">
        <f>SQRT(Parameters!$B$5)*Factors!QA2+SQRT(Parameters!$B$6)*Factors!QA5+SQRT(Parameters!$B$7)*Factors!QA9+SQRT(Parameters!$B$9)*NORM.S.INV(RAND())</f>
        <v/>
      </c>
      <c r="QB3" s="19">
        <f>SQRT(Parameters!$B$5)*Factors!QB2+SQRT(Parameters!$B$6)*Factors!QB5+SQRT(Parameters!$B$7)*Factors!QB9+SQRT(Parameters!$B$9)*NORM.S.INV(RAND())</f>
        <v/>
      </c>
      <c r="QC3" s="19">
        <f>SQRT(Parameters!$B$5)*Factors!QC2+SQRT(Parameters!$B$6)*Factors!QC5+SQRT(Parameters!$B$7)*Factors!QC9+SQRT(Parameters!$B$9)*NORM.S.INV(RAND())</f>
        <v/>
      </c>
      <c r="QD3" s="19">
        <f>SQRT(Parameters!$B$5)*Factors!QD2+SQRT(Parameters!$B$6)*Factors!QD5+SQRT(Parameters!$B$7)*Factors!QD9+SQRT(Parameters!$B$9)*NORM.S.INV(RAND())</f>
        <v/>
      </c>
      <c r="QE3" s="19">
        <f>SQRT(Parameters!$B$5)*Factors!QE2+SQRT(Parameters!$B$6)*Factors!QE5+SQRT(Parameters!$B$7)*Factors!QE9+SQRT(Parameters!$B$9)*NORM.S.INV(RAND())</f>
        <v/>
      </c>
      <c r="QF3" s="19">
        <f>SQRT(Parameters!$B$5)*Factors!QF2+SQRT(Parameters!$B$6)*Factors!QF5+SQRT(Parameters!$B$7)*Factors!QF9+SQRT(Parameters!$B$9)*NORM.S.INV(RAND())</f>
        <v/>
      </c>
      <c r="QG3" s="19">
        <f>SQRT(Parameters!$B$5)*Factors!QG2+SQRT(Parameters!$B$6)*Factors!QG5+SQRT(Parameters!$B$7)*Factors!QG9+SQRT(Parameters!$B$9)*NORM.S.INV(RAND())</f>
        <v/>
      </c>
      <c r="QH3" s="19">
        <f>SQRT(Parameters!$B$5)*Factors!QH2+SQRT(Parameters!$B$6)*Factors!QH5+SQRT(Parameters!$B$7)*Factors!QH9+SQRT(Parameters!$B$9)*NORM.S.INV(RAND())</f>
        <v/>
      </c>
      <c r="QI3" s="19">
        <f>SQRT(Parameters!$B$5)*Factors!QI2+SQRT(Parameters!$B$6)*Factors!QI5+SQRT(Parameters!$B$7)*Factors!QI9+SQRT(Parameters!$B$9)*NORM.S.INV(RAND())</f>
        <v/>
      </c>
      <c r="QJ3" s="19">
        <f>SQRT(Parameters!$B$5)*Factors!QJ2+SQRT(Parameters!$B$6)*Factors!QJ5+SQRT(Parameters!$B$7)*Factors!QJ9+SQRT(Parameters!$B$9)*NORM.S.INV(RAND())</f>
        <v/>
      </c>
      <c r="QK3" s="19">
        <f>SQRT(Parameters!$B$5)*Factors!QK2+SQRT(Parameters!$B$6)*Factors!QK5+SQRT(Parameters!$B$7)*Factors!QK9+SQRT(Parameters!$B$9)*NORM.S.INV(RAND())</f>
        <v/>
      </c>
      <c r="QL3" s="19">
        <f>SQRT(Parameters!$B$5)*Factors!QL2+SQRT(Parameters!$B$6)*Factors!QL5+SQRT(Parameters!$B$7)*Factors!QL9+SQRT(Parameters!$B$9)*NORM.S.INV(RAND())</f>
        <v/>
      </c>
      <c r="QM3" s="19">
        <f>SQRT(Parameters!$B$5)*Factors!QM2+SQRT(Parameters!$B$6)*Factors!QM5+SQRT(Parameters!$B$7)*Factors!QM9+SQRT(Parameters!$B$9)*NORM.S.INV(RAND())</f>
        <v/>
      </c>
      <c r="QN3" s="19">
        <f>SQRT(Parameters!$B$5)*Factors!QN2+SQRT(Parameters!$B$6)*Factors!QN5+SQRT(Parameters!$B$7)*Factors!QN9+SQRT(Parameters!$B$9)*NORM.S.INV(RAND())</f>
        <v/>
      </c>
      <c r="QO3" s="19">
        <f>SQRT(Parameters!$B$5)*Factors!QO2+SQRT(Parameters!$B$6)*Factors!QO5+SQRT(Parameters!$B$7)*Factors!QO9+SQRT(Parameters!$B$9)*NORM.S.INV(RAND())</f>
        <v/>
      </c>
      <c r="QP3" s="19">
        <f>SQRT(Parameters!$B$5)*Factors!QP2+SQRT(Parameters!$B$6)*Factors!QP5+SQRT(Parameters!$B$7)*Factors!QP9+SQRT(Parameters!$B$9)*NORM.S.INV(RAND())</f>
        <v/>
      </c>
      <c r="QQ3" s="19">
        <f>SQRT(Parameters!$B$5)*Factors!QQ2+SQRT(Parameters!$B$6)*Factors!QQ5+SQRT(Parameters!$B$7)*Factors!QQ9+SQRT(Parameters!$B$9)*NORM.S.INV(RAND())</f>
        <v/>
      </c>
      <c r="QR3" s="19">
        <f>SQRT(Parameters!$B$5)*Factors!QR2+SQRT(Parameters!$B$6)*Factors!QR5+SQRT(Parameters!$B$7)*Factors!QR9+SQRT(Parameters!$B$9)*NORM.S.INV(RAND())</f>
        <v/>
      </c>
      <c r="QS3" s="19">
        <f>SQRT(Parameters!$B$5)*Factors!QS2+SQRT(Parameters!$B$6)*Factors!QS5+SQRT(Parameters!$B$7)*Factors!QS9+SQRT(Parameters!$B$9)*NORM.S.INV(RAND())</f>
        <v/>
      </c>
      <c r="QT3" s="19">
        <f>SQRT(Parameters!$B$5)*Factors!QT2+SQRT(Parameters!$B$6)*Factors!QT5+SQRT(Parameters!$B$7)*Factors!QT9+SQRT(Parameters!$B$9)*NORM.S.INV(RAND())</f>
        <v/>
      </c>
      <c r="QU3" s="19">
        <f>SQRT(Parameters!$B$5)*Factors!QU2+SQRT(Parameters!$B$6)*Factors!QU5+SQRT(Parameters!$B$7)*Factors!QU9+SQRT(Parameters!$B$9)*NORM.S.INV(RAND())</f>
        <v/>
      </c>
      <c r="QV3" s="19">
        <f>SQRT(Parameters!$B$5)*Factors!QV2+SQRT(Parameters!$B$6)*Factors!QV5+SQRT(Parameters!$B$7)*Factors!QV9+SQRT(Parameters!$B$9)*NORM.S.INV(RAND())</f>
        <v/>
      </c>
      <c r="QW3" s="19">
        <f>SQRT(Parameters!$B$5)*Factors!QW2+SQRT(Parameters!$B$6)*Factors!QW5+SQRT(Parameters!$B$7)*Factors!QW9+SQRT(Parameters!$B$9)*NORM.S.INV(RAND())</f>
        <v/>
      </c>
      <c r="QX3" s="19">
        <f>SQRT(Parameters!$B$5)*Factors!QX2+SQRT(Parameters!$B$6)*Factors!QX5+SQRT(Parameters!$B$7)*Factors!QX9+SQRT(Parameters!$B$9)*NORM.S.INV(RAND())</f>
        <v/>
      </c>
      <c r="QY3" s="19">
        <f>SQRT(Parameters!$B$5)*Factors!QY2+SQRT(Parameters!$B$6)*Factors!QY5+SQRT(Parameters!$B$7)*Factors!QY9+SQRT(Parameters!$B$9)*NORM.S.INV(RAND())</f>
        <v/>
      </c>
      <c r="QZ3" s="19">
        <f>SQRT(Parameters!$B$5)*Factors!QZ2+SQRT(Parameters!$B$6)*Factors!QZ5+SQRT(Parameters!$B$7)*Factors!QZ9+SQRT(Parameters!$B$9)*NORM.S.INV(RAND())</f>
        <v/>
      </c>
      <c r="RA3" s="19">
        <f>SQRT(Parameters!$B$5)*Factors!RA2+SQRT(Parameters!$B$6)*Factors!RA5+SQRT(Parameters!$B$7)*Factors!RA9+SQRT(Parameters!$B$9)*NORM.S.INV(RAND())</f>
        <v/>
      </c>
      <c r="RB3" s="19">
        <f>SQRT(Parameters!$B$5)*Factors!RB2+SQRT(Parameters!$B$6)*Factors!RB5+SQRT(Parameters!$B$7)*Factors!RB9+SQRT(Parameters!$B$9)*NORM.S.INV(RAND())</f>
        <v/>
      </c>
      <c r="RC3" s="19">
        <f>SQRT(Parameters!$B$5)*Factors!RC2+SQRT(Parameters!$B$6)*Factors!RC5+SQRT(Parameters!$B$7)*Factors!RC9+SQRT(Parameters!$B$9)*NORM.S.INV(RAND())</f>
        <v/>
      </c>
      <c r="RD3" s="19">
        <f>SQRT(Parameters!$B$5)*Factors!RD2+SQRT(Parameters!$B$6)*Factors!RD5+SQRT(Parameters!$B$7)*Factors!RD9+SQRT(Parameters!$B$9)*NORM.S.INV(RAND())</f>
        <v/>
      </c>
      <c r="RE3" s="19">
        <f>SQRT(Parameters!$B$5)*Factors!RE2+SQRT(Parameters!$B$6)*Factors!RE5+SQRT(Parameters!$B$7)*Factors!RE9+SQRT(Parameters!$B$9)*NORM.S.INV(RAND())</f>
        <v/>
      </c>
      <c r="RF3" s="19">
        <f>SQRT(Parameters!$B$5)*Factors!RF2+SQRT(Parameters!$B$6)*Factors!RF5+SQRT(Parameters!$B$7)*Factors!RF9+SQRT(Parameters!$B$9)*NORM.S.INV(RAND())</f>
        <v/>
      </c>
      <c r="RG3" s="19">
        <f>SQRT(Parameters!$B$5)*Factors!RG2+SQRT(Parameters!$B$6)*Factors!RG5+SQRT(Parameters!$B$7)*Factors!RG9+SQRT(Parameters!$B$9)*NORM.S.INV(RAND())</f>
        <v/>
      </c>
      <c r="RH3" s="19">
        <f>SQRT(Parameters!$B$5)*Factors!RH2+SQRT(Parameters!$B$6)*Factors!RH5+SQRT(Parameters!$B$7)*Factors!RH9+SQRT(Parameters!$B$9)*NORM.S.INV(RAND())</f>
        <v/>
      </c>
      <c r="RI3" s="19">
        <f>SQRT(Parameters!$B$5)*Factors!RI2+SQRT(Parameters!$B$6)*Factors!RI5+SQRT(Parameters!$B$7)*Factors!RI9+SQRT(Parameters!$B$9)*NORM.S.INV(RAND())</f>
        <v/>
      </c>
      <c r="RJ3" s="19">
        <f>SQRT(Parameters!$B$5)*Factors!RJ2+SQRT(Parameters!$B$6)*Factors!RJ5+SQRT(Parameters!$B$7)*Factors!RJ9+SQRT(Parameters!$B$9)*NORM.S.INV(RAND())</f>
        <v/>
      </c>
      <c r="RK3" s="19">
        <f>SQRT(Parameters!$B$5)*Factors!RK2+SQRT(Parameters!$B$6)*Factors!RK5+SQRT(Parameters!$B$7)*Factors!RK9+SQRT(Parameters!$B$9)*NORM.S.INV(RAND())</f>
        <v/>
      </c>
      <c r="RL3" s="19">
        <f>SQRT(Parameters!$B$5)*Factors!RL2+SQRT(Parameters!$B$6)*Factors!RL5+SQRT(Parameters!$B$7)*Factors!RL9+SQRT(Parameters!$B$9)*NORM.S.INV(RAND())</f>
        <v/>
      </c>
      <c r="RM3" s="19">
        <f>SQRT(Parameters!$B$5)*Factors!RM2+SQRT(Parameters!$B$6)*Factors!RM5+SQRT(Parameters!$B$7)*Factors!RM9+SQRT(Parameters!$B$9)*NORM.S.INV(RAND())</f>
        <v/>
      </c>
      <c r="RN3" s="19">
        <f>SQRT(Parameters!$B$5)*Factors!RN2+SQRT(Parameters!$B$6)*Factors!RN5+SQRT(Parameters!$B$7)*Factors!RN9+SQRT(Parameters!$B$9)*NORM.S.INV(RAND())</f>
        <v/>
      </c>
      <c r="RO3" s="19">
        <f>SQRT(Parameters!$B$5)*Factors!RO2+SQRT(Parameters!$B$6)*Factors!RO5+SQRT(Parameters!$B$7)*Factors!RO9+SQRT(Parameters!$B$9)*NORM.S.INV(RAND())</f>
        <v/>
      </c>
      <c r="RP3" s="19">
        <f>SQRT(Parameters!$B$5)*Factors!RP2+SQRT(Parameters!$B$6)*Factors!RP5+SQRT(Parameters!$B$7)*Factors!RP9+SQRT(Parameters!$B$9)*NORM.S.INV(RAND())</f>
        <v/>
      </c>
      <c r="RQ3" s="19">
        <f>SQRT(Parameters!$B$5)*Factors!RQ2+SQRT(Parameters!$B$6)*Factors!RQ5+SQRT(Parameters!$B$7)*Factors!RQ9+SQRT(Parameters!$B$9)*NORM.S.INV(RAND())</f>
        <v/>
      </c>
      <c r="RR3" s="19">
        <f>SQRT(Parameters!$B$5)*Factors!RR2+SQRT(Parameters!$B$6)*Factors!RR5+SQRT(Parameters!$B$7)*Factors!RR9+SQRT(Parameters!$B$9)*NORM.S.INV(RAND())</f>
        <v/>
      </c>
      <c r="RS3" s="19">
        <f>SQRT(Parameters!$B$5)*Factors!RS2+SQRT(Parameters!$B$6)*Factors!RS5+SQRT(Parameters!$B$7)*Factors!RS9+SQRT(Parameters!$B$9)*NORM.S.INV(RAND())</f>
        <v/>
      </c>
      <c r="RT3" s="19">
        <f>SQRT(Parameters!$B$5)*Factors!RT2+SQRT(Parameters!$B$6)*Factors!RT5+SQRT(Parameters!$B$7)*Factors!RT9+SQRT(Parameters!$B$9)*NORM.S.INV(RAND())</f>
        <v/>
      </c>
      <c r="RU3" s="19">
        <f>SQRT(Parameters!$B$5)*Factors!RU2+SQRT(Parameters!$B$6)*Factors!RU5+SQRT(Parameters!$B$7)*Factors!RU9+SQRT(Parameters!$B$9)*NORM.S.INV(RAND())</f>
        <v/>
      </c>
      <c r="RV3" s="19">
        <f>SQRT(Parameters!$B$5)*Factors!RV2+SQRT(Parameters!$B$6)*Factors!RV5+SQRT(Parameters!$B$7)*Factors!RV9+SQRT(Parameters!$B$9)*NORM.S.INV(RAND())</f>
        <v/>
      </c>
      <c r="RW3" s="19">
        <f>SQRT(Parameters!$B$5)*Factors!RW2+SQRT(Parameters!$B$6)*Factors!RW5+SQRT(Parameters!$B$7)*Factors!RW9+SQRT(Parameters!$B$9)*NORM.S.INV(RAND())</f>
        <v/>
      </c>
      <c r="RX3" s="19">
        <f>SQRT(Parameters!$B$5)*Factors!RX2+SQRT(Parameters!$B$6)*Factors!RX5+SQRT(Parameters!$B$7)*Factors!RX9+SQRT(Parameters!$B$9)*NORM.S.INV(RAND())</f>
        <v/>
      </c>
      <c r="RY3" s="19">
        <f>SQRT(Parameters!$B$5)*Factors!RY2+SQRT(Parameters!$B$6)*Factors!RY5+SQRT(Parameters!$B$7)*Factors!RY9+SQRT(Parameters!$B$9)*NORM.S.INV(RAND())</f>
        <v/>
      </c>
      <c r="RZ3" s="19">
        <f>SQRT(Parameters!$B$5)*Factors!RZ2+SQRT(Parameters!$B$6)*Factors!RZ5+SQRT(Parameters!$B$7)*Factors!RZ9+SQRT(Parameters!$B$9)*NORM.S.INV(RAND())</f>
        <v/>
      </c>
      <c r="SA3" s="19">
        <f>SQRT(Parameters!$B$5)*Factors!SA2+SQRT(Parameters!$B$6)*Factors!SA5+SQRT(Parameters!$B$7)*Factors!SA9+SQRT(Parameters!$B$9)*NORM.S.INV(RAND())</f>
        <v/>
      </c>
      <c r="SB3" s="19">
        <f>SQRT(Parameters!$B$5)*Factors!SB2+SQRT(Parameters!$B$6)*Factors!SB5+SQRT(Parameters!$B$7)*Factors!SB9+SQRT(Parameters!$B$9)*NORM.S.INV(RAND())</f>
        <v/>
      </c>
      <c r="SC3" s="19">
        <f>SQRT(Parameters!$B$5)*Factors!SC2+SQRT(Parameters!$B$6)*Factors!SC5+SQRT(Parameters!$B$7)*Factors!SC9+SQRT(Parameters!$B$9)*NORM.S.INV(RAND())</f>
        <v/>
      </c>
      <c r="SD3" s="19">
        <f>SQRT(Parameters!$B$5)*Factors!SD2+SQRT(Parameters!$B$6)*Factors!SD5+SQRT(Parameters!$B$7)*Factors!SD9+SQRT(Parameters!$B$9)*NORM.S.INV(RAND())</f>
        <v/>
      </c>
      <c r="SE3" s="19">
        <f>SQRT(Parameters!$B$5)*Factors!SE2+SQRT(Parameters!$B$6)*Factors!SE5+SQRT(Parameters!$B$7)*Factors!SE9+SQRT(Parameters!$B$9)*NORM.S.INV(RAND())</f>
        <v/>
      </c>
      <c r="SF3" s="19">
        <f>SQRT(Parameters!$B$5)*Factors!SF2+SQRT(Parameters!$B$6)*Factors!SF5+SQRT(Parameters!$B$7)*Factors!SF9+SQRT(Parameters!$B$9)*NORM.S.INV(RAND())</f>
        <v/>
      </c>
      <c r="SG3" s="19">
        <f>SQRT(Parameters!$B$5)*Factors!SG2+SQRT(Parameters!$B$6)*Factors!SG5+SQRT(Parameters!$B$7)*Factors!SG9+SQRT(Parameters!$B$9)*NORM.S.INV(RAND())</f>
        <v/>
      </c>
    </row>
    <row r="4">
      <c r="A4" s="17" t="inlineStr">
        <is>
          <t>OBL-003</t>
        </is>
      </c>
      <c r="B4" s="19">
        <f>SQRT(Parameters!$B$5)*Factors!B2+SQRT(Parameters!$B$6)*Factors!B7+SQRT(Parameters!$B$7)*Factors!B9+SQRT(Parameters!$B$9)*NORM.S.INV(RAND())</f>
        <v/>
      </c>
      <c r="C4" s="19">
        <f>SQRT(Parameters!$B$5)*Factors!C2+SQRT(Parameters!$B$6)*Factors!C7+SQRT(Parameters!$B$7)*Factors!C9+SQRT(Parameters!$B$9)*NORM.S.INV(RAND())</f>
        <v/>
      </c>
      <c r="D4" s="19">
        <f>SQRT(Parameters!$B$5)*Factors!D2+SQRT(Parameters!$B$6)*Factors!D7+SQRT(Parameters!$B$7)*Factors!D9+SQRT(Parameters!$B$9)*NORM.S.INV(RAND())</f>
        <v/>
      </c>
      <c r="E4" s="19">
        <f>SQRT(Parameters!$B$5)*Factors!E2+SQRT(Parameters!$B$6)*Factors!E7+SQRT(Parameters!$B$7)*Factors!E9+SQRT(Parameters!$B$9)*NORM.S.INV(RAND())</f>
        <v/>
      </c>
      <c r="F4" s="19">
        <f>SQRT(Parameters!$B$5)*Factors!F2+SQRT(Parameters!$B$6)*Factors!F7+SQRT(Parameters!$B$7)*Factors!F9+SQRT(Parameters!$B$9)*NORM.S.INV(RAND())</f>
        <v/>
      </c>
      <c r="G4" s="19">
        <f>SQRT(Parameters!$B$5)*Factors!G2+SQRT(Parameters!$B$6)*Factors!G7+SQRT(Parameters!$B$7)*Factors!G9+SQRT(Parameters!$B$9)*NORM.S.INV(RAND())</f>
        <v/>
      </c>
      <c r="H4" s="19">
        <f>SQRT(Parameters!$B$5)*Factors!H2+SQRT(Parameters!$B$6)*Factors!H7+SQRT(Parameters!$B$7)*Factors!H9+SQRT(Parameters!$B$9)*NORM.S.INV(RAND())</f>
        <v/>
      </c>
      <c r="I4" s="19">
        <f>SQRT(Parameters!$B$5)*Factors!I2+SQRT(Parameters!$B$6)*Factors!I7+SQRT(Parameters!$B$7)*Factors!I9+SQRT(Parameters!$B$9)*NORM.S.INV(RAND())</f>
        <v/>
      </c>
      <c r="J4" s="19">
        <f>SQRT(Parameters!$B$5)*Factors!J2+SQRT(Parameters!$B$6)*Factors!J7+SQRT(Parameters!$B$7)*Factors!J9+SQRT(Parameters!$B$9)*NORM.S.INV(RAND())</f>
        <v/>
      </c>
      <c r="K4" s="19">
        <f>SQRT(Parameters!$B$5)*Factors!K2+SQRT(Parameters!$B$6)*Factors!K7+SQRT(Parameters!$B$7)*Factors!K9+SQRT(Parameters!$B$9)*NORM.S.INV(RAND())</f>
        <v/>
      </c>
      <c r="L4" s="19">
        <f>SQRT(Parameters!$B$5)*Factors!L2+SQRT(Parameters!$B$6)*Factors!L7+SQRT(Parameters!$B$7)*Factors!L9+SQRT(Parameters!$B$9)*NORM.S.INV(RAND())</f>
        <v/>
      </c>
      <c r="M4" s="19">
        <f>SQRT(Parameters!$B$5)*Factors!M2+SQRT(Parameters!$B$6)*Factors!M7+SQRT(Parameters!$B$7)*Factors!M9+SQRT(Parameters!$B$9)*NORM.S.INV(RAND())</f>
        <v/>
      </c>
      <c r="N4" s="19">
        <f>SQRT(Parameters!$B$5)*Factors!N2+SQRT(Parameters!$B$6)*Factors!N7+SQRT(Parameters!$B$7)*Factors!N9+SQRT(Parameters!$B$9)*NORM.S.INV(RAND())</f>
        <v/>
      </c>
      <c r="O4" s="19">
        <f>SQRT(Parameters!$B$5)*Factors!O2+SQRT(Parameters!$B$6)*Factors!O7+SQRT(Parameters!$B$7)*Factors!O9+SQRT(Parameters!$B$9)*NORM.S.INV(RAND())</f>
        <v/>
      </c>
      <c r="P4" s="19">
        <f>SQRT(Parameters!$B$5)*Factors!P2+SQRT(Parameters!$B$6)*Factors!P7+SQRT(Parameters!$B$7)*Factors!P9+SQRT(Parameters!$B$9)*NORM.S.INV(RAND())</f>
        <v/>
      </c>
      <c r="Q4" s="19">
        <f>SQRT(Parameters!$B$5)*Factors!Q2+SQRT(Parameters!$B$6)*Factors!Q7+SQRT(Parameters!$B$7)*Factors!Q9+SQRT(Parameters!$B$9)*NORM.S.INV(RAND())</f>
        <v/>
      </c>
      <c r="R4" s="19">
        <f>SQRT(Parameters!$B$5)*Factors!R2+SQRT(Parameters!$B$6)*Factors!R7+SQRT(Parameters!$B$7)*Factors!R9+SQRT(Parameters!$B$9)*NORM.S.INV(RAND())</f>
        <v/>
      </c>
      <c r="S4" s="19">
        <f>SQRT(Parameters!$B$5)*Factors!S2+SQRT(Parameters!$B$6)*Factors!S7+SQRT(Parameters!$B$7)*Factors!S9+SQRT(Parameters!$B$9)*NORM.S.INV(RAND())</f>
        <v/>
      </c>
      <c r="T4" s="19">
        <f>SQRT(Parameters!$B$5)*Factors!T2+SQRT(Parameters!$B$6)*Factors!T7+SQRT(Parameters!$B$7)*Factors!T9+SQRT(Parameters!$B$9)*NORM.S.INV(RAND())</f>
        <v/>
      </c>
      <c r="U4" s="19">
        <f>SQRT(Parameters!$B$5)*Factors!U2+SQRT(Parameters!$B$6)*Factors!U7+SQRT(Parameters!$B$7)*Factors!U9+SQRT(Parameters!$B$9)*NORM.S.INV(RAND())</f>
        <v/>
      </c>
      <c r="V4" s="19">
        <f>SQRT(Parameters!$B$5)*Factors!V2+SQRT(Parameters!$B$6)*Factors!V7+SQRT(Parameters!$B$7)*Factors!V9+SQRT(Parameters!$B$9)*NORM.S.INV(RAND())</f>
        <v/>
      </c>
      <c r="W4" s="19">
        <f>SQRT(Parameters!$B$5)*Factors!W2+SQRT(Parameters!$B$6)*Factors!W7+SQRT(Parameters!$B$7)*Factors!W9+SQRT(Parameters!$B$9)*NORM.S.INV(RAND())</f>
        <v/>
      </c>
      <c r="X4" s="19">
        <f>SQRT(Parameters!$B$5)*Factors!X2+SQRT(Parameters!$B$6)*Factors!X7+SQRT(Parameters!$B$7)*Factors!X9+SQRT(Parameters!$B$9)*NORM.S.INV(RAND())</f>
        <v/>
      </c>
      <c r="Y4" s="19">
        <f>SQRT(Parameters!$B$5)*Factors!Y2+SQRT(Parameters!$B$6)*Factors!Y7+SQRT(Parameters!$B$7)*Factors!Y9+SQRT(Parameters!$B$9)*NORM.S.INV(RAND())</f>
        <v/>
      </c>
      <c r="Z4" s="19">
        <f>SQRT(Parameters!$B$5)*Factors!Z2+SQRT(Parameters!$B$6)*Factors!Z7+SQRT(Parameters!$B$7)*Factors!Z9+SQRT(Parameters!$B$9)*NORM.S.INV(RAND())</f>
        <v/>
      </c>
      <c r="AA4" s="19">
        <f>SQRT(Parameters!$B$5)*Factors!AA2+SQRT(Parameters!$B$6)*Factors!AA7+SQRT(Parameters!$B$7)*Factors!AA9+SQRT(Parameters!$B$9)*NORM.S.INV(RAND())</f>
        <v/>
      </c>
      <c r="AB4" s="19">
        <f>SQRT(Parameters!$B$5)*Factors!AB2+SQRT(Parameters!$B$6)*Factors!AB7+SQRT(Parameters!$B$7)*Factors!AB9+SQRT(Parameters!$B$9)*NORM.S.INV(RAND())</f>
        <v/>
      </c>
      <c r="AC4" s="19">
        <f>SQRT(Parameters!$B$5)*Factors!AC2+SQRT(Parameters!$B$6)*Factors!AC7+SQRT(Parameters!$B$7)*Factors!AC9+SQRT(Parameters!$B$9)*NORM.S.INV(RAND())</f>
        <v/>
      </c>
      <c r="AD4" s="19">
        <f>SQRT(Parameters!$B$5)*Factors!AD2+SQRT(Parameters!$B$6)*Factors!AD7+SQRT(Parameters!$B$7)*Factors!AD9+SQRT(Parameters!$B$9)*NORM.S.INV(RAND())</f>
        <v/>
      </c>
      <c r="AE4" s="19">
        <f>SQRT(Parameters!$B$5)*Factors!AE2+SQRT(Parameters!$B$6)*Factors!AE7+SQRT(Parameters!$B$7)*Factors!AE9+SQRT(Parameters!$B$9)*NORM.S.INV(RAND())</f>
        <v/>
      </c>
      <c r="AF4" s="19">
        <f>SQRT(Parameters!$B$5)*Factors!AF2+SQRT(Parameters!$B$6)*Factors!AF7+SQRT(Parameters!$B$7)*Factors!AF9+SQRT(Parameters!$B$9)*NORM.S.INV(RAND())</f>
        <v/>
      </c>
      <c r="AG4" s="19">
        <f>SQRT(Parameters!$B$5)*Factors!AG2+SQRT(Parameters!$B$6)*Factors!AG7+SQRT(Parameters!$B$7)*Factors!AG9+SQRT(Parameters!$B$9)*NORM.S.INV(RAND())</f>
        <v/>
      </c>
      <c r="AH4" s="19">
        <f>SQRT(Parameters!$B$5)*Factors!AH2+SQRT(Parameters!$B$6)*Factors!AH7+SQRT(Parameters!$B$7)*Factors!AH9+SQRT(Parameters!$B$9)*NORM.S.INV(RAND())</f>
        <v/>
      </c>
      <c r="AI4" s="19">
        <f>SQRT(Parameters!$B$5)*Factors!AI2+SQRT(Parameters!$B$6)*Factors!AI7+SQRT(Parameters!$B$7)*Factors!AI9+SQRT(Parameters!$B$9)*NORM.S.INV(RAND())</f>
        <v/>
      </c>
      <c r="AJ4" s="19">
        <f>SQRT(Parameters!$B$5)*Factors!AJ2+SQRT(Parameters!$B$6)*Factors!AJ7+SQRT(Parameters!$B$7)*Factors!AJ9+SQRT(Parameters!$B$9)*NORM.S.INV(RAND())</f>
        <v/>
      </c>
      <c r="AK4" s="19">
        <f>SQRT(Parameters!$B$5)*Factors!AK2+SQRT(Parameters!$B$6)*Factors!AK7+SQRT(Parameters!$B$7)*Factors!AK9+SQRT(Parameters!$B$9)*NORM.S.INV(RAND())</f>
        <v/>
      </c>
      <c r="AL4" s="19">
        <f>SQRT(Parameters!$B$5)*Factors!AL2+SQRT(Parameters!$B$6)*Factors!AL7+SQRT(Parameters!$B$7)*Factors!AL9+SQRT(Parameters!$B$9)*NORM.S.INV(RAND())</f>
        <v/>
      </c>
      <c r="AM4" s="19">
        <f>SQRT(Parameters!$B$5)*Factors!AM2+SQRT(Parameters!$B$6)*Factors!AM7+SQRT(Parameters!$B$7)*Factors!AM9+SQRT(Parameters!$B$9)*NORM.S.INV(RAND())</f>
        <v/>
      </c>
      <c r="AN4" s="19">
        <f>SQRT(Parameters!$B$5)*Factors!AN2+SQRT(Parameters!$B$6)*Factors!AN7+SQRT(Parameters!$B$7)*Factors!AN9+SQRT(Parameters!$B$9)*NORM.S.INV(RAND())</f>
        <v/>
      </c>
      <c r="AO4" s="19">
        <f>SQRT(Parameters!$B$5)*Factors!AO2+SQRT(Parameters!$B$6)*Factors!AO7+SQRT(Parameters!$B$7)*Factors!AO9+SQRT(Parameters!$B$9)*NORM.S.INV(RAND())</f>
        <v/>
      </c>
      <c r="AP4" s="19">
        <f>SQRT(Parameters!$B$5)*Factors!AP2+SQRT(Parameters!$B$6)*Factors!AP7+SQRT(Parameters!$B$7)*Factors!AP9+SQRT(Parameters!$B$9)*NORM.S.INV(RAND())</f>
        <v/>
      </c>
      <c r="AQ4" s="19">
        <f>SQRT(Parameters!$B$5)*Factors!AQ2+SQRT(Parameters!$B$6)*Factors!AQ7+SQRT(Parameters!$B$7)*Factors!AQ9+SQRT(Parameters!$B$9)*NORM.S.INV(RAND())</f>
        <v/>
      </c>
      <c r="AR4" s="19">
        <f>SQRT(Parameters!$B$5)*Factors!AR2+SQRT(Parameters!$B$6)*Factors!AR7+SQRT(Parameters!$B$7)*Factors!AR9+SQRT(Parameters!$B$9)*NORM.S.INV(RAND())</f>
        <v/>
      </c>
      <c r="AS4" s="19">
        <f>SQRT(Parameters!$B$5)*Factors!AS2+SQRT(Parameters!$B$6)*Factors!AS7+SQRT(Parameters!$B$7)*Factors!AS9+SQRT(Parameters!$B$9)*NORM.S.INV(RAND())</f>
        <v/>
      </c>
      <c r="AT4" s="19">
        <f>SQRT(Parameters!$B$5)*Factors!AT2+SQRT(Parameters!$B$6)*Factors!AT7+SQRT(Parameters!$B$7)*Factors!AT9+SQRT(Parameters!$B$9)*NORM.S.INV(RAND())</f>
        <v/>
      </c>
      <c r="AU4" s="19">
        <f>SQRT(Parameters!$B$5)*Factors!AU2+SQRT(Parameters!$B$6)*Factors!AU7+SQRT(Parameters!$B$7)*Factors!AU9+SQRT(Parameters!$B$9)*NORM.S.INV(RAND())</f>
        <v/>
      </c>
      <c r="AV4" s="19">
        <f>SQRT(Parameters!$B$5)*Factors!AV2+SQRT(Parameters!$B$6)*Factors!AV7+SQRT(Parameters!$B$7)*Factors!AV9+SQRT(Parameters!$B$9)*NORM.S.INV(RAND())</f>
        <v/>
      </c>
      <c r="AW4" s="19">
        <f>SQRT(Parameters!$B$5)*Factors!AW2+SQRT(Parameters!$B$6)*Factors!AW7+SQRT(Parameters!$B$7)*Factors!AW9+SQRT(Parameters!$B$9)*NORM.S.INV(RAND())</f>
        <v/>
      </c>
      <c r="AX4" s="19">
        <f>SQRT(Parameters!$B$5)*Factors!AX2+SQRT(Parameters!$B$6)*Factors!AX7+SQRT(Parameters!$B$7)*Factors!AX9+SQRT(Parameters!$B$9)*NORM.S.INV(RAND())</f>
        <v/>
      </c>
      <c r="AY4" s="19">
        <f>SQRT(Parameters!$B$5)*Factors!AY2+SQRT(Parameters!$B$6)*Factors!AY7+SQRT(Parameters!$B$7)*Factors!AY9+SQRT(Parameters!$B$9)*NORM.S.INV(RAND())</f>
        <v/>
      </c>
      <c r="AZ4" s="19">
        <f>SQRT(Parameters!$B$5)*Factors!AZ2+SQRT(Parameters!$B$6)*Factors!AZ7+SQRT(Parameters!$B$7)*Factors!AZ9+SQRT(Parameters!$B$9)*NORM.S.INV(RAND())</f>
        <v/>
      </c>
      <c r="BA4" s="19">
        <f>SQRT(Parameters!$B$5)*Factors!BA2+SQRT(Parameters!$B$6)*Factors!BA7+SQRT(Parameters!$B$7)*Factors!BA9+SQRT(Parameters!$B$9)*NORM.S.INV(RAND())</f>
        <v/>
      </c>
      <c r="BB4" s="19">
        <f>SQRT(Parameters!$B$5)*Factors!BB2+SQRT(Parameters!$B$6)*Factors!BB7+SQRT(Parameters!$B$7)*Factors!BB9+SQRT(Parameters!$B$9)*NORM.S.INV(RAND())</f>
        <v/>
      </c>
      <c r="BC4" s="19">
        <f>SQRT(Parameters!$B$5)*Factors!BC2+SQRT(Parameters!$B$6)*Factors!BC7+SQRT(Parameters!$B$7)*Factors!BC9+SQRT(Parameters!$B$9)*NORM.S.INV(RAND())</f>
        <v/>
      </c>
      <c r="BD4" s="19">
        <f>SQRT(Parameters!$B$5)*Factors!BD2+SQRT(Parameters!$B$6)*Factors!BD7+SQRT(Parameters!$B$7)*Factors!BD9+SQRT(Parameters!$B$9)*NORM.S.INV(RAND())</f>
        <v/>
      </c>
      <c r="BE4" s="19">
        <f>SQRT(Parameters!$B$5)*Factors!BE2+SQRT(Parameters!$B$6)*Factors!BE7+SQRT(Parameters!$B$7)*Factors!BE9+SQRT(Parameters!$B$9)*NORM.S.INV(RAND())</f>
        <v/>
      </c>
      <c r="BF4" s="19">
        <f>SQRT(Parameters!$B$5)*Factors!BF2+SQRT(Parameters!$B$6)*Factors!BF7+SQRT(Parameters!$B$7)*Factors!BF9+SQRT(Parameters!$B$9)*NORM.S.INV(RAND())</f>
        <v/>
      </c>
      <c r="BG4" s="19">
        <f>SQRT(Parameters!$B$5)*Factors!BG2+SQRT(Parameters!$B$6)*Factors!BG7+SQRT(Parameters!$B$7)*Factors!BG9+SQRT(Parameters!$B$9)*NORM.S.INV(RAND())</f>
        <v/>
      </c>
      <c r="BH4" s="19">
        <f>SQRT(Parameters!$B$5)*Factors!BH2+SQRT(Parameters!$B$6)*Factors!BH7+SQRT(Parameters!$B$7)*Factors!BH9+SQRT(Parameters!$B$9)*NORM.S.INV(RAND())</f>
        <v/>
      </c>
      <c r="BI4" s="19">
        <f>SQRT(Parameters!$B$5)*Factors!BI2+SQRT(Parameters!$B$6)*Factors!BI7+SQRT(Parameters!$B$7)*Factors!BI9+SQRT(Parameters!$B$9)*NORM.S.INV(RAND())</f>
        <v/>
      </c>
      <c r="BJ4" s="19">
        <f>SQRT(Parameters!$B$5)*Factors!BJ2+SQRT(Parameters!$B$6)*Factors!BJ7+SQRT(Parameters!$B$7)*Factors!BJ9+SQRT(Parameters!$B$9)*NORM.S.INV(RAND())</f>
        <v/>
      </c>
      <c r="BK4" s="19">
        <f>SQRT(Parameters!$B$5)*Factors!BK2+SQRT(Parameters!$B$6)*Factors!BK7+SQRT(Parameters!$B$7)*Factors!BK9+SQRT(Parameters!$B$9)*NORM.S.INV(RAND())</f>
        <v/>
      </c>
      <c r="BL4" s="19">
        <f>SQRT(Parameters!$B$5)*Factors!BL2+SQRT(Parameters!$B$6)*Factors!BL7+SQRT(Parameters!$B$7)*Factors!BL9+SQRT(Parameters!$B$9)*NORM.S.INV(RAND())</f>
        <v/>
      </c>
      <c r="BM4" s="19">
        <f>SQRT(Parameters!$B$5)*Factors!BM2+SQRT(Parameters!$B$6)*Factors!BM7+SQRT(Parameters!$B$7)*Factors!BM9+SQRT(Parameters!$B$9)*NORM.S.INV(RAND())</f>
        <v/>
      </c>
      <c r="BN4" s="19">
        <f>SQRT(Parameters!$B$5)*Factors!BN2+SQRT(Parameters!$B$6)*Factors!BN7+SQRT(Parameters!$B$7)*Factors!BN9+SQRT(Parameters!$B$9)*NORM.S.INV(RAND())</f>
        <v/>
      </c>
      <c r="BO4" s="19">
        <f>SQRT(Parameters!$B$5)*Factors!BO2+SQRT(Parameters!$B$6)*Factors!BO7+SQRT(Parameters!$B$7)*Factors!BO9+SQRT(Parameters!$B$9)*NORM.S.INV(RAND())</f>
        <v/>
      </c>
      <c r="BP4" s="19">
        <f>SQRT(Parameters!$B$5)*Factors!BP2+SQRT(Parameters!$B$6)*Factors!BP7+SQRT(Parameters!$B$7)*Factors!BP9+SQRT(Parameters!$B$9)*NORM.S.INV(RAND())</f>
        <v/>
      </c>
      <c r="BQ4" s="19">
        <f>SQRT(Parameters!$B$5)*Factors!BQ2+SQRT(Parameters!$B$6)*Factors!BQ7+SQRT(Parameters!$B$7)*Factors!BQ9+SQRT(Parameters!$B$9)*NORM.S.INV(RAND())</f>
        <v/>
      </c>
      <c r="BR4" s="19">
        <f>SQRT(Parameters!$B$5)*Factors!BR2+SQRT(Parameters!$B$6)*Factors!BR7+SQRT(Parameters!$B$7)*Factors!BR9+SQRT(Parameters!$B$9)*NORM.S.INV(RAND())</f>
        <v/>
      </c>
      <c r="BS4" s="19">
        <f>SQRT(Parameters!$B$5)*Factors!BS2+SQRT(Parameters!$B$6)*Factors!BS7+SQRT(Parameters!$B$7)*Factors!BS9+SQRT(Parameters!$B$9)*NORM.S.INV(RAND())</f>
        <v/>
      </c>
      <c r="BT4" s="19">
        <f>SQRT(Parameters!$B$5)*Factors!BT2+SQRT(Parameters!$B$6)*Factors!BT7+SQRT(Parameters!$B$7)*Factors!BT9+SQRT(Parameters!$B$9)*NORM.S.INV(RAND())</f>
        <v/>
      </c>
      <c r="BU4" s="19">
        <f>SQRT(Parameters!$B$5)*Factors!BU2+SQRT(Parameters!$B$6)*Factors!BU7+SQRT(Parameters!$B$7)*Factors!BU9+SQRT(Parameters!$B$9)*NORM.S.INV(RAND())</f>
        <v/>
      </c>
      <c r="BV4" s="19">
        <f>SQRT(Parameters!$B$5)*Factors!BV2+SQRT(Parameters!$B$6)*Factors!BV7+SQRT(Parameters!$B$7)*Factors!BV9+SQRT(Parameters!$B$9)*NORM.S.INV(RAND())</f>
        <v/>
      </c>
      <c r="BW4" s="19">
        <f>SQRT(Parameters!$B$5)*Factors!BW2+SQRT(Parameters!$B$6)*Factors!BW7+SQRT(Parameters!$B$7)*Factors!BW9+SQRT(Parameters!$B$9)*NORM.S.INV(RAND())</f>
        <v/>
      </c>
      <c r="BX4" s="19">
        <f>SQRT(Parameters!$B$5)*Factors!BX2+SQRT(Parameters!$B$6)*Factors!BX7+SQRT(Parameters!$B$7)*Factors!BX9+SQRT(Parameters!$B$9)*NORM.S.INV(RAND())</f>
        <v/>
      </c>
      <c r="BY4" s="19">
        <f>SQRT(Parameters!$B$5)*Factors!BY2+SQRT(Parameters!$B$6)*Factors!BY7+SQRT(Parameters!$B$7)*Factors!BY9+SQRT(Parameters!$B$9)*NORM.S.INV(RAND())</f>
        <v/>
      </c>
      <c r="BZ4" s="19">
        <f>SQRT(Parameters!$B$5)*Factors!BZ2+SQRT(Parameters!$B$6)*Factors!BZ7+SQRT(Parameters!$B$7)*Factors!BZ9+SQRT(Parameters!$B$9)*NORM.S.INV(RAND())</f>
        <v/>
      </c>
      <c r="CA4" s="19">
        <f>SQRT(Parameters!$B$5)*Factors!CA2+SQRT(Parameters!$B$6)*Factors!CA7+SQRT(Parameters!$B$7)*Factors!CA9+SQRT(Parameters!$B$9)*NORM.S.INV(RAND())</f>
        <v/>
      </c>
      <c r="CB4" s="19">
        <f>SQRT(Parameters!$B$5)*Factors!CB2+SQRT(Parameters!$B$6)*Factors!CB7+SQRT(Parameters!$B$7)*Factors!CB9+SQRT(Parameters!$B$9)*NORM.S.INV(RAND())</f>
        <v/>
      </c>
      <c r="CC4" s="19">
        <f>SQRT(Parameters!$B$5)*Factors!CC2+SQRT(Parameters!$B$6)*Factors!CC7+SQRT(Parameters!$B$7)*Factors!CC9+SQRT(Parameters!$B$9)*NORM.S.INV(RAND())</f>
        <v/>
      </c>
      <c r="CD4" s="19">
        <f>SQRT(Parameters!$B$5)*Factors!CD2+SQRT(Parameters!$B$6)*Factors!CD7+SQRT(Parameters!$B$7)*Factors!CD9+SQRT(Parameters!$B$9)*NORM.S.INV(RAND())</f>
        <v/>
      </c>
      <c r="CE4" s="19">
        <f>SQRT(Parameters!$B$5)*Factors!CE2+SQRT(Parameters!$B$6)*Factors!CE7+SQRT(Parameters!$B$7)*Factors!CE9+SQRT(Parameters!$B$9)*NORM.S.INV(RAND())</f>
        <v/>
      </c>
      <c r="CF4" s="19">
        <f>SQRT(Parameters!$B$5)*Factors!CF2+SQRT(Parameters!$B$6)*Factors!CF7+SQRT(Parameters!$B$7)*Factors!CF9+SQRT(Parameters!$B$9)*NORM.S.INV(RAND())</f>
        <v/>
      </c>
      <c r="CG4" s="19">
        <f>SQRT(Parameters!$B$5)*Factors!CG2+SQRT(Parameters!$B$6)*Factors!CG7+SQRT(Parameters!$B$7)*Factors!CG9+SQRT(Parameters!$B$9)*NORM.S.INV(RAND())</f>
        <v/>
      </c>
      <c r="CH4" s="19">
        <f>SQRT(Parameters!$B$5)*Factors!CH2+SQRT(Parameters!$B$6)*Factors!CH7+SQRT(Parameters!$B$7)*Factors!CH9+SQRT(Parameters!$B$9)*NORM.S.INV(RAND())</f>
        <v/>
      </c>
      <c r="CI4" s="19">
        <f>SQRT(Parameters!$B$5)*Factors!CI2+SQRT(Parameters!$B$6)*Factors!CI7+SQRT(Parameters!$B$7)*Factors!CI9+SQRT(Parameters!$B$9)*NORM.S.INV(RAND())</f>
        <v/>
      </c>
      <c r="CJ4" s="19">
        <f>SQRT(Parameters!$B$5)*Factors!CJ2+SQRT(Parameters!$B$6)*Factors!CJ7+SQRT(Parameters!$B$7)*Factors!CJ9+SQRT(Parameters!$B$9)*NORM.S.INV(RAND())</f>
        <v/>
      </c>
      <c r="CK4" s="19">
        <f>SQRT(Parameters!$B$5)*Factors!CK2+SQRT(Parameters!$B$6)*Factors!CK7+SQRT(Parameters!$B$7)*Factors!CK9+SQRT(Parameters!$B$9)*NORM.S.INV(RAND())</f>
        <v/>
      </c>
      <c r="CL4" s="19">
        <f>SQRT(Parameters!$B$5)*Factors!CL2+SQRT(Parameters!$B$6)*Factors!CL7+SQRT(Parameters!$B$7)*Factors!CL9+SQRT(Parameters!$B$9)*NORM.S.INV(RAND())</f>
        <v/>
      </c>
      <c r="CM4" s="19">
        <f>SQRT(Parameters!$B$5)*Factors!CM2+SQRT(Parameters!$B$6)*Factors!CM7+SQRT(Parameters!$B$7)*Factors!CM9+SQRT(Parameters!$B$9)*NORM.S.INV(RAND())</f>
        <v/>
      </c>
      <c r="CN4" s="19">
        <f>SQRT(Parameters!$B$5)*Factors!CN2+SQRT(Parameters!$B$6)*Factors!CN7+SQRT(Parameters!$B$7)*Factors!CN9+SQRT(Parameters!$B$9)*NORM.S.INV(RAND())</f>
        <v/>
      </c>
      <c r="CO4" s="19">
        <f>SQRT(Parameters!$B$5)*Factors!CO2+SQRT(Parameters!$B$6)*Factors!CO7+SQRT(Parameters!$B$7)*Factors!CO9+SQRT(Parameters!$B$9)*NORM.S.INV(RAND())</f>
        <v/>
      </c>
      <c r="CP4" s="19">
        <f>SQRT(Parameters!$B$5)*Factors!CP2+SQRT(Parameters!$B$6)*Factors!CP7+SQRT(Parameters!$B$7)*Factors!CP9+SQRT(Parameters!$B$9)*NORM.S.INV(RAND())</f>
        <v/>
      </c>
      <c r="CQ4" s="19">
        <f>SQRT(Parameters!$B$5)*Factors!CQ2+SQRT(Parameters!$B$6)*Factors!CQ7+SQRT(Parameters!$B$7)*Factors!CQ9+SQRT(Parameters!$B$9)*NORM.S.INV(RAND())</f>
        <v/>
      </c>
      <c r="CR4" s="19">
        <f>SQRT(Parameters!$B$5)*Factors!CR2+SQRT(Parameters!$B$6)*Factors!CR7+SQRT(Parameters!$B$7)*Factors!CR9+SQRT(Parameters!$B$9)*NORM.S.INV(RAND())</f>
        <v/>
      </c>
      <c r="CS4" s="19">
        <f>SQRT(Parameters!$B$5)*Factors!CS2+SQRT(Parameters!$B$6)*Factors!CS7+SQRT(Parameters!$B$7)*Factors!CS9+SQRT(Parameters!$B$9)*NORM.S.INV(RAND())</f>
        <v/>
      </c>
      <c r="CT4" s="19">
        <f>SQRT(Parameters!$B$5)*Factors!CT2+SQRT(Parameters!$B$6)*Factors!CT7+SQRT(Parameters!$B$7)*Factors!CT9+SQRT(Parameters!$B$9)*NORM.S.INV(RAND())</f>
        <v/>
      </c>
      <c r="CU4" s="19">
        <f>SQRT(Parameters!$B$5)*Factors!CU2+SQRT(Parameters!$B$6)*Factors!CU7+SQRT(Parameters!$B$7)*Factors!CU9+SQRT(Parameters!$B$9)*NORM.S.INV(RAND())</f>
        <v/>
      </c>
      <c r="CV4" s="19">
        <f>SQRT(Parameters!$B$5)*Factors!CV2+SQRT(Parameters!$B$6)*Factors!CV7+SQRT(Parameters!$B$7)*Factors!CV9+SQRT(Parameters!$B$9)*NORM.S.INV(RAND())</f>
        <v/>
      </c>
      <c r="CW4" s="19">
        <f>SQRT(Parameters!$B$5)*Factors!CW2+SQRT(Parameters!$B$6)*Factors!CW7+SQRT(Parameters!$B$7)*Factors!CW9+SQRT(Parameters!$B$9)*NORM.S.INV(RAND())</f>
        <v/>
      </c>
      <c r="CX4" s="19">
        <f>SQRT(Parameters!$B$5)*Factors!CX2+SQRT(Parameters!$B$6)*Factors!CX7+SQRT(Parameters!$B$7)*Factors!CX9+SQRT(Parameters!$B$9)*NORM.S.INV(RAND())</f>
        <v/>
      </c>
      <c r="CY4" s="19">
        <f>SQRT(Parameters!$B$5)*Factors!CY2+SQRT(Parameters!$B$6)*Factors!CY7+SQRT(Parameters!$B$7)*Factors!CY9+SQRT(Parameters!$B$9)*NORM.S.INV(RAND())</f>
        <v/>
      </c>
      <c r="CZ4" s="19">
        <f>SQRT(Parameters!$B$5)*Factors!CZ2+SQRT(Parameters!$B$6)*Factors!CZ7+SQRT(Parameters!$B$7)*Factors!CZ9+SQRT(Parameters!$B$9)*NORM.S.INV(RAND())</f>
        <v/>
      </c>
      <c r="DA4" s="19">
        <f>SQRT(Parameters!$B$5)*Factors!DA2+SQRT(Parameters!$B$6)*Factors!DA7+SQRT(Parameters!$B$7)*Factors!DA9+SQRT(Parameters!$B$9)*NORM.S.INV(RAND())</f>
        <v/>
      </c>
      <c r="DB4" s="19">
        <f>SQRT(Parameters!$B$5)*Factors!DB2+SQRT(Parameters!$B$6)*Factors!DB7+SQRT(Parameters!$B$7)*Factors!DB9+SQRT(Parameters!$B$9)*NORM.S.INV(RAND())</f>
        <v/>
      </c>
      <c r="DC4" s="19">
        <f>SQRT(Parameters!$B$5)*Factors!DC2+SQRT(Parameters!$B$6)*Factors!DC7+SQRT(Parameters!$B$7)*Factors!DC9+SQRT(Parameters!$B$9)*NORM.S.INV(RAND())</f>
        <v/>
      </c>
      <c r="DD4" s="19">
        <f>SQRT(Parameters!$B$5)*Factors!DD2+SQRT(Parameters!$B$6)*Factors!DD7+SQRT(Parameters!$B$7)*Factors!DD9+SQRT(Parameters!$B$9)*NORM.S.INV(RAND())</f>
        <v/>
      </c>
      <c r="DE4" s="19">
        <f>SQRT(Parameters!$B$5)*Factors!DE2+SQRT(Parameters!$B$6)*Factors!DE7+SQRT(Parameters!$B$7)*Factors!DE9+SQRT(Parameters!$B$9)*NORM.S.INV(RAND())</f>
        <v/>
      </c>
      <c r="DF4" s="19">
        <f>SQRT(Parameters!$B$5)*Factors!DF2+SQRT(Parameters!$B$6)*Factors!DF7+SQRT(Parameters!$B$7)*Factors!DF9+SQRT(Parameters!$B$9)*NORM.S.INV(RAND())</f>
        <v/>
      </c>
      <c r="DG4" s="19">
        <f>SQRT(Parameters!$B$5)*Factors!DG2+SQRT(Parameters!$B$6)*Factors!DG7+SQRT(Parameters!$B$7)*Factors!DG9+SQRT(Parameters!$B$9)*NORM.S.INV(RAND())</f>
        <v/>
      </c>
      <c r="DH4" s="19">
        <f>SQRT(Parameters!$B$5)*Factors!DH2+SQRT(Parameters!$B$6)*Factors!DH7+SQRT(Parameters!$B$7)*Factors!DH9+SQRT(Parameters!$B$9)*NORM.S.INV(RAND())</f>
        <v/>
      </c>
      <c r="DI4" s="19">
        <f>SQRT(Parameters!$B$5)*Factors!DI2+SQRT(Parameters!$B$6)*Factors!DI7+SQRT(Parameters!$B$7)*Factors!DI9+SQRT(Parameters!$B$9)*NORM.S.INV(RAND())</f>
        <v/>
      </c>
      <c r="DJ4" s="19">
        <f>SQRT(Parameters!$B$5)*Factors!DJ2+SQRT(Parameters!$B$6)*Factors!DJ7+SQRT(Parameters!$B$7)*Factors!DJ9+SQRT(Parameters!$B$9)*NORM.S.INV(RAND())</f>
        <v/>
      </c>
      <c r="DK4" s="19">
        <f>SQRT(Parameters!$B$5)*Factors!DK2+SQRT(Parameters!$B$6)*Factors!DK7+SQRT(Parameters!$B$7)*Factors!DK9+SQRT(Parameters!$B$9)*NORM.S.INV(RAND())</f>
        <v/>
      </c>
      <c r="DL4" s="19">
        <f>SQRT(Parameters!$B$5)*Factors!DL2+SQRT(Parameters!$B$6)*Factors!DL7+SQRT(Parameters!$B$7)*Factors!DL9+SQRT(Parameters!$B$9)*NORM.S.INV(RAND())</f>
        <v/>
      </c>
      <c r="DM4" s="19">
        <f>SQRT(Parameters!$B$5)*Factors!DM2+SQRT(Parameters!$B$6)*Factors!DM7+SQRT(Parameters!$B$7)*Factors!DM9+SQRT(Parameters!$B$9)*NORM.S.INV(RAND())</f>
        <v/>
      </c>
      <c r="DN4" s="19">
        <f>SQRT(Parameters!$B$5)*Factors!DN2+SQRT(Parameters!$B$6)*Factors!DN7+SQRT(Parameters!$B$7)*Factors!DN9+SQRT(Parameters!$B$9)*NORM.S.INV(RAND())</f>
        <v/>
      </c>
      <c r="DO4" s="19">
        <f>SQRT(Parameters!$B$5)*Factors!DO2+SQRT(Parameters!$B$6)*Factors!DO7+SQRT(Parameters!$B$7)*Factors!DO9+SQRT(Parameters!$B$9)*NORM.S.INV(RAND())</f>
        <v/>
      </c>
      <c r="DP4" s="19">
        <f>SQRT(Parameters!$B$5)*Factors!DP2+SQRT(Parameters!$B$6)*Factors!DP7+SQRT(Parameters!$B$7)*Factors!DP9+SQRT(Parameters!$B$9)*NORM.S.INV(RAND())</f>
        <v/>
      </c>
      <c r="DQ4" s="19">
        <f>SQRT(Parameters!$B$5)*Factors!DQ2+SQRT(Parameters!$B$6)*Factors!DQ7+SQRT(Parameters!$B$7)*Factors!DQ9+SQRT(Parameters!$B$9)*NORM.S.INV(RAND())</f>
        <v/>
      </c>
      <c r="DR4" s="19">
        <f>SQRT(Parameters!$B$5)*Factors!DR2+SQRT(Parameters!$B$6)*Factors!DR7+SQRT(Parameters!$B$7)*Factors!DR9+SQRT(Parameters!$B$9)*NORM.S.INV(RAND())</f>
        <v/>
      </c>
      <c r="DS4" s="19">
        <f>SQRT(Parameters!$B$5)*Factors!DS2+SQRT(Parameters!$B$6)*Factors!DS7+SQRT(Parameters!$B$7)*Factors!DS9+SQRT(Parameters!$B$9)*NORM.S.INV(RAND())</f>
        <v/>
      </c>
      <c r="DT4" s="19">
        <f>SQRT(Parameters!$B$5)*Factors!DT2+SQRT(Parameters!$B$6)*Factors!DT7+SQRT(Parameters!$B$7)*Factors!DT9+SQRT(Parameters!$B$9)*NORM.S.INV(RAND())</f>
        <v/>
      </c>
      <c r="DU4" s="19">
        <f>SQRT(Parameters!$B$5)*Factors!DU2+SQRT(Parameters!$B$6)*Factors!DU7+SQRT(Parameters!$B$7)*Factors!DU9+SQRT(Parameters!$B$9)*NORM.S.INV(RAND())</f>
        <v/>
      </c>
      <c r="DV4" s="19">
        <f>SQRT(Parameters!$B$5)*Factors!DV2+SQRT(Parameters!$B$6)*Factors!DV7+SQRT(Parameters!$B$7)*Factors!DV9+SQRT(Parameters!$B$9)*NORM.S.INV(RAND())</f>
        <v/>
      </c>
      <c r="DW4" s="19">
        <f>SQRT(Parameters!$B$5)*Factors!DW2+SQRT(Parameters!$B$6)*Factors!DW7+SQRT(Parameters!$B$7)*Factors!DW9+SQRT(Parameters!$B$9)*NORM.S.INV(RAND())</f>
        <v/>
      </c>
      <c r="DX4" s="19">
        <f>SQRT(Parameters!$B$5)*Factors!DX2+SQRT(Parameters!$B$6)*Factors!DX7+SQRT(Parameters!$B$7)*Factors!DX9+SQRT(Parameters!$B$9)*NORM.S.INV(RAND())</f>
        <v/>
      </c>
      <c r="DY4" s="19">
        <f>SQRT(Parameters!$B$5)*Factors!DY2+SQRT(Parameters!$B$6)*Factors!DY7+SQRT(Parameters!$B$7)*Factors!DY9+SQRT(Parameters!$B$9)*NORM.S.INV(RAND())</f>
        <v/>
      </c>
      <c r="DZ4" s="19">
        <f>SQRT(Parameters!$B$5)*Factors!DZ2+SQRT(Parameters!$B$6)*Factors!DZ7+SQRT(Parameters!$B$7)*Factors!DZ9+SQRT(Parameters!$B$9)*NORM.S.INV(RAND())</f>
        <v/>
      </c>
      <c r="EA4" s="19">
        <f>SQRT(Parameters!$B$5)*Factors!EA2+SQRT(Parameters!$B$6)*Factors!EA7+SQRT(Parameters!$B$7)*Factors!EA9+SQRT(Parameters!$B$9)*NORM.S.INV(RAND())</f>
        <v/>
      </c>
      <c r="EB4" s="19">
        <f>SQRT(Parameters!$B$5)*Factors!EB2+SQRT(Parameters!$B$6)*Factors!EB7+SQRT(Parameters!$B$7)*Factors!EB9+SQRT(Parameters!$B$9)*NORM.S.INV(RAND())</f>
        <v/>
      </c>
      <c r="EC4" s="19">
        <f>SQRT(Parameters!$B$5)*Factors!EC2+SQRT(Parameters!$B$6)*Factors!EC7+SQRT(Parameters!$B$7)*Factors!EC9+SQRT(Parameters!$B$9)*NORM.S.INV(RAND())</f>
        <v/>
      </c>
      <c r="ED4" s="19">
        <f>SQRT(Parameters!$B$5)*Factors!ED2+SQRT(Parameters!$B$6)*Factors!ED7+SQRT(Parameters!$B$7)*Factors!ED9+SQRT(Parameters!$B$9)*NORM.S.INV(RAND())</f>
        <v/>
      </c>
      <c r="EE4" s="19">
        <f>SQRT(Parameters!$B$5)*Factors!EE2+SQRT(Parameters!$B$6)*Factors!EE7+SQRT(Parameters!$B$7)*Factors!EE9+SQRT(Parameters!$B$9)*NORM.S.INV(RAND())</f>
        <v/>
      </c>
      <c r="EF4" s="19">
        <f>SQRT(Parameters!$B$5)*Factors!EF2+SQRT(Parameters!$B$6)*Factors!EF7+SQRT(Parameters!$B$7)*Factors!EF9+SQRT(Parameters!$B$9)*NORM.S.INV(RAND())</f>
        <v/>
      </c>
      <c r="EG4" s="19">
        <f>SQRT(Parameters!$B$5)*Factors!EG2+SQRT(Parameters!$B$6)*Factors!EG7+SQRT(Parameters!$B$7)*Factors!EG9+SQRT(Parameters!$B$9)*NORM.S.INV(RAND())</f>
        <v/>
      </c>
      <c r="EH4" s="19">
        <f>SQRT(Parameters!$B$5)*Factors!EH2+SQRT(Parameters!$B$6)*Factors!EH7+SQRT(Parameters!$B$7)*Factors!EH9+SQRT(Parameters!$B$9)*NORM.S.INV(RAND())</f>
        <v/>
      </c>
      <c r="EI4" s="19">
        <f>SQRT(Parameters!$B$5)*Factors!EI2+SQRT(Parameters!$B$6)*Factors!EI7+SQRT(Parameters!$B$7)*Factors!EI9+SQRT(Parameters!$B$9)*NORM.S.INV(RAND())</f>
        <v/>
      </c>
      <c r="EJ4" s="19">
        <f>SQRT(Parameters!$B$5)*Factors!EJ2+SQRT(Parameters!$B$6)*Factors!EJ7+SQRT(Parameters!$B$7)*Factors!EJ9+SQRT(Parameters!$B$9)*NORM.S.INV(RAND())</f>
        <v/>
      </c>
      <c r="EK4" s="19">
        <f>SQRT(Parameters!$B$5)*Factors!EK2+SQRT(Parameters!$B$6)*Factors!EK7+SQRT(Parameters!$B$7)*Factors!EK9+SQRT(Parameters!$B$9)*NORM.S.INV(RAND())</f>
        <v/>
      </c>
      <c r="EL4" s="19">
        <f>SQRT(Parameters!$B$5)*Factors!EL2+SQRT(Parameters!$B$6)*Factors!EL7+SQRT(Parameters!$B$7)*Factors!EL9+SQRT(Parameters!$B$9)*NORM.S.INV(RAND())</f>
        <v/>
      </c>
      <c r="EM4" s="19">
        <f>SQRT(Parameters!$B$5)*Factors!EM2+SQRT(Parameters!$B$6)*Factors!EM7+SQRT(Parameters!$B$7)*Factors!EM9+SQRT(Parameters!$B$9)*NORM.S.INV(RAND())</f>
        <v/>
      </c>
      <c r="EN4" s="19">
        <f>SQRT(Parameters!$B$5)*Factors!EN2+SQRT(Parameters!$B$6)*Factors!EN7+SQRT(Parameters!$B$7)*Factors!EN9+SQRT(Parameters!$B$9)*NORM.S.INV(RAND())</f>
        <v/>
      </c>
      <c r="EO4" s="19">
        <f>SQRT(Parameters!$B$5)*Factors!EO2+SQRT(Parameters!$B$6)*Factors!EO7+SQRT(Parameters!$B$7)*Factors!EO9+SQRT(Parameters!$B$9)*NORM.S.INV(RAND())</f>
        <v/>
      </c>
      <c r="EP4" s="19">
        <f>SQRT(Parameters!$B$5)*Factors!EP2+SQRT(Parameters!$B$6)*Factors!EP7+SQRT(Parameters!$B$7)*Factors!EP9+SQRT(Parameters!$B$9)*NORM.S.INV(RAND())</f>
        <v/>
      </c>
      <c r="EQ4" s="19">
        <f>SQRT(Parameters!$B$5)*Factors!EQ2+SQRT(Parameters!$B$6)*Factors!EQ7+SQRT(Parameters!$B$7)*Factors!EQ9+SQRT(Parameters!$B$9)*NORM.S.INV(RAND())</f>
        <v/>
      </c>
      <c r="ER4" s="19">
        <f>SQRT(Parameters!$B$5)*Factors!ER2+SQRT(Parameters!$B$6)*Factors!ER7+SQRT(Parameters!$B$7)*Factors!ER9+SQRT(Parameters!$B$9)*NORM.S.INV(RAND())</f>
        <v/>
      </c>
      <c r="ES4" s="19">
        <f>SQRT(Parameters!$B$5)*Factors!ES2+SQRT(Parameters!$B$6)*Factors!ES7+SQRT(Parameters!$B$7)*Factors!ES9+SQRT(Parameters!$B$9)*NORM.S.INV(RAND())</f>
        <v/>
      </c>
      <c r="ET4" s="19">
        <f>SQRT(Parameters!$B$5)*Factors!ET2+SQRT(Parameters!$B$6)*Factors!ET7+SQRT(Parameters!$B$7)*Factors!ET9+SQRT(Parameters!$B$9)*NORM.S.INV(RAND())</f>
        <v/>
      </c>
      <c r="EU4" s="19">
        <f>SQRT(Parameters!$B$5)*Factors!EU2+SQRT(Parameters!$B$6)*Factors!EU7+SQRT(Parameters!$B$7)*Factors!EU9+SQRT(Parameters!$B$9)*NORM.S.INV(RAND())</f>
        <v/>
      </c>
      <c r="EV4" s="19">
        <f>SQRT(Parameters!$B$5)*Factors!EV2+SQRT(Parameters!$B$6)*Factors!EV7+SQRT(Parameters!$B$7)*Factors!EV9+SQRT(Parameters!$B$9)*NORM.S.INV(RAND())</f>
        <v/>
      </c>
      <c r="EW4" s="19">
        <f>SQRT(Parameters!$B$5)*Factors!EW2+SQRT(Parameters!$B$6)*Factors!EW7+SQRT(Parameters!$B$7)*Factors!EW9+SQRT(Parameters!$B$9)*NORM.S.INV(RAND())</f>
        <v/>
      </c>
      <c r="EX4" s="19">
        <f>SQRT(Parameters!$B$5)*Factors!EX2+SQRT(Parameters!$B$6)*Factors!EX7+SQRT(Parameters!$B$7)*Factors!EX9+SQRT(Parameters!$B$9)*NORM.S.INV(RAND())</f>
        <v/>
      </c>
      <c r="EY4" s="19">
        <f>SQRT(Parameters!$B$5)*Factors!EY2+SQRT(Parameters!$B$6)*Factors!EY7+SQRT(Parameters!$B$7)*Factors!EY9+SQRT(Parameters!$B$9)*NORM.S.INV(RAND())</f>
        <v/>
      </c>
      <c r="EZ4" s="19">
        <f>SQRT(Parameters!$B$5)*Factors!EZ2+SQRT(Parameters!$B$6)*Factors!EZ7+SQRT(Parameters!$B$7)*Factors!EZ9+SQRT(Parameters!$B$9)*NORM.S.INV(RAND())</f>
        <v/>
      </c>
      <c r="FA4" s="19">
        <f>SQRT(Parameters!$B$5)*Factors!FA2+SQRT(Parameters!$B$6)*Factors!FA7+SQRT(Parameters!$B$7)*Factors!FA9+SQRT(Parameters!$B$9)*NORM.S.INV(RAND())</f>
        <v/>
      </c>
      <c r="FB4" s="19">
        <f>SQRT(Parameters!$B$5)*Factors!FB2+SQRT(Parameters!$B$6)*Factors!FB7+SQRT(Parameters!$B$7)*Factors!FB9+SQRT(Parameters!$B$9)*NORM.S.INV(RAND())</f>
        <v/>
      </c>
      <c r="FC4" s="19">
        <f>SQRT(Parameters!$B$5)*Factors!FC2+SQRT(Parameters!$B$6)*Factors!FC7+SQRT(Parameters!$B$7)*Factors!FC9+SQRT(Parameters!$B$9)*NORM.S.INV(RAND())</f>
        <v/>
      </c>
      <c r="FD4" s="19">
        <f>SQRT(Parameters!$B$5)*Factors!FD2+SQRT(Parameters!$B$6)*Factors!FD7+SQRT(Parameters!$B$7)*Factors!FD9+SQRT(Parameters!$B$9)*NORM.S.INV(RAND())</f>
        <v/>
      </c>
      <c r="FE4" s="19">
        <f>SQRT(Parameters!$B$5)*Factors!FE2+SQRT(Parameters!$B$6)*Factors!FE7+SQRT(Parameters!$B$7)*Factors!FE9+SQRT(Parameters!$B$9)*NORM.S.INV(RAND())</f>
        <v/>
      </c>
      <c r="FF4" s="19">
        <f>SQRT(Parameters!$B$5)*Factors!FF2+SQRT(Parameters!$B$6)*Factors!FF7+SQRT(Parameters!$B$7)*Factors!FF9+SQRT(Parameters!$B$9)*NORM.S.INV(RAND())</f>
        <v/>
      </c>
      <c r="FG4" s="19">
        <f>SQRT(Parameters!$B$5)*Factors!FG2+SQRT(Parameters!$B$6)*Factors!FG7+SQRT(Parameters!$B$7)*Factors!FG9+SQRT(Parameters!$B$9)*NORM.S.INV(RAND())</f>
        <v/>
      </c>
      <c r="FH4" s="19">
        <f>SQRT(Parameters!$B$5)*Factors!FH2+SQRT(Parameters!$B$6)*Factors!FH7+SQRT(Parameters!$B$7)*Factors!FH9+SQRT(Parameters!$B$9)*NORM.S.INV(RAND())</f>
        <v/>
      </c>
      <c r="FI4" s="19">
        <f>SQRT(Parameters!$B$5)*Factors!FI2+SQRT(Parameters!$B$6)*Factors!FI7+SQRT(Parameters!$B$7)*Factors!FI9+SQRT(Parameters!$B$9)*NORM.S.INV(RAND())</f>
        <v/>
      </c>
      <c r="FJ4" s="19">
        <f>SQRT(Parameters!$B$5)*Factors!FJ2+SQRT(Parameters!$B$6)*Factors!FJ7+SQRT(Parameters!$B$7)*Factors!FJ9+SQRT(Parameters!$B$9)*NORM.S.INV(RAND())</f>
        <v/>
      </c>
      <c r="FK4" s="19">
        <f>SQRT(Parameters!$B$5)*Factors!FK2+SQRT(Parameters!$B$6)*Factors!FK7+SQRT(Parameters!$B$7)*Factors!FK9+SQRT(Parameters!$B$9)*NORM.S.INV(RAND())</f>
        <v/>
      </c>
      <c r="FL4" s="19">
        <f>SQRT(Parameters!$B$5)*Factors!FL2+SQRT(Parameters!$B$6)*Factors!FL7+SQRT(Parameters!$B$7)*Factors!FL9+SQRT(Parameters!$B$9)*NORM.S.INV(RAND())</f>
        <v/>
      </c>
      <c r="FM4" s="19">
        <f>SQRT(Parameters!$B$5)*Factors!FM2+SQRT(Parameters!$B$6)*Factors!FM7+SQRT(Parameters!$B$7)*Factors!FM9+SQRT(Parameters!$B$9)*NORM.S.INV(RAND())</f>
        <v/>
      </c>
      <c r="FN4" s="19">
        <f>SQRT(Parameters!$B$5)*Factors!FN2+SQRT(Parameters!$B$6)*Factors!FN7+SQRT(Parameters!$B$7)*Factors!FN9+SQRT(Parameters!$B$9)*NORM.S.INV(RAND())</f>
        <v/>
      </c>
      <c r="FO4" s="19">
        <f>SQRT(Parameters!$B$5)*Factors!FO2+SQRT(Parameters!$B$6)*Factors!FO7+SQRT(Parameters!$B$7)*Factors!FO9+SQRT(Parameters!$B$9)*NORM.S.INV(RAND())</f>
        <v/>
      </c>
      <c r="FP4" s="19">
        <f>SQRT(Parameters!$B$5)*Factors!FP2+SQRT(Parameters!$B$6)*Factors!FP7+SQRT(Parameters!$B$7)*Factors!FP9+SQRT(Parameters!$B$9)*NORM.S.INV(RAND())</f>
        <v/>
      </c>
      <c r="FQ4" s="19">
        <f>SQRT(Parameters!$B$5)*Factors!FQ2+SQRT(Parameters!$B$6)*Factors!FQ7+SQRT(Parameters!$B$7)*Factors!FQ9+SQRT(Parameters!$B$9)*NORM.S.INV(RAND())</f>
        <v/>
      </c>
      <c r="FR4" s="19">
        <f>SQRT(Parameters!$B$5)*Factors!FR2+SQRT(Parameters!$B$6)*Factors!FR7+SQRT(Parameters!$B$7)*Factors!FR9+SQRT(Parameters!$B$9)*NORM.S.INV(RAND())</f>
        <v/>
      </c>
      <c r="FS4" s="19">
        <f>SQRT(Parameters!$B$5)*Factors!FS2+SQRT(Parameters!$B$6)*Factors!FS7+SQRT(Parameters!$B$7)*Factors!FS9+SQRT(Parameters!$B$9)*NORM.S.INV(RAND())</f>
        <v/>
      </c>
      <c r="FT4" s="19">
        <f>SQRT(Parameters!$B$5)*Factors!FT2+SQRT(Parameters!$B$6)*Factors!FT7+SQRT(Parameters!$B$7)*Factors!FT9+SQRT(Parameters!$B$9)*NORM.S.INV(RAND())</f>
        <v/>
      </c>
      <c r="FU4" s="19">
        <f>SQRT(Parameters!$B$5)*Factors!FU2+SQRT(Parameters!$B$6)*Factors!FU7+SQRT(Parameters!$B$7)*Factors!FU9+SQRT(Parameters!$B$9)*NORM.S.INV(RAND())</f>
        <v/>
      </c>
      <c r="FV4" s="19">
        <f>SQRT(Parameters!$B$5)*Factors!FV2+SQRT(Parameters!$B$6)*Factors!FV7+SQRT(Parameters!$B$7)*Factors!FV9+SQRT(Parameters!$B$9)*NORM.S.INV(RAND())</f>
        <v/>
      </c>
      <c r="FW4" s="19">
        <f>SQRT(Parameters!$B$5)*Factors!FW2+SQRT(Parameters!$B$6)*Factors!FW7+SQRT(Parameters!$B$7)*Factors!FW9+SQRT(Parameters!$B$9)*NORM.S.INV(RAND())</f>
        <v/>
      </c>
      <c r="FX4" s="19">
        <f>SQRT(Parameters!$B$5)*Factors!FX2+SQRT(Parameters!$B$6)*Factors!FX7+SQRT(Parameters!$B$7)*Factors!FX9+SQRT(Parameters!$B$9)*NORM.S.INV(RAND())</f>
        <v/>
      </c>
      <c r="FY4" s="19">
        <f>SQRT(Parameters!$B$5)*Factors!FY2+SQRT(Parameters!$B$6)*Factors!FY7+SQRT(Parameters!$B$7)*Factors!FY9+SQRT(Parameters!$B$9)*NORM.S.INV(RAND())</f>
        <v/>
      </c>
      <c r="FZ4" s="19">
        <f>SQRT(Parameters!$B$5)*Factors!FZ2+SQRT(Parameters!$B$6)*Factors!FZ7+SQRT(Parameters!$B$7)*Factors!FZ9+SQRT(Parameters!$B$9)*NORM.S.INV(RAND())</f>
        <v/>
      </c>
      <c r="GA4" s="19">
        <f>SQRT(Parameters!$B$5)*Factors!GA2+SQRT(Parameters!$B$6)*Factors!GA7+SQRT(Parameters!$B$7)*Factors!GA9+SQRT(Parameters!$B$9)*NORM.S.INV(RAND())</f>
        <v/>
      </c>
      <c r="GB4" s="19">
        <f>SQRT(Parameters!$B$5)*Factors!GB2+SQRT(Parameters!$B$6)*Factors!GB7+SQRT(Parameters!$B$7)*Factors!GB9+SQRT(Parameters!$B$9)*NORM.S.INV(RAND())</f>
        <v/>
      </c>
      <c r="GC4" s="19">
        <f>SQRT(Parameters!$B$5)*Factors!GC2+SQRT(Parameters!$B$6)*Factors!GC7+SQRT(Parameters!$B$7)*Factors!GC9+SQRT(Parameters!$B$9)*NORM.S.INV(RAND())</f>
        <v/>
      </c>
      <c r="GD4" s="19">
        <f>SQRT(Parameters!$B$5)*Factors!GD2+SQRT(Parameters!$B$6)*Factors!GD7+SQRT(Parameters!$B$7)*Factors!GD9+SQRT(Parameters!$B$9)*NORM.S.INV(RAND())</f>
        <v/>
      </c>
      <c r="GE4" s="19">
        <f>SQRT(Parameters!$B$5)*Factors!GE2+SQRT(Parameters!$B$6)*Factors!GE7+SQRT(Parameters!$B$7)*Factors!GE9+SQRT(Parameters!$B$9)*NORM.S.INV(RAND())</f>
        <v/>
      </c>
      <c r="GF4" s="19">
        <f>SQRT(Parameters!$B$5)*Factors!GF2+SQRT(Parameters!$B$6)*Factors!GF7+SQRT(Parameters!$B$7)*Factors!GF9+SQRT(Parameters!$B$9)*NORM.S.INV(RAND())</f>
        <v/>
      </c>
      <c r="GG4" s="19">
        <f>SQRT(Parameters!$B$5)*Factors!GG2+SQRT(Parameters!$B$6)*Factors!GG7+SQRT(Parameters!$B$7)*Factors!GG9+SQRT(Parameters!$B$9)*NORM.S.INV(RAND())</f>
        <v/>
      </c>
      <c r="GH4" s="19">
        <f>SQRT(Parameters!$B$5)*Factors!GH2+SQRT(Parameters!$B$6)*Factors!GH7+SQRT(Parameters!$B$7)*Factors!GH9+SQRT(Parameters!$B$9)*NORM.S.INV(RAND())</f>
        <v/>
      </c>
      <c r="GI4" s="19">
        <f>SQRT(Parameters!$B$5)*Factors!GI2+SQRT(Parameters!$B$6)*Factors!GI7+SQRT(Parameters!$B$7)*Factors!GI9+SQRT(Parameters!$B$9)*NORM.S.INV(RAND())</f>
        <v/>
      </c>
      <c r="GJ4" s="19">
        <f>SQRT(Parameters!$B$5)*Factors!GJ2+SQRT(Parameters!$B$6)*Factors!GJ7+SQRT(Parameters!$B$7)*Factors!GJ9+SQRT(Parameters!$B$9)*NORM.S.INV(RAND())</f>
        <v/>
      </c>
      <c r="GK4" s="19">
        <f>SQRT(Parameters!$B$5)*Factors!GK2+SQRT(Parameters!$B$6)*Factors!GK7+SQRT(Parameters!$B$7)*Factors!GK9+SQRT(Parameters!$B$9)*NORM.S.INV(RAND())</f>
        <v/>
      </c>
      <c r="GL4" s="19">
        <f>SQRT(Parameters!$B$5)*Factors!GL2+SQRT(Parameters!$B$6)*Factors!GL7+SQRT(Parameters!$B$7)*Factors!GL9+SQRT(Parameters!$B$9)*NORM.S.INV(RAND())</f>
        <v/>
      </c>
      <c r="GM4" s="19">
        <f>SQRT(Parameters!$B$5)*Factors!GM2+SQRT(Parameters!$B$6)*Factors!GM7+SQRT(Parameters!$B$7)*Factors!GM9+SQRT(Parameters!$B$9)*NORM.S.INV(RAND())</f>
        <v/>
      </c>
      <c r="GN4" s="19">
        <f>SQRT(Parameters!$B$5)*Factors!GN2+SQRT(Parameters!$B$6)*Factors!GN7+SQRT(Parameters!$B$7)*Factors!GN9+SQRT(Parameters!$B$9)*NORM.S.INV(RAND())</f>
        <v/>
      </c>
      <c r="GO4" s="19">
        <f>SQRT(Parameters!$B$5)*Factors!GO2+SQRT(Parameters!$B$6)*Factors!GO7+SQRT(Parameters!$B$7)*Factors!GO9+SQRT(Parameters!$B$9)*NORM.S.INV(RAND())</f>
        <v/>
      </c>
      <c r="GP4" s="19">
        <f>SQRT(Parameters!$B$5)*Factors!GP2+SQRT(Parameters!$B$6)*Factors!GP7+SQRT(Parameters!$B$7)*Factors!GP9+SQRT(Parameters!$B$9)*NORM.S.INV(RAND())</f>
        <v/>
      </c>
      <c r="GQ4" s="19">
        <f>SQRT(Parameters!$B$5)*Factors!GQ2+SQRT(Parameters!$B$6)*Factors!GQ7+SQRT(Parameters!$B$7)*Factors!GQ9+SQRT(Parameters!$B$9)*NORM.S.INV(RAND())</f>
        <v/>
      </c>
      <c r="GR4" s="19">
        <f>SQRT(Parameters!$B$5)*Factors!GR2+SQRT(Parameters!$B$6)*Factors!GR7+SQRT(Parameters!$B$7)*Factors!GR9+SQRT(Parameters!$B$9)*NORM.S.INV(RAND())</f>
        <v/>
      </c>
      <c r="GS4" s="19">
        <f>SQRT(Parameters!$B$5)*Factors!GS2+SQRT(Parameters!$B$6)*Factors!GS7+SQRT(Parameters!$B$7)*Factors!GS9+SQRT(Parameters!$B$9)*NORM.S.INV(RAND())</f>
        <v/>
      </c>
      <c r="GT4" s="19">
        <f>SQRT(Parameters!$B$5)*Factors!GT2+SQRT(Parameters!$B$6)*Factors!GT7+SQRT(Parameters!$B$7)*Factors!GT9+SQRT(Parameters!$B$9)*NORM.S.INV(RAND())</f>
        <v/>
      </c>
      <c r="GU4" s="19">
        <f>SQRT(Parameters!$B$5)*Factors!GU2+SQRT(Parameters!$B$6)*Factors!GU7+SQRT(Parameters!$B$7)*Factors!GU9+SQRT(Parameters!$B$9)*NORM.S.INV(RAND())</f>
        <v/>
      </c>
      <c r="GV4" s="19">
        <f>SQRT(Parameters!$B$5)*Factors!GV2+SQRT(Parameters!$B$6)*Factors!GV7+SQRT(Parameters!$B$7)*Factors!GV9+SQRT(Parameters!$B$9)*NORM.S.INV(RAND())</f>
        <v/>
      </c>
      <c r="GW4" s="19">
        <f>SQRT(Parameters!$B$5)*Factors!GW2+SQRT(Parameters!$B$6)*Factors!GW7+SQRT(Parameters!$B$7)*Factors!GW9+SQRT(Parameters!$B$9)*NORM.S.INV(RAND())</f>
        <v/>
      </c>
      <c r="GX4" s="19">
        <f>SQRT(Parameters!$B$5)*Factors!GX2+SQRT(Parameters!$B$6)*Factors!GX7+SQRT(Parameters!$B$7)*Factors!GX9+SQRT(Parameters!$B$9)*NORM.S.INV(RAND())</f>
        <v/>
      </c>
      <c r="GY4" s="19">
        <f>SQRT(Parameters!$B$5)*Factors!GY2+SQRT(Parameters!$B$6)*Factors!GY7+SQRT(Parameters!$B$7)*Factors!GY9+SQRT(Parameters!$B$9)*NORM.S.INV(RAND())</f>
        <v/>
      </c>
      <c r="GZ4" s="19">
        <f>SQRT(Parameters!$B$5)*Factors!GZ2+SQRT(Parameters!$B$6)*Factors!GZ7+SQRT(Parameters!$B$7)*Factors!GZ9+SQRT(Parameters!$B$9)*NORM.S.INV(RAND())</f>
        <v/>
      </c>
      <c r="HA4" s="19">
        <f>SQRT(Parameters!$B$5)*Factors!HA2+SQRT(Parameters!$B$6)*Factors!HA7+SQRT(Parameters!$B$7)*Factors!HA9+SQRT(Parameters!$B$9)*NORM.S.INV(RAND())</f>
        <v/>
      </c>
      <c r="HB4" s="19">
        <f>SQRT(Parameters!$B$5)*Factors!HB2+SQRT(Parameters!$B$6)*Factors!HB7+SQRT(Parameters!$B$7)*Factors!HB9+SQRT(Parameters!$B$9)*NORM.S.INV(RAND())</f>
        <v/>
      </c>
      <c r="HC4" s="19">
        <f>SQRT(Parameters!$B$5)*Factors!HC2+SQRT(Parameters!$B$6)*Factors!HC7+SQRT(Parameters!$B$7)*Factors!HC9+SQRT(Parameters!$B$9)*NORM.S.INV(RAND())</f>
        <v/>
      </c>
      <c r="HD4" s="19">
        <f>SQRT(Parameters!$B$5)*Factors!HD2+SQRT(Parameters!$B$6)*Factors!HD7+SQRT(Parameters!$B$7)*Factors!HD9+SQRT(Parameters!$B$9)*NORM.S.INV(RAND())</f>
        <v/>
      </c>
      <c r="HE4" s="19">
        <f>SQRT(Parameters!$B$5)*Factors!HE2+SQRT(Parameters!$B$6)*Factors!HE7+SQRT(Parameters!$B$7)*Factors!HE9+SQRT(Parameters!$B$9)*NORM.S.INV(RAND())</f>
        <v/>
      </c>
      <c r="HF4" s="19">
        <f>SQRT(Parameters!$B$5)*Factors!HF2+SQRT(Parameters!$B$6)*Factors!HF7+SQRT(Parameters!$B$7)*Factors!HF9+SQRT(Parameters!$B$9)*NORM.S.INV(RAND())</f>
        <v/>
      </c>
      <c r="HG4" s="19">
        <f>SQRT(Parameters!$B$5)*Factors!HG2+SQRT(Parameters!$B$6)*Factors!HG7+SQRT(Parameters!$B$7)*Factors!HG9+SQRT(Parameters!$B$9)*NORM.S.INV(RAND())</f>
        <v/>
      </c>
      <c r="HH4" s="19">
        <f>SQRT(Parameters!$B$5)*Factors!HH2+SQRT(Parameters!$B$6)*Factors!HH7+SQRT(Parameters!$B$7)*Factors!HH9+SQRT(Parameters!$B$9)*NORM.S.INV(RAND())</f>
        <v/>
      </c>
      <c r="HI4" s="19">
        <f>SQRT(Parameters!$B$5)*Factors!HI2+SQRT(Parameters!$B$6)*Factors!HI7+SQRT(Parameters!$B$7)*Factors!HI9+SQRT(Parameters!$B$9)*NORM.S.INV(RAND())</f>
        <v/>
      </c>
      <c r="HJ4" s="19">
        <f>SQRT(Parameters!$B$5)*Factors!HJ2+SQRT(Parameters!$B$6)*Factors!HJ7+SQRT(Parameters!$B$7)*Factors!HJ9+SQRT(Parameters!$B$9)*NORM.S.INV(RAND())</f>
        <v/>
      </c>
      <c r="HK4" s="19">
        <f>SQRT(Parameters!$B$5)*Factors!HK2+SQRT(Parameters!$B$6)*Factors!HK7+SQRT(Parameters!$B$7)*Factors!HK9+SQRT(Parameters!$B$9)*NORM.S.INV(RAND())</f>
        <v/>
      </c>
      <c r="HL4" s="19">
        <f>SQRT(Parameters!$B$5)*Factors!HL2+SQRT(Parameters!$B$6)*Factors!HL7+SQRT(Parameters!$B$7)*Factors!HL9+SQRT(Parameters!$B$9)*NORM.S.INV(RAND())</f>
        <v/>
      </c>
      <c r="HM4" s="19">
        <f>SQRT(Parameters!$B$5)*Factors!HM2+SQRT(Parameters!$B$6)*Factors!HM7+SQRT(Parameters!$B$7)*Factors!HM9+SQRT(Parameters!$B$9)*NORM.S.INV(RAND())</f>
        <v/>
      </c>
      <c r="HN4" s="19">
        <f>SQRT(Parameters!$B$5)*Factors!HN2+SQRT(Parameters!$B$6)*Factors!HN7+SQRT(Parameters!$B$7)*Factors!HN9+SQRT(Parameters!$B$9)*NORM.S.INV(RAND())</f>
        <v/>
      </c>
      <c r="HO4" s="19">
        <f>SQRT(Parameters!$B$5)*Factors!HO2+SQRT(Parameters!$B$6)*Factors!HO7+SQRT(Parameters!$B$7)*Factors!HO9+SQRT(Parameters!$B$9)*NORM.S.INV(RAND())</f>
        <v/>
      </c>
      <c r="HP4" s="19">
        <f>SQRT(Parameters!$B$5)*Factors!HP2+SQRT(Parameters!$B$6)*Factors!HP7+SQRT(Parameters!$B$7)*Factors!HP9+SQRT(Parameters!$B$9)*NORM.S.INV(RAND())</f>
        <v/>
      </c>
      <c r="HQ4" s="19">
        <f>SQRT(Parameters!$B$5)*Factors!HQ2+SQRT(Parameters!$B$6)*Factors!HQ7+SQRT(Parameters!$B$7)*Factors!HQ9+SQRT(Parameters!$B$9)*NORM.S.INV(RAND())</f>
        <v/>
      </c>
      <c r="HR4" s="19">
        <f>SQRT(Parameters!$B$5)*Factors!HR2+SQRT(Parameters!$B$6)*Factors!HR7+SQRT(Parameters!$B$7)*Factors!HR9+SQRT(Parameters!$B$9)*NORM.S.INV(RAND())</f>
        <v/>
      </c>
      <c r="HS4" s="19">
        <f>SQRT(Parameters!$B$5)*Factors!HS2+SQRT(Parameters!$B$6)*Factors!HS7+SQRT(Parameters!$B$7)*Factors!HS9+SQRT(Parameters!$B$9)*NORM.S.INV(RAND())</f>
        <v/>
      </c>
      <c r="HT4" s="19">
        <f>SQRT(Parameters!$B$5)*Factors!HT2+SQRT(Parameters!$B$6)*Factors!HT7+SQRT(Parameters!$B$7)*Factors!HT9+SQRT(Parameters!$B$9)*NORM.S.INV(RAND())</f>
        <v/>
      </c>
      <c r="HU4" s="19">
        <f>SQRT(Parameters!$B$5)*Factors!HU2+SQRT(Parameters!$B$6)*Factors!HU7+SQRT(Parameters!$B$7)*Factors!HU9+SQRT(Parameters!$B$9)*NORM.S.INV(RAND())</f>
        <v/>
      </c>
      <c r="HV4" s="19">
        <f>SQRT(Parameters!$B$5)*Factors!HV2+SQRT(Parameters!$B$6)*Factors!HV7+SQRT(Parameters!$B$7)*Factors!HV9+SQRT(Parameters!$B$9)*NORM.S.INV(RAND())</f>
        <v/>
      </c>
      <c r="HW4" s="19">
        <f>SQRT(Parameters!$B$5)*Factors!HW2+SQRT(Parameters!$B$6)*Factors!HW7+SQRT(Parameters!$B$7)*Factors!HW9+SQRT(Parameters!$B$9)*NORM.S.INV(RAND())</f>
        <v/>
      </c>
      <c r="HX4" s="19">
        <f>SQRT(Parameters!$B$5)*Factors!HX2+SQRT(Parameters!$B$6)*Factors!HX7+SQRT(Parameters!$B$7)*Factors!HX9+SQRT(Parameters!$B$9)*NORM.S.INV(RAND())</f>
        <v/>
      </c>
      <c r="HY4" s="19">
        <f>SQRT(Parameters!$B$5)*Factors!HY2+SQRT(Parameters!$B$6)*Factors!HY7+SQRT(Parameters!$B$7)*Factors!HY9+SQRT(Parameters!$B$9)*NORM.S.INV(RAND())</f>
        <v/>
      </c>
      <c r="HZ4" s="19">
        <f>SQRT(Parameters!$B$5)*Factors!HZ2+SQRT(Parameters!$B$6)*Factors!HZ7+SQRT(Parameters!$B$7)*Factors!HZ9+SQRT(Parameters!$B$9)*NORM.S.INV(RAND())</f>
        <v/>
      </c>
      <c r="IA4" s="19">
        <f>SQRT(Parameters!$B$5)*Factors!IA2+SQRT(Parameters!$B$6)*Factors!IA7+SQRT(Parameters!$B$7)*Factors!IA9+SQRT(Parameters!$B$9)*NORM.S.INV(RAND())</f>
        <v/>
      </c>
      <c r="IB4" s="19">
        <f>SQRT(Parameters!$B$5)*Factors!IB2+SQRT(Parameters!$B$6)*Factors!IB7+SQRT(Parameters!$B$7)*Factors!IB9+SQRT(Parameters!$B$9)*NORM.S.INV(RAND())</f>
        <v/>
      </c>
      <c r="IC4" s="19">
        <f>SQRT(Parameters!$B$5)*Factors!IC2+SQRT(Parameters!$B$6)*Factors!IC7+SQRT(Parameters!$B$7)*Factors!IC9+SQRT(Parameters!$B$9)*NORM.S.INV(RAND())</f>
        <v/>
      </c>
      <c r="ID4" s="19">
        <f>SQRT(Parameters!$B$5)*Factors!ID2+SQRT(Parameters!$B$6)*Factors!ID7+SQRT(Parameters!$B$7)*Factors!ID9+SQRT(Parameters!$B$9)*NORM.S.INV(RAND())</f>
        <v/>
      </c>
      <c r="IE4" s="19">
        <f>SQRT(Parameters!$B$5)*Factors!IE2+SQRT(Parameters!$B$6)*Factors!IE7+SQRT(Parameters!$B$7)*Factors!IE9+SQRT(Parameters!$B$9)*NORM.S.INV(RAND())</f>
        <v/>
      </c>
      <c r="IF4" s="19">
        <f>SQRT(Parameters!$B$5)*Factors!IF2+SQRT(Parameters!$B$6)*Factors!IF7+SQRT(Parameters!$B$7)*Factors!IF9+SQRT(Parameters!$B$9)*NORM.S.INV(RAND())</f>
        <v/>
      </c>
      <c r="IG4" s="19">
        <f>SQRT(Parameters!$B$5)*Factors!IG2+SQRT(Parameters!$B$6)*Factors!IG7+SQRT(Parameters!$B$7)*Factors!IG9+SQRT(Parameters!$B$9)*NORM.S.INV(RAND())</f>
        <v/>
      </c>
      <c r="IH4" s="19">
        <f>SQRT(Parameters!$B$5)*Factors!IH2+SQRT(Parameters!$B$6)*Factors!IH7+SQRT(Parameters!$B$7)*Factors!IH9+SQRT(Parameters!$B$9)*NORM.S.INV(RAND())</f>
        <v/>
      </c>
      <c r="II4" s="19">
        <f>SQRT(Parameters!$B$5)*Factors!II2+SQRT(Parameters!$B$6)*Factors!II7+SQRT(Parameters!$B$7)*Factors!II9+SQRT(Parameters!$B$9)*NORM.S.INV(RAND())</f>
        <v/>
      </c>
      <c r="IJ4" s="19">
        <f>SQRT(Parameters!$B$5)*Factors!IJ2+SQRT(Parameters!$B$6)*Factors!IJ7+SQRT(Parameters!$B$7)*Factors!IJ9+SQRT(Parameters!$B$9)*NORM.S.INV(RAND())</f>
        <v/>
      </c>
      <c r="IK4" s="19">
        <f>SQRT(Parameters!$B$5)*Factors!IK2+SQRT(Parameters!$B$6)*Factors!IK7+SQRT(Parameters!$B$7)*Factors!IK9+SQRT(Parameters!$B$9)*NORM.S.INV(RAND())</f>
        <v/>
      </c>
      <c r="IL4" s="19">
        <f>SQRT(Parameters!$B$5)*Factors!IL2+SQRT(Parameters!$B$6)*Factors!IL7+SQRT(Parameters!$B$7)*Factors!IL9+SQRT(Parameters!$B$9)*NORM.S.INV(RAND())</f>
        <v/>
      </c>
      <c r="IM4" s="19">
        <f>SQRT(Parameters!$B$5)*Factors!IM2+SQRT(Parameters!$B$6)*Factors!IM7+SQRT(Parameters!$B$7)*Factors!IM9+SQRT(Parameters!$B$9)*NORM.S.INV(RAND())</f>
        <v/>
      </c>
      <c r="IN4" s="19">
        <f>SQRT(Parameters!$B$5)*Factors!IN2+SQRT(Parameters!$B$6)*Factors!IN7+SQRT(Parameters!$B$7)*Factors!IN9+SQRT(Parameters!$B$9)*NORM.S.INV(RAND())</f>
        <v/>
      </c>
      <c r="IO4" s="19">
        <f>SQRT(Parameters!$B$5)*Factors!IO2+SQRT(Parameters!$B$6)*Factors!IO7+SQRT(Parameters!$B$7)*Factors!IO9+SQRT(Parameters!$B$9)*NORM.S.INV(RAND())</f>
        <v/>
      </c>
      <c r="IP4" s="19">
        <f>SQRT(Parameters!$B$5)*Factors!IP2+SQRT(Parameters!$B$6)*Factors!IP7+SQRT(Parameters!$B$7)*Factors!IP9+SQRT(Parameters!$B$9)*NORM.S.INV(RAND())</f>
        <v/>
      </c>
      <c r="IQ4" s="19">
        <f>SQRT(Parameters!$B$5)*Factors!IQ2+SQRT(Parameters!$B$6)*Factors!IQ7+SQRT(Parameters!$B$7)*Factors!IQ9+SQRT(Parameters!$B$9)*NORM.S.INV(RAND())</f>
        <v/>
      </c>
      <c r="IR4" s="19">
        <f>SQRT(Parameters!$B$5)*Factors!IR2+SQRT(Parameters!$B$6)*Factors!IR7+SQRT(Parameters!$B$7)*Factors!IR9+SQRT(Parameters!$B$9)*NORM.S.INV(RAND())</f>
        <v/>
      </c>
      <c r="IS4" s="19">
        <f>SQRT(Parameters!$B$5)*Factors!IS2+SQRT(Parameters!$B$6)*Factors!IS7+SQRT(Parameters!$B$7)*Factors!IS9+SQRT(Parameters!$B$9)*NORM.S.INV(RAND())</f>
        <v/>
      </c>
      <c r="IT4" s="19">
        <f>SQRT(Parameters!$B$5)*Factors!IT2+SQRT(Parameters!$B$6)*Factors!IT7+SQRT(Parameters!$B$7)*Factors!IT9+SQRT(Parameters!$B$9)*NORM.S.INV(RAND())</f>
        <v/>
      </c>
      <c r="IU4" s="19">
        <f>SQRT(Parameters!$B$5)*Factors!IU2+SQRT(Parameters!$B$6)*Factors!IU7+SQRT(Parameters!$B$7)*Factors!IU9+SQRT(Parameters!$B$9)*NORM.S.INV(RAND())</f>
        <v/>
      </c>
      <c r="IV4" s="19">
        <f>SQRT(Parameters!$B$5)*Factors!IV2+SQRT(Parameters!$B$6)*Factors!IV7+SQRT(Parameters!$B$7)*Factors!IV9+SQRT(Parameters!$B$9)*NORM.S.INV(RAND())</f>
        <v/>
      </c>
      <c r="IW4" s="19">
        <f>SQRT(Parameters!$B$5)*Factors!IW2+SQRT(Parameters!$B$6)*Factors!IW7+SQRT(Parameters!$B$7)*Factors!IW9+SQRT(Parameters!$B$9)*NORM.S.INV(RAND())</f>
        <v/>
      </c>
      <c r="IX4" s="19">
        <f>SQRT(Parameters!$B$5)*Factors!IX2+SQRT(Parameters!$B$6)*Factors!IX7+SQRT(Parameters!$B$7)*Factors!IX9+SQRT(Parameters!$B$9)*NORM.S.INV(RAND())</f>
        <v/>
      </c>
      <c r="IY4" s="19">
        <f>SQRT(Parameters!$B$5)*Factors!IY2+SQRT(Parameters!$B$6)*Factors!IY7+SQRT(Parameters!$B$7)*Factors!IY9+SQRT(Parameters!$B$9)*NORM.S.INV(RAND())</f>
        <v/>
      </c>
      <c r="IZ4" s="19">
        <f>SQRT(Parameters!$B$5)*Factors!IZ2+SQRT(Parameters!$B$6)*Factors!IZ7+SQRT(Parameters!$B$7)*Factors!IZ9+SQRT(Parameters!$B$9)*NORM.S.INV(RAND())</f>
        <v/>
      </c>
      <c r="JA4" s="19">
        <f>SQRT(Parameters!$B$5)*Factors!JA2+SQRT(Parameters!$B$6)*Factors!JA7+SQRT(Parameters!$B$7)*Factors!JA9+SQRT(Parameters!$B$9)*NORM.S.INV(RAND())</f>
        <v/>
      </c>
      <c r="JB4" s="19">
        <f>SQRT(Parameters!$B$5)*Factors!JB2+SQRT(Parameters!$B$6)*Factors!JB7+SQRT(Parameters!$B$7)*Factors!JB9+SQRT(Parameters!$B$9)*NORM.S.INV(RAND())</f>
        <v/>
      </c>
      <c r="JC4" s="19">
        <f>SQRT(Parameters!$B$5)*Factors!JC2+SQRT(Parameters!$B$6)*Factors!JC7+SQRT(Parameters!$B$7)*Factors!JC9+SQRT(Parameters!$B$9)*NORM.S.INV(RAND())</f>
        <v/>
      </c>
      <c r="JD4" s="19">
        <f>SQRT(Parameters!$B$5)*Factors!JD2+SQRT(Parameters!$B$6)*Factors!JD7+SQRT(Parameters!$B$7)*Factors!JD9+SQRT(Parameters!$B$9)*NORM.S.INV(RAND())</f>
        <v/>
      </c>
      <c r="JE4" s="19">
        <f>SQRT(Parameters!$B$5)*Factors!JE2+SQRT(Parameters!$B$6)*Factors!JE7+SQRT(Parameters!$B$7)*Factors!JE9+SQRT(Parameters!$B$9)*NORM.S.INV(RAND())</f>
        <v/>
      </c>
      <c r="JF4" s="19">
        <f>SQRT(Parameters!$B$5)*Factors!JF2+SQRT(Parameters!$B$6)*Factors!JF7+SQRT(Parameters!$B$7)*Factors!JF9+SQRT(Parameters!$B$9)*NORM.S.INV(RAND())</f>
        <v/>
      </c>
      <c r="JG4" s="19">
        <f>SQRT(Parameters!$B$5)*Factors!JG2+SQRT(Parameters!$B$6)*Factors!JG7+SQRT(Parameters!$B$7)*Factors!JG9+SQRT(Parameters!$B$9)*NORM.S.INV(RAND())</f>
        <v/>
      </c>
      <c r="JH4" s="19">
        <f>SQRT(Parameters!$B$5)*Factors!JH2+SQRT(Parameters!$B$6)*Factors!JH7+SQRT(Parameters!$B$7)*Factors!JH9+SQRT(Parameters!$B$9)*NORM.S.INV(RAND())</f>
        <v/>
      </c>
      <c r="JI4" s="19">
        <f>SQRT(Parameters!$B$5)*Factors!JI2+SQRT(Parameters!$B$6)*Factors!JI7+SQRT(Parameters!$B$7)*Factors!JI9+SQRT(Parameters!$B$9)*NORM.S.INV(RAND())</f>
        <v/>
      </c>
      <c r="JJ4" s="19">
        <f>SQRT(Parameters!$B$5)*Factors!JJ2+SQRT(Parameters!$B$6)*Factors!JJ7+SQRT(Parameters!$B$7)*Factors!JJ9+SQRT(Parameters!$B$9)*NORM.S.INV(RAND())</f>
        <v/>
      </c>
      <c r="JK4" s="19">
        <f>SQRT(Parameters!$B$5)*Factors!JK2+SQRT(Parameters!$B$6)*Factors!JK7+SQRT(Parameters!$B$7)*Factors!JK9+SQRT(Parameters!$B$9)*NORM.S.INV(RAND())</f>
        <v/>
      </c>
      <c r="JL4" s="19">
        <f>SQRT(Parameters!$B$5)*Factors!JL2+SQRT(Parameters!$B$6)*Factors!JL7+SQRT(Parameters!$B$7)*Factors!JL9+SQRT(Parameters!$B$9)*NORM.S.INV(RAND())</f>
        <v/>
      </c>
      <c r="JM4" s="19">
        <f>SQRT(Parameters!$B$5)*Factors!JM2+SQRT(Parameters!$B$6)*Factors!JM7+SQRT(Parameters!$B$7)*Factors!JM9+SQRT(Parameters!$B$9)*NORM.S.INV(RAND())</f>
        <v/>
      </c>
      <c r="JN4" s="19">
        <f>SQRT(Parameters!$B$5)*Factors!JN2+SQRT(Parameters!$B$6)*Factors!JN7+SQRT(Parameters!$B$7)*Factors!JN9+SQRT(Parameters!$B$9)*NORM.S.INV(RAND())</f>
        <v/>
      </c>
      <c r="JO4" s="19">
        <f>SQRT(Parameters!$B$5)*Factors!JO2+SQRT(Parameters!$B$6)*Factors!JO7+SQRT(Parameters!$B$7)*Factors!JO9+SQRT(Parameters!$B$9)*NORM.S.INV(RAND())</f>
        <v/>
      </c>
      <c r="JP4" s="19">
        <f>SQRT(Parameters!$B$5)*Factors!JP2+SQRT(Parameters!$B$6)*Factors!JP7+SQRT(Parameters!$B$7)*Factors!JP9+SQRT(Parameters!$B$9)*NORM.S.INV(RAND())</f>
        <v/>
      </c>
      <c r="JQ4" s="19">
        <f>SQRT(Parameters!$B$5)*Factors!JQ2+SQRT(Parameters!$B$6)*Factors!JQ7+SQRT(Parameters!$B$7)*Factors!JQ9+SQRT(Parameters!$B$9)*NORM.S.INV(RAND())</f>
        <v/>
      </c>
      <c r="JR4" s="19">
        <f>SQRT(Parameters!$B$5)*Factors!JR2+SQRT(Parameters!$B$6)*Factors!JR7+SQRT(Parameters!$B$7)*Factors!JR9+SQRT(Parameters!$B$9)*NORM.S.INV(RAND())</f>
        <v/>
      </c>
      <c r="JS4" s="19">
        <f>SQRT(Parameters!$B$5)*Factors!JS2+SQRT(Parameters!$B$6)*Factors!JS7+SQRT(Parameters!$B$7)*Factors!JS9+SQRT(Parameters!$B$9)*NORM.S.INV(RAND())</f>
        <v/>
      </c>
      <c r="JT4" s="19">
        <f>SQRT(Parameters!$B$5)*Factors!JT2+SQRT(Parameters!$B$6)*Factors!JT7+SQRT(Parameters!$B$7)*Factors!JT9+SQRT(Parameters!$B$9)*NORM.S.INV(RAND())</f>
        <v/>
      </c>
      <c r="JU4" s="19">
        <f>SQRT(Parameters!$B$5)*Factors!JU2+SQRT(Parameters!$B$6)*Factors!JU7+SQRT(Parameters!$B$7)*Factors!JU9+SQRT(Parameters!$B$9)*NORM.S.INV(RAND())</f>
        <v/>
      </c>
      <c r="JV4" s="19">
        <f>SQRT(Parameters!$B$5)*Factors!JV2+SQRT(Parameters!$B$6)*Factors!JV7+SQRT(Parameters!$B$7)*Factors!JV9+SQRT(Parameters!$B$9)*NORM.S.INV(RAND())</f>
        <v/>
      </c>
      <c r="JW4" s="19">
        <f>SQRT(Parameters!$B$5)*Factors!JW2+SQRT(Parameters!$B$6)*Factors!JW7+SQRT(Parameters!$B$7)*Factors!JW9+SQRT(Parameters!$B$9)*NORM.S.INV(RAND())</f>
        <v/>
      </c>
      <c r="JX4" s="19">
        <f>SQRT(Parameters!$B$5)*Factors!JX2+SQRT(Parameters!$B$6)*Factors!JX7+SQRT(Parameters!$B$7)*Factors!JX9+SQRT(Parameters!$B$9)*NORM.S.INV(RAND())</f>
        <v/>
      </c>
      <c r="JY4" s="19">
        <f>SQRT(Parameters!$B$5)*Factors!JY2+SQRT(Parameters!$B$6)*Factors!JY7+SQRT(Parameters!$B$7)*Factors!JY9+SQRT(Parameters!$B$9)*NORM.S.INV(RAND())</f>
        <v/>
      </c>
      <c r="JZ4" s="19">
        <f>SQRT(Parameters!$B$5)*Factors!JZ2+SQRT(Parameters!$B$6)*Factors!JZ7+SQRT(Parameters!$B$7)*Factors!JZ9+SQRT(Parameters!$B$9)*NORM.S.INV(RAND())</f>
        <v/>
      </c>
      <c r="KA4" s="19">
        <f>SQRT(Parameters!$B$5)*Factors!KA2+SQRT(Parameters!$B$6)*Factors!KA7+SQRT(Parameters!$B$7)*Factors!KA9+SQRT(Parameters!$B$9)*NORM.S.INV(RAND())</f>
        <v/>
      </c>
      <c r="KB4" s="19">
        <f>SQRT(Parameters!$B$5)*Factors!KB2+SQRT(Parameters!$B$6)*Factors!KB7+SQRT(Parameters!$B$7)*Factors!KB9+SQRT(Parameters!$B$9)*NORM.S.INV(RAND())</f>
        <v/>
      </c>
      <c r="KC4" s="19">
        <f>SQRT(Parameters!$B$5)*Factors!KC2+SQRT(Parameters!$B$6)*Factors!KC7+SQRT(Parameters!$B$7)*Factors!KC9+SQRT(Parameters!$B$9)*NORM.S.INV(RAND())</f>
        <v/>
      </c>
      <c r="KD4" s="19">
        <f>SQRT(Parameters!$B$5)*Factors!KD2+SQRT(Parameters!$B$6)*Factors!KD7+SQRT(Parameters!$B$7)*Factors!KD9+SQRT(Parameters!$B$9)*NORM.S.INV(RAND())</f>
        <v/>
      </c>
      <c r="KE4" s="19">
        <f>SQRT(Parameters!$B$5)*Factors!KE2+SQRT(Parameters!$B$6)*Factors!KE7+SQRT(Parameters!$B$7)*Factors!KE9+SQRT(Parameters!$B$9)*NORM.S.INV(RAND())</f>
        <v/>
      </c>
      <c r="KF4" s="19">
        <f>SQRT(Parameters!$B$5)*Factors!KF2+SQRT(Parameters!$B$6)*Factors!KF7+SQRT(Parameters!$B$7)*Factors!KF9+SQRT(Parameters!$B$9)*NORM.S.INV(RAND())</f>
        <v/>
      </c>
      <c r="KG4" s="19">
        <f>SQRT(Parameters!$B$5)*Factors!KG2+SQRT(Parameters!$B$6)*Factors!KG7+SQRT(Parameters!$B$7)*Factors!KG9+SQRT(Parameters!$B$9)*NORM.S.INV(RAND())</f>
        <v/>
      </c>
      <c r="KH4" s="19">
        <f>SQRT(Parameters!$B$5)*Factors!KH2+SQRT(Parameters!$B$6)*Factors!KH7+SQRT(Parameters!$B$7)*Factors!KH9+SQRT(Parameters!$B$9)*NORM.S.INV(RAND())</f>
        <v/>
      </c>
      <c r="KI4" s="19">
        <f>SQRT(Parameters!$B$5)*Factors!KI2+SQRT(Parameters!$B$6)*Factors!KI7+SQRT(Parameters!$B$7)*Factors!KI9+SQRT(Parameters!$B$9)*NORM.S.INV(RAND())</f>
        <v/>
      </c>
      <c r="KJ4" s="19">
        <f>SQRT(Parameters!$B$5)*Factors!KJ2+SQRT(Parameters!$B$6)*Factors!KJ7+SQRT(Parameters!$B$7)*Factors!KJ9+SQRT(Parameters!$B$9)*NORM.S.INV(RAND())</f>
        <v/>
      </c>
      <c r="KK4" s="19">
        <f>SQRT(Parameters!$B$5)*Factors!KK2+SQRT(Parameters!$B$6)*Factors!KK7+SQRT(Parameters!$B$7)*Factors!KK9+SQRT(Parameters!$B$9)*NORM.S.INV(RAND())</f>
        <v/>
      </c>
      <c r="KL4" s="19">
        <f>SQRT(Parameters!$B$5)*Factors!KL2+SQRT(Parameters!$B$6)*Factors!KL7+SQRT(Parameters!$B$7)*Factors!KL9+SQRT(Parameters!$B$9)*NORM.S.INV(RAND())</f>
        <v/>
      </c>
      <c r="KM4" s="19">
        <f>SQRT(Parameters!$B$5)*Factors!KM2+SQRT(Parameters!$B$6)*Factors!KM7+SQRT(Parameters!$B$7)*Factors!KM9+SQRT(Parameters!$B$9)*NORM.S.INV(RAND())</f>
        <v/>
      </c>
      <c r="KN4" s="19">
        <f>SQRT(Parameters!$B$5)*Factors!KN2+SQRT(Parameters!$B$6)*Factors!KN7+SQRT(Parameters!$B$7)*Factors!KN9+SQRT(Parameters!$B$9)*NORM.S.INV(RAND())</f>
        <v/>
      </c>
      <c r="KO4" s="19">
        <f>SQRT(Parameters!$B$5)*Factors!KO2+SQRT(Parameters!$B$6)*Factors!KO7+SQRT(Parameters!$B$7)*Factors!KO9+SQRT(Parameters!$B$9)*NORM.S.INV(RAND())</f>
        <v/>
      </c>
      <c r="KP4" s="19">
        <f>SQRT(Parameters!$B$5)*Factors!KP2+SQRT(Parameters!$B$6)*Factors!KP7+SQRT(Parameters!$B$7)*Factors!KP9+SQRT(Parameters!$B$9)*NORM.S.INV(RAND())</f>
        <v/>
      </c>
      <c r="KQ4" s="19">
        <f>SQRT(Parameters!$B$5)*Factors!KQ2+SQRT(Parameters!$B$6)*Factors!KQ7+SQRT(Parameters!$B$7)*Factors!KQ9+SQRT(Parameters!$B$9)*NORM.S.INV(RAND())</f>
        <v/>
      </c>
      <c r="KR4" s="19">
        <f>SQRT(Parameters!$B$5)*Factors!KR2+SQRT(Parameters!$B$6)*Factors!KR7+SQRT(Parameters!$B$7)*Factors!KR9+SQRT(Parameters!$B$9)*NORM.S.INV(RAND())</f>
        <v/>
      </c>
      <c r="KS4" s="19">
        <f>SQRT(Parameters!$B$5)*Factors!KS2+SQRT(Parameters!$B$6)*Factors!KS7+SQRT(Parameters!$B$7)*Factors!KS9+SQRT(Parameters!$B$9)*NORM.S.INV(RAND())</f>
        <v/>
      </c>
      <c r="KT4" s="19">
        <f>SQRT(Parameters!$B$5)*Factors!KT2+SQRT(Parameters!$B$6)*Factors!KT7+SQRT(Parameters!$B$7)*Factors!KT9+SQRT(Parameters!$B$9)*NORM.S.INV(RAND())</f>
        <v/>
      </c>
      <c r="KU4" s="19">
        <f>SQRT(Parameters!$B$5)*Factors!KU2+SQRT(Parameters!$B$6)*Factors!KU7+SQRT(Parameters!$B$7)*Factors!KU9+SQRT(Parameters!$B$9)*NORM.S.INV(RAND())</f>
        <v/>
      </c>
      <c r="KV4" s="19">
        <f>SQRT(Parameters!$B$5)*Factors!KV2+SQRT(Parameters!$B$6)*Factors!KV7+SQRT(Parameters!$B$7)*Factors!KV9+SQRT(Parameters!$B$9)*NORM.S.INV(RAND())</f>
        <v/>
      </c>
      <c r="KW4" s="19">
        <f>SQRT(Parameters!$B$5)*Factors!KW2+SQRT(Parameters!$B$6)*Factors!KW7+SQRT(Parameters!$B$7)*Factors!KW9+SQRT(Parameters!$B$9)*NORM.S.INV(RAND())</f>
        <v/>
      </c>
      <c r="KX4" s="19">
        <f>SQRT(Parameters!$B$5)*Factors!KX2+SQRT(Parameters!$B$6)*Factors!KX7+SQRT(Parameters!$B$7)*Factors!KX9+SQRT(Parameters!$B$9)*NORM.S.INV(RAND())</f>
        <v/>
      </c>
      <c r="KY4" s="19">
        <f>SQRT(Parameters!$B$5)*Factors!KY2+SQRT(Parameters!$B$6)*Factors!KY7+SQRT(Parameters!$B$7)*Factors!KY9+SQRT(Parameters!$B$9)*NORM.S.INV(RAND())</f>
        <v/>
      </c>
      <c r="KZ4" s="19">
        <f>SQRT(Parameters!$B$5)*Factors!KZ2+SQRT(Parameters!$B$6)*Factors!KZ7+SQRT(Parameters!$B$7)*Factors!KZ9+SQRT(Parameters!$B$9)*NORM.S.INV(RAND())</f>
        <v/>
      </c>
      <c r="LA4" s="19">
        <f>SQRT(Parameters!$B$5)*Factors!LA2+SQRT(Parameters!$B$6)*Factors!LA7+SQRT(Parameters!$B$7)*Factors!LA9+SQRT(Parameters!$B$9)*NORM.S.INV(RAND())</f>
        <v/>
      </c>
      <c r="LB4" s="19">
        <f>SQRT(Parameters!$B$5)*Factors!LB2+SQRT(Parameters!$B$6)*Factors!LB7+SQRT(Parameters!$B$7)*Factors!LB9+SQRT(Parameters!$B$9)*NORM.S.INV(RAND())</f>
        <v/>
      </c>
      <c r="LC4" s="19">
        <f>SQRT(Parameters!$B$5)*Factors!LC2+SQRT(Parameters!$B$6)*Factors!LC7+SQRT(Parameters!$B$7)*Factors!LC9+SQRT(Parameters!$B$9)*NORM.S.INV(RAND())</f>
        <v/>
      </c>
      <c r="LD4" s="19">
        <f>SQRT(Parameters!$B$5)*Factors!LD2+SQRT(Parameters!$B$6)*Factors!LD7+SQRT(Parameters!$B$7)*Factors!LD9+SQRT(Parameters!$B$9)*NORM.S.INV(RAND())</f>
        <v/>
      </c>
      <c r="LE4" s="19">
        <f>SQRT(Parameters!$B$5)*Factors!LE2+SQRT(Parameters!$B$6)*Factors!LE7+SQRT(Parameters!$B$7)*Factors!LE9+SQRT(Parameters!$B$9)*NORM.S.INV(RAND())</f>
        <v/>
      </c>
      <c r="LF4" s="19">
        <f>SQRT(Parameters!$B$5)*Factors!LF2+SQRT(Parameters!$B$6)*Factors!LF7+SQRT(Parameters!$B$7)*Factors!LF9+SQRT(Parameters!$B$9)*NORM.S.INV(RAND())</f>
        <v/>
      </c>
      <c r="LG4" s="19">
        <f>SQRT(Parameters!$B$5)*Factors!LG2+SQRT(Parameters!$B$6)*Factors!LG7+SQRT(Parameters!$B$7)*Factors!LG9+SQRT(Parameters!$B$9)*NORM.S.INV(RAND())</f>
        <v/>
      </c>
      <c r="LH4" s="19">
        <f>SQRT(Parameters!$B$5)*Factors!LH2+SQRT(Parameters!$B$6)*Factors!LH7+SQRT(Parameters!$B$7)*Factors!LH9+SQRT(Parameters!$B$9)*NORM.S.INV(RAND())</f>
        <v/>
      </c>
      <c r="LI4" s="19">
        <f>SQRT(Parameters!$B$5)*Factors!LI2+SQRT(Parameters!$B$6)*Factors!LI7+SQRT(Parameters!$B$7)*Factors!LI9+SQRT(Parameters!$B$9)*NORM.S.INV(RAND())</f>
        <v/>
      </c>
      <c r="LJ4" s="19">
        <f>SQRT(Parameters!$B$5)*Factors!LJ2+SQRT(Parameters!$B$6)*Factors!LJ7+SQRT(Parameters!$B$7)*Factors!LJ9+SQRT(Parameters!$B$9)*NORM.S.INV(RAND())</f>
        <v/>
      </c>
      <c r="LK4" s="19">
        <f>SQRT(Parameters!$B$5)*Factors!LK2+SQRT(Parameters!$B$6)*Factors!LK7+SQRT(Parameters!$B$7)*Factors!LK9+SQRT(Parameters!$B$9)*NORM.S.INV(RAND())</f>
        <v/>
      </c>
      <c r="LL4" s="19">
        <f>SQRT(Parameters!$B$5)*Factors!LL2+SQRT(Parameters!$B$6)*Factors!LL7+SQRT(Parameters!$B$7)*Factors!LL9+SQRT(Parameters!$B$9)*NORM.S.INV(RAND())</f>
        <v/>
      </c>
      <c r="LM4" s="19">
        <f>SQRT(Parameters!$B$5)*Factors!LM2+SQRT(Parameters!$B$6)*Factors!LM7+SQRT(Parameters!$B$7)*Factors!LM9+SQRT(Parameters!$B$9)*NORM.S.INV(RAND())</f>
        <v/>
      </c>
      <c r="LN4" s="19">
        <f>SQRT(Parameters!$B$5)*Factors!LN2+SQRT(Parameters!$B$6)*Factors!LN7+SQRT(Parameters!$B$7)*Factors!LN9+SQRT(Parameters!$B$9)*NORM.S.INV(RAND())</f>
        <v/>
      </c>
      <c r="LO4" s="19">
        <f>SQRT(Parameters!$B$5)*Factors!LO2+SQRT(Parameters!$B$6)*Factors!LO7+SQRT(Parameters!$B$7)*Factors!LO9+SQRT(Parameters!$B$9)*NORM.S.INV(RAND())</f>
        <v/>
      </c>
      <c r="LP4" s="19">
        <f>SQRT(Parameters!$B$5)*Factors!LP2+SQRT(Parameters!$B$6)*Factors!LP7+SQRT(Parameters!$B$7)*Factors!LP9+SQRT(Parameters!$B$9)*NORM.S.INV(RAND())</f>
        <v/>
      </c>
      <c r="LQ4" s="19">
        <f>SQRT(Parameters!$B$5)*Factors!LQ2+SQRT(Parameters!$B$6)*Factors!LQ7+SQRT(Parameters!$B$7)*Factors!LQ9+SQRT(Parameters!$B$9)*NORM.S.INV(RAND())</f>
        <v/>
      </c>
      <c r="LR4" s="19">
        <f>SQRT(Parameters!$B$5)*Factors!LR2+SQRT(Parameters!$B$6)*Factors!LR7+SQRT(Parameters!$B$7)*Factors!LR9+SQRT(Parameters!$B$9)*NORM.S.INV(RAND())</f>
        <v/>
      </c>
      <c r="LS4" s="19">
        <f>SQRT(Parameters!$B$5)*Factors!LS2+SQRT(Parameters!$B$6)*Factors!LS7+SQRT(Parameters!$B$7)*Factors!LS9+SQRT(Parameters!$B$9)*NORM.S.INV(RAND())</f>
        <v/>
      </c>
      <c r="LT4" s="19">
        <f>SQRT(Parameters!$B$5)*Factors!LT2+SQRT(Parameters!$B$6)*Factors!LT7+SQRT(Parameters!$B$7)*Factors!LT9+SQRT(Parameters!$B$9)*NORM.S.INV(RAND())</f>
        <v/>
      </c>
      <c r="LU4" s="19">
        <f>SQRT(Parameters!$B$5)*Factors!LU2+SQRT(Parameters!$B$6)*Factors!LU7+SQRT(Parameters!$B$7)*Factors!LU9+SQRT(Parameters!$B$9)*NORM.S.INV(RAND())</f>
        <v/>
      </c>
      <c r="LV4" s="19">
        <f>SQRT(Parameters!$B$5)*Factors!LV2+SQRT(Parameters!$B$6)*Factors!LV7+SQRT(Parameters!$B$7)*Factors!LV9+SQRT(Parameters!$B$9)*NORM.S.INV(RAND())</f>
        <v/>
      </c>
      <c r="LW4" s="19">
        <f>SQRT(Parameters!$B$5)*Factors!LW2+SQRT(Parameters!$B$6)*Factors!LW7+SQRT(Parameters!$B$7)*Factors!LW9+SQRT(Parameters!$B$9)*NORM.S.INV(RAND())</f>
        <v/>
      </c>
      <c r="LX4" s="19">
        <f>SQRT(Parameters!$B$5)*Factors!LX2+SQRT(Parameters!$B$6)*Factors!LX7+SQRT(Parameters!$B$7)*Factors!LX9+SQRT(Parameters!$B$9)*NORM.S.INV(RAND())</f>
        <v/>
      </c>
      <c r="LY4" s="19">
        <f>SQRT(Parameters!$B$5)*Factors!LY2+SQRT(Parameters!$B$6)*Factors!LY7+SQRT(Parameters!$B$7)*Factors!LY9+SQRT(Parameters!$B$9)*NORM.S.INV(RAND())</f>
        <v/>
      </c>
      <c r="LZ4" s="19">
        <f>SQRT(Parameters!$B$5)*Factors!LZ2+SQRT(Parameters!$B$6)*Factors!LZ7+SQRT(Parameters!$B$7)*Factors!LZ9+SQRT(Parameters!$B$9)*NORM.S.INV(RAND())</f>
        <v/>
      </c>
      <c r="MA4" s="19">
        <f>SQRT(Parameters!$B$5)*Factors!MA2+SQRT(Parameters!$B$6)*Factors!MA7+SQRT(Parameters!$B$7)*Factors!MA9+SQRT(Parameters!$B$9)*NORM.S.INV(RAND())</f>
        <v/>
      </c>
      <c r="MB4" s="19">
        <f>SQRT(Parameters!$B$5)*Factors!MB2+SQRT(Parameters!$B$6)*Factors!MB7+SQRT(Parameters!$B$7)*Factors!MB9+SQRT(Parameters!$B$9)*NORM.S.INV(RAND())</f>
        <v/>
      </c>
      <c r="MC4" s="19">
        <f>SQRT(Parameters!$B$5)*Factors!MC2+SQRT(Parameters!$B$6)*Factors!MC7+SQRT(Parameters!$B$7)*Factors!MC9+SQRT(Parameters!$B$9)*NORM.S.INV(RAND())</f>
        <v/>
      </c>
      <c r="MD4" s="19">
        <f>SQRT(Parameters!$B$5)*Factors!MD2+SQRT(Parameters!$B$6)*Factors!MD7+SQRT(Parameters!$B$7)*Factors!MD9+SQRT(Parameters!$B$9)*NORM.S.INV(RAND())</f>
        <v/>
      </c>
      <c r="ME4" s="19">
        <f>SQRT(Parameters!$B$5)*Factors!ME2+SQRT(Parameters!$B$6)*Factors!ME7+SQRT(Parameters!$B$7)*Factors!ME9+SQRT(Parameters!$B$9)*NORM.S.INV(RAND())</f>
        <v/>
      </c>
      <c r="MF4" s="19">
        <f>SQRT(Parameters!$B$5)*Factors!MF2+SQRT(Parameters!$B$6)*Factors!MF7+SQRT(Parameters!$B$7)*Factors!MF9+SQRT(Parameters!$B$9)*NORM.S.INV(RAND())</f>
        <v/>
      </c>
      <c r="MG4" s="19">
        <f>SQRT(Parameters!$B$5)*Factors!MG2+SQRT(Parameters!$B$6)*Factors!MG7+SQRT(Parameters!$B$7)*Factors!MG9+SQRT(Parameters!$B$9)*NORM.S.INV(RAND())</f>
        <v/>
      </c>
      <c r="MH4" s="19">
        <f>SQRT(Parameters!$B$5)*Factors!MH2+SQRT(Parameters!$B$6)*Factors!MH7+SQRT(Parameters!$B$7)*Factors!MH9+SQRT(Parameters!$B$9)*NORM.S.INV(RAND())</f>
        <v/>
      </c>
      <c r="MI4" s="19">
        <f>SQRT(Parameters!$B$5)*Factors!MI2+SQRT(Parameters!$B$6)*Factors!MI7+SQRT(Parameters!$B$7)*Factors!MI9+SQRT(Parameters!$B$9)*NORM.S.INV(RAND())</f>
        <v/>
      </c>
      <c r="MJ4" s="19">
        <f>SQRT(Parameters!$B$5)*Factors!MJ2+SQRT(Parameters!$B$6)*Factors!MJ7+SQRT(Parameters!$B$7)*Factors!MJ9+SQRT(Parameters!$B$9)*NORM.S.INV(RAND())</f>
        <v/>
      </c>
      <c r="MK4" s="19">
        <f>SQRT(Parameters!$B$5)*Factors!MK2+SQRT(Parameters!$B$6)*Factors!MK7+SQRT(Parameters!$B$7)*Factors!MK9+SQRT(Parameters!$B$9)*NORM.S.INV(RAND())</f>
        <v/>
      </c>
      <c r="ML4" s="19">
        <f>SQRT(Parameters!$B$5)*Factors!ML2+SQRT(Parameters!$B$6)*Factors!ML7+SQRT(Parameters!$B$7)*Factors!ML9+SQRT(Parameters!$B$9)*NORM.S.INV(RAND())</f>
        <v/>
      </c>
      <c r="MM4" s="19">
        <f>SQRT(Parameters!$B$5)*Factors!MM2+SQRT(Parameters!$B$6)*Factors!MM7+SQRT(Parameters!$B$7)*Factors!MM9+SQRT(Parameters!$B$9)*NORM.S.INV(RAND())</f>
        <v/>
      </c>
      <c r="MN4" s="19">
        <f>SQRT(Parameters!$B$5)*Factors!MN2+SQRT(Parameters!$B$6)*Factors!MN7+SQRT(Parameters!$B$7)*Factors!MN9+SQRT(Parameters!$B$9)*NORM.S.INV(RAND())</f>
        <v/>
      </c>
      <c r="MO4" s="19">
        <f>SQRT(Parameters!$B$5)*Factors!MO2+SQRT(Parameters!$B$6)*Factors!MO7+SQRT(Parameters!$B$7)*Factors!MO9+SQRT(Parameters!$B$9)*NORM.S.INV(RAND())</f>
        <v/>
      </c>
      <c r="MP4" s="19">
        <f>SQRT(Parameters!$B$5)*Factors!MP2+SQRT(Parameters!$B$6)*Factors!MP7+SQRT(Parameters!$B$7)*Factors!MP9+SQRT(Parameters!$B$9)*NORM.S.INV(RAND())</f>
        <v/>
      </c>
      <c r="MQ4" s="19">
        <f>SQRT(Parameters!$B$5)*Factors!MQ2+SQRT(Parameters!$B$6)*Factors!MQ7+SQRT(Parameters!$B$7)*Factors!MQ9+SQRT(Parameters!$B$9)*NORM.S.INV(RAND())</f>
        <v/>
      </c>
      <c r="MR4" s="19">
        <f>SQRT(Parameters!$B$5)*Factors!MR2+SQRT(Parameters!$B$6)*Factors!MR7+SQRT(Parameters!$B$7)*Factors!MR9+SQRT(Parameters!$B$9)*NORM.S.INV(RAND())</f>
        <v/>
      </c>
      <c r="MS4" s="19">
        <f>SQRT(Parameters!$B$5)*Factors!MS2+SQRT(Parameters!$B$6)*Factors!MS7+SQRT(Parameters!$B$7)*Factors!MS9+SQRT(Parameters!$B$9)*NORM.S.INV(RAND())</f>
        <v/>
      </c>
      <c r="MT4" s="19">
        <f>SQRT(Parameters!$B$5)*Factors!MT2+SQRT(Parameters!$B$6)*Factors!MT7+SQRT(Parameters!$B$7)*Factors!MT9+SQRT(Parameters!$B$9)*NORM.S.INV(RAND())</f>
        <v/>
      </c>
      <c r="MU4" s="19">
        <f>SQRT(Parameters!$B$5)*Factors!MU2+SQRT(Parameters!$B$6)*Factors!MU7+SQRT(Parameters!$B$7)*Factors!MU9+SQRT(Parameters!$B$9)*NORM.S.INV(RAND())</f>
        <v/>
      </c>
      <c r="MV4" s="19">
        <f>SQRT(Parameters!$B$5)*Factors!MV2+SQRT(Parameters!$B$6)*Factors!MV7+SQRT(Parameters!$B$7)*Factors!MV9+SQRT(Parameters!$B$9)*NORM.S.INV(RAND())</f>
        <v/>
      </c>
      <c r="MW4" s="19">
        <f>SQRT(Parameters!$B$5)*Factors!MW2+SQRT(Parameters!$B$6)*Factors!MW7+SQRT(Parameters!$B$7)*Factors!MW9+SQRT(Parameters!$B$9)*NORM.S.INV(RAND())</f>
        <v/>
      </c>
      <c r="MX4" s="19">
        <f>SQRT(Parameters!$B$5)*Factors!MX2+SQRT(Parameters!$B$6)*Factors!MX7+SQRT(Parameters!$B$7)*Factors!MX9+SQRT(Parameters!$B$9)*NORM.S.INV(RAND())</f>
        <v/>
      </c>
      <c r="MY4" s="19">
        <f>SQRT(Parameters!$B$5)*Factors!MY2+SQRT(Parameters!$B$6)*Factors!MY7+SQRT(Parameters!$B$7)*Factors!MY9+SQRT(Parameters!$B$9)*NORM.S.INV(RAND())</f>
        <v/>
      </c>
      <c r="MZ4" s="19">
        <f>SQRT(Parameters!$B$5)*Factors!MZ2+SQRT(Parameters!$B$6)*Factors!MZ7+SQRT(Parameters!$B$7)*Factors!MZ9+SQRT(Parameters!$B$9)*NORM.S.INV(RAND())</f>
        <v/>
      </c>
      <c r="NA4" s="19">
        <f>SQRT(Parameters!$B$5)*Factors!NA2+SQRT(Parameters!$B$6)*Factors!NA7+SQRT(Parameters!$B$7)*Factors!NA9+SQRT(Parameters!$B$9)*NORM.S.INV(RAND())</f>
        <v/>
      </c>
      <c r="NB4" s="19">
        <f>SQRT(Parameters!$B$5)*Factors!NB2+SQRT(Parameters!$B$6)*Factors!NB7+SQRT(Parameters!$B$7)*Factors!NB9+SQRT(Parameters!$B$9)*NORM.S.INV(RAND())</f>
        <v/>
      </c>
      <c r="NC4" s="19">
        <f>SQRT(Parameters!$B$5)*Factors!NC2+SQRT(Parameters!$B$6)*Factors!NC7+SQRT(Parameters!$B$7)*Factors!NC9+SQRT(Parameters!$B$9)*NORM.S.INV(RAND())</f>
        <v/>
      </c>
      <c r="ND4" s="19">
        <f>SQRT(Parameters!$B$5)*Factors!ND2+SQRT(Parameters!$B$6)*Factors!ND7+SQRT(Parameters!$B$7)*Factors!ND9+SQRT(Parameters!$B$9)*NORM.S.INV(RAND())</f>
        <v/>
      </c>
      <c r="NE4" s="19">
        <f>SQRT(Parameters!$B$5)*Factors!NE2+SQRT(Parameters!$B$6)*Factors!NE7+SQRT(Parameters!$B$7)*Factors!NE9+SQRT(Parameters!$B$9)*NORM.S.INV(RAND())</f>
        <v/>
      </c>
      <c r="NF4" s="19">
        <f>SQRT(Parameters!$B$5)*Factors!NF2+SQRT(Parameters!$B$6)*Factors!NF7+SQRT(Parameters!$B$7)*Factors!NF9+SQRT(Parameters!$B$9)*NORM.S.INV(RAND())</f>
        <v/>
      </c>
      <c r="NG4" s="19">
        <f>SQRT(Parameters!$B$5)*Factors!NG2+SQRT(Parameters!$B$6)*Factors!NG7+SQRT(Parameters!$B$7)*Factors!NG9+SQRT(Parameters!$B$9)*NORM.S.INV(RAND())</f>
        <v/>
      </c>
      <c r="NH4" s="19">
        <f>SQRT(Parameters!$B$5)*Factors!NH2+SQRT(Parameters!$B$6)*Factors!NH7+SQRT(Parameters!$B$7)*Factors!NH9+SQRT(Parameters!$B$9)*NORM.S.INV(RAND())</f>
        <v/>
      </c>
      <c r="NI4" s="19">
        <f>SQRT(Parameters!$B$5)*Factors!NI2+SQRT(Parameters!$B$6)*Factors!NI7+SQRT(Parameters!$B$7)*Factors!NI9+SQRT(Parameters!$B$9)*NORM.S.INV(RAND())</f>
        <v/>
      </c>
      <c r="NJ4" s="19">
        <f>SQRT(Parameters!$B$5)*Factors!NJ2+SQRT(Parameters!$B$6)*Factors!NJ7+SQRT(Parameters!$B$7)*Factors!NJ9+SQRT(Parameters!$B$9)*NORM.S.INV(RAND())</f>
        <v/>
      </c>
      <c r="NK4" s="19">
        <f>SQRT(Parameters!$B$5)*Factors!NK2+SQRT(Parameters!$B$6)*Factors!NK7+SQRT(Parameters!$B$7)*Factors!NK9+SQRT(Parameters!$B$9)*NORM.S.INV(RAND())</f>
        <v/>
      </c>
      <c r="NL4" s="19">
        <f>SQRT(Parameters!$B$5)*Factors!NL2+SQRT(Parameters!$B$6)*Factors!NL7+SQRT(Parameters!$B$7)*Factors!NL9+SQRT(Parameters!$B$9)*NORM.S.INV(RAND())</f>
        <v/>
      </c>
      <c r="NM4" s="19">
        <f>SQRT(Parameters!$B$5)*Factors!NM2+SQRT(Parameters!$B$6)*Factors!NM7+SQRT(Parameters!$B$7)*Factors!NM9+SQRT(Parameters!$B$9)*NORM.S.INV(RAND())</f>
        <v/>
      </c>
      <c r="NN4" s="19">
        <f>SQRT(Parameters!$B$5)*Factors!NN2+SQRT(Parameters!$B$6)*Factors!NN7+SQRT(Parameters!$B$7)*Factors!NN9+SQRT(Parameters!$B$9)*NORM.S.INV(RAND())</f>
        <v/>
      </c>
      <c r="NO4" s="19">
        <f>SQRT(Parameters!$B$5)*Factors!NO2+SQRT(Parameters!$B$6)*Factors!NO7+SQRT(Parameters!$B$7)*Factors!NO9+SQRT(Parameters!$B$9)*NORM.S.INV(RAND())</f>
        <v/>
      </c>
      <c r="NP4" s="19">
        <f>SQRT(Parameters!$B$5)*Factors!NP2+SQRT(Parameters!$B$6)*Factors!NP7+SQRT(Parameters!$B$7)*Factors!NP9+SQRT(Parameters!$B$9)*NORM.S.INV(RAND())</f>
        <v/>
      </c>
      <c r="NQ4" s="19">
        <f>SQRT(Parameters!$B$5)*Factors!NQ2+SQRT(Parameters!$B$6)*Factors!NQ7+SQRT(Parameters!$B$7)*Factors!NQ9+SQRT(Parameters!$B$9)*NORM.S.INV(RAND())</f>
        <v/>
      </c>
      <c r="NR4" s="19">
        <f>SQRT(Parameters!$B$5)*Factors!NR2+SQRT(Parameters!$B$6)*Factors!NR7+SQRT(Parameters!$B$7)*Factors!NR9+SQRT(Parameters!$B$9)*NORM.S.INV(RAND())</f>
        <v/>
      </c>
      <c r="NS4" s="19">
        <f>SQRT(Parameters!$B$5)*Factors!NS2+SQRT(Parameters!$B$6)*Factors!NS7+SQRT(Parameters!$B$7)*Factors!NS9+SQRT(Parameters!$B$9)*NORM.S.INV(RAND())</f>
        <v/>
      </c>
      <c r="NT4" s="19">
        <f>SQRT(Parameters!$B$5)*Factors!NT2+SQRT(Parameters!$B$6)*Factors!NT7+SQRT(Parameters!$B$7)*Factors!NT9+SQRT(Parameters!$B$9)*NORM.S.INV(RAND())</f>
        <v/>
      </c>
      <c r="NU4" s="19">
        <f>SQRT(Parameters!$B$5)*Factors!NU2+SQRT(Parameters!$B$6)*Factors!NU7+SQRT(Parameters!$B$7)*Factors!NU9+SQRT(Parameters!$B$9)*NORM.S.INV(RAND())</f>
        <v/>
      </c>
      <c r="NV4" s="19">
        <f>SQRT(Parameters!$B$5)*Factors!NV2+SQRT(Parameters!$B$6)*Factors!NV7+SQRT(Parameters!$B$7)*Factors!NV9+SQRT(Parameters!$B$9)*NORM.S.INV(RAND())</f>
        <v/>
      </c>
      <c r="NW4" s="19">
        <f>SQRT(Parameters!$B$5)*Factors!NW2+SQRT(Parameters!$B$6)*Factors!NW7+SQRT(Parameters!$B$7)*Factors!NW9+SQRT(Parameters!$B$9)*NORM.S.INV(RAND())</f>
        <v/>
      </c>
      <c r="NX4" s="19">
        <f>SQRT(Parameters!$B$5)*Factors!NX2+SQRT(Parameters!$B$6)*Factors!NX7+SQRT(Parameters!$B$7)*Factors!NX9+SQRT(Parameters!$B$9)*NORM.S.INV(RAND())</f>
        <v/>
      </c>
      <c r="NY4" s="19">
        <f>SQRT(Parameters!$B$5)*Factors!NY2+SQRT(Parameters!$B$6)*Factors!NY7+SQRT(Parameters!$B$7)*Factors!NY9+SQRT(Parameters!$B$9)*NORM.S.INV(RAND())</f>
        <v/>
      </c>
      <c r="NZ4" s="19">
        <f>SQRT(Parameters!$B$5)*Factors!NZ2+SQRT(Parameters!$B$6)*Factors!NZ7+SQRT(Parameters!$B$7)*Factors!NZ9+SQRT(Parameters!$B$9)*NORM.S.INV(RAND())</f>
        <v/>
      </c>
      <c r="OA4" s="19">
        <f>SQRT(Parameters!$B$5)*Factors!OA2+SQRT(Parameters!$B$6)*Factors!OA7+SQRT(Parameters!$B$7)*Factors!OA9+SQRT(Parameters!$B$9)*NORM.S.INV(RAND())</f>
        <v/>
      </c>
      <c r="OB4" s="19">
        <f>SQRT(Parameters!$B$5)*Factors!OB2+SQRT(Parameters!$B$6)*Factors!OB7+SQRT(Parameters!$B$7)*Factors!OB9+SQRT(Parameters!$B$9)*NORM.S.INV(RAND())</f>
        <v/>
      </c>
      <c r="OC4" s="19">
        <f>SQRT(Parameters!$B$5)*Factors!OC2+SQRT(Parameters!$B$6)*Factors!OC7+SQRT(Parameters!$B$7)*Factors!OC9+SQRT(Parameters!$B$9)*NORM.S.INV(RAND())</f>
        <v/>
      </c>
      <c r="OD4" s="19">
        <f>SQRT(Parameters!$B$5)*Factors!OD2+SQRT(Parameters!$B$6)*Factors!OD7+SQRT(Parameters!$B$7)*Factors!OD9+SQRT(Parameters!$B$9)*NORM.S.INV(RAND())</f>
        <v/>
      </c>
      <c r="OE4" s="19">
        <f>SQRT(Parameters!$B$5)*Factors!OE2+SQRT(Parameters!$B$6)*Factors!OE7+SQRT(Parameters!$B$7)*Factors!OE9+SQRT(Parameters!$B$9)*NORM.S.INV(RAND())</f>
        <v/>
      </c>
      <c r="OF4" s="19">
        <f>SQRT(Parameters!$B$5)*Factors!OF2+SQRT(Parameters!$B$6)*Factors!OF7+SQRT(Parameters!$B$7)*Factors!OF9+SQRT(Parameters!$B$9)*NORM.S.INV(RAND())</f>
        <v/>
      </c>
      <c r="OG4" s="19">
        <f>SQRT(Parameters!$B$5)*Factors!OG2+SQRT(Parameters!$B$6)*Factors!OG7+SQRT(Parameters!$B$7)*Factors!OG9+SQRT(Parameters!$B$9)*NORM.S.INV(RAND())</f>
        <v/>
      </c>
      <c r="OH4" s="19">
        <f>SQRT(Parameters!$B$5)*Factors!OH2+SQRT(Parameters!$B$6)*Factors!OH7+SQRT(Parameters!$B$7)*Factors!OH9+SQRT(Parameters!$B$9)*NORM.S.INV(RAND())</f>
        <v/>
      </c>
      <c r="OI4" s="19">
        <f>SQRT(Parameters!$B$5)*Factors!OI2+SQRT(Parameters!$B$6)*Factors!OI7+SQRT(Parameters!$B$7)*Factors!OI9+SQRT(Parameters!$B$9)*NORM.S.INV(RAND())</f>
        <v/>
      </c>
      <c r="OJ4" s="19">
        <f>SQRT(Parameters!$B$5)*Factors!OJ2+SQRT(Parameters!$B$6)*Factors!OJ7+SQRT(Parameters!$B$7)*Factors!OJ9+SQRT(Parameters!$B$9)*NORM.S.INV(RAND())</f>
        <v/>
      </c>
      <c r="OK4" s="19">
        <f>SQRT(Parameters!$B$5)*Factors!OK2+SQRT(Parameters!$B$6)*Factors!OK7+SQRT(Parameters!$B$7)*Factors!OK9+SQRT(Parameters!$B$9)*NORM.S.INV(RAND())</f>
        <v/>
      </c>
      <c r="OL4" s="19">
        <f>SQRT(Parameters!$B$5)*Factors!OL2+SQRT(Parameters!$B$6)*Factors!OL7+SQRT(Parameters!$B$7)*Factors!OL9+SQRT(Parameters!$B$9)*NORM.S.INV(RAND())</f>
        <v/>
      </c>
      <c r="OM4" s="19">
        <f>SQRT(Parameters!$B$5)*Factors!OM2+SQRT(Parameters!$B$6)*Factors!OM7+SQRT(Parameters!$B$7)*Factors!OM9+SQRT(Parameters!$B$9)*NORM.S.INV(RAND())</f>
        <v/>
      </c>
      <c r="ON4" s="19">
        <f>SQRT(Parameters!$B$5)*Factors!ON2+SQRT(Parameters!$B$6)*Factors!ON7+SQRT(Parameters!$B$7)*Factors!ON9+SQRT(Parameters!$B$9)*NORM.S.INV(RAND())</f>
        <v/>
      </c>
      <c r="OO4" s="19">
        <f>SQRT(Parameters!$B$5)*Factors!OO2+SQRT(Parameters!$B$6)*Factors!OO7+SQRT(Parameters!$B$7)*Factors!OO9+SQRT(Parameters!$B$9)*NORM.S.INV(RAND())</f>
        <v/>
      </c>
      <c r="OP4" s="19">
        <f>SQRT(Parameters!$B$5)*Factors!OP2+SQRT(Parameters!$B$6)*Factors!OP7+SQRT(Parameters!$B$7)*Factors!OP9+SQRT(Parameters!$B$9)*NORM.S.INV(RAND())</f>
        <v/>
      </c>
      <c r="OQ4" s="19">
        <f>SQRT(Parameters!$B$5)*Factors!OQ2+SQRT(Parameters!$B$6)*Factors!OQ7+SQRT(Parameters!$B$7)*Factors!OQ9+SQRT(Parameters!$B$9)*NORM.S.INV(RAND())</f>
        <v/>
      </c>
      <c r="OR4" s="19">
        <f>SQRT(Parameters!$B$5)*Factors!OR2+SQRT(Parameters!$B$6)*Factors!OR7+SQRT(Parameters!$B$7)*Factors!OR9+SQRT(Parameters!$B$9)*NORM.S.INV(RAND())</f>
        <v/>
      </c>
      <c r="OS4" s="19">
        <f>SQRT(Parameters!$B$5)*Factors!OS2+SQRT(Parameters!$B$6)*Factors!OS7+SQRT(Parameters!$B$7)*Factors!OS9+SQRT(Parameters!$B$9)*NORM.S.INV(RAND())</f>
        <v/>
      </c>
      <c r="OT4" s="19">
        <f>SQRT(Parameters!$B$5)*Factors!OT2+SQRT(Parameters!$B$6)*Factors!OT7+SQRT(Parameters!$B$7)*Factors!OT9+SQRT(Parameters!$B$9)*NORM.S.INV(RAND())</f>
        <v/>
      </c>
      <c r="OU4" s="19">
        <f>SQRT(Parameters!$B$5)*Factors!OU2+SQRT(Parameters!$B$6)*Factors!OU7+SQRT(Parameters!$B$7)*Factors!OU9+SQRT(Parameters!$B$9)*NORM.S.INV(RAND())</f>
        <v/>
      </c>
      <c r="OV4" s="19">
        <f>SQRT(Parameters!$B$5)*Factors!OV2+SQRT(Parameters!$B$6)*Factors!OV7+SQRT(Parameters!$B$7)*Factors!OV9+SQRT(Parameters!$B$9)*NORM.S.INV(RAND())</f>
        <v/>
      </c>
      <c r="OW4" s="19">
        <f>SQRT(Parameters!$B$5)*Factors!OW2+SQRT(Parameters!$B$6)*Factors!OW7+SQRT(Parameters!$B$7)*Factors!OW9+SQRT(Parameters!$B$9)*NORM.S.INV(RAND())</f>
        <v/>
      </c>
      <c r="OX4" s="19">
        <f>SQRT(Parameters!$B$5)*Factors!OX2+SQRT(Parameters!$B$6)*Factors!OX7+SQRT(Parameters!$B$7)*Factors!OX9+SQRT(Parameters!$B$9)*NORM.S.INV(RAND())</f>
        <v/>
      </c>
      <c r="OY4" s="19">
        <f>SQRT(Parameters!$B$5)*Factors!OY2+SQRT(Parameters!$B$6)*Factors!OY7+SQRT(Parameters!$B$7)*Factors!OY9+SQRT(Parameters!$B$9)*NORM.S.INV(RAND())</f>
        <v/>
      </c>
      <c r="OZ4" s="19">
        <f>SQRT(Parameters!$B$5)*Factors!OZ2+SQRT(Parameters!$B$6)*Factors!OZ7+SQRT(Parameters!$B$7)*Factors!OZ9+SQRT(Parameters!$B$9)*NORM.S.INV(RAND())</f>
        <v/>
      </c>
      <c r="PA4" s="19">
        <f>SQRT(Parameters!$B$5)*Factors!PA2+SQRT(Parameters!$B$6)*Factors!PA7+SQRT(Parameters!$B$7)*Factors!PA9+SQRT(Parameters!$B$9)*NORM.S.INV(RAND())</f>
        <v/>
      </c>
      <c r="PB4" s="19">
        <f>SQRT(Parameters!$B$5)*Factors!PB2+SQRT(Parameters!$B$6)*Factors!PB7+SQRT(Parameters!$B$7)*Factors!PB9+SQRT(Parameters!$B$9)*NORM.S.INV(RAND())</f>
        <v/>
      </c>
      <c r="PC4" s="19">
        <f>SQRT(Parameters!$B$5)*Factors!PC2+SQRT(Parameters!$B$6)*Factors!PC7+SQRT(Parameters!$B$7)*Factors!PC9+SQRT(Parameters!$B$9)*NORM.S.INV(RAND())</f>
        <v/>
      </c>
      <c r="PD4" s="19">
        <f>SQRT(Parameters!$B$5)*Factors!PD2+SQRT(Parameters!$B$6)*Factors!PD7+SQRT(Parameters!$B$7)*Factors!PD9+SQRT(Parameters!$B$9)*NORM.S.INV(RAND())</f>
        <v/>
      </c>
      <c r="PE4" s="19">
        <f>SQRT(Parameters!$B$5)*Factors!PE2+SQRT(Parameters!$B$6)*Factors!PE7+SQRT(Parameters!$B$7)*Factors!PE9+SQRT(Parameters!$B$9)*NORM.S.INV(RAND())</f>
        <v/>
      </c>
      <c r="PF4" s="19">
        <f>SQRT(Parameters!$B$5)*Factors!PF2+SQRT(Parameters!$B$6)*Factors!PF7+SQRT(Parameters!$B$7)*Factors!PF9+SQRT(Parameters!$B$9)*NORM.S.INV(RAND())</f>
        <v/>
      </c>
      <c r="PG4" s="19">
        <f>SQRT(Parameters!$B$5)*Factors!PG2+SQRT(Parameters!$B$6)*Factors!PG7+SQRT(Parameters!$B$7)*Factors!PG9+SQRT(Parameters!$B$9)*NORM.S.INV(RAND())</f>
        <v/>
      </c>
      <c r="PH4" s="19">
        <f>SQRT(Parameters!$B$5)*Factors!PH2+SQRT(Parameters!$B$6)*Factors!PH7+SQRT(Parameters!$B$7)*Factors!PH9+SQRT(Parameters!$B$9)*NORM.S.INV(RAND())</f>
        <v/>
      </c>
      <c r="PI4" s="19">
        <f>SQRT(Parameters!$B$5)*Factors!PI2+SQRT(Parameters!$B$6)*Factors!PI7+SQRT(Parameters!$B$7)*Factors!PI9+SQRT(Parameters!$B$9)*NORM.S.INV(RAND())</f>
        <v/>
      </c>
      <c r="PJ4" s="19">
        <f>SQRT(Parameters!$B$5)*Factors!PJ2+SQRT(Parameters!$B$6)*Factors!PJ7+SQRT(Parameters!$B$7)*Factors!PJ9+SQRT(Parameters!$B$9)*NORM.S.INV(RAND())</f>
        <v/>
      </c>
      <c r="PK4" s="19">
        <f>SQRT(Parameters!$B$5)*Factors!PK2+SQRT(Parameters!$B$6)*Factors!PK7+SQRT(Parameters!$B$7)*Factors!PK9+SQRT(Parameters!$B$9)*NORM.S.INV(RAND())</f>
        <v/>
      </c>
      <c r="PL4" s="19">
        <f>SQRT(Parameters!$B$5)*Factors!PL2+SQRT(Parameters!$B$6)*Factors!PL7+SQRT(Parameters!$B$7)*Factors!PL9+SQRT(Parameters!$B$9)*NORM.S.INV(RAND())</f>
        <v/>
      </c>
      <c r="PM4" s="19">
        <f>SQRT(Parameters!$B$5)*Factors!PM2+SQRT(Parameters!$B$6)*Factors!PM7+SQRT(Parameters!$B$7)*Factors!PM9+SQRT(Parameters!$B$9)*NORM.S.INV(RAND())</f>
        <v/>
      </c>
      <c r="PN4" s="19">
        <f>SQRT(Parameters!$B$5)*Factors!PN2+SQRT(Parameters!$B$6)*Factors!PN7+SQRT(Parameters!$B$7)*Factors!PN9+SQRT(Parameters!$B$9)*NORM.S.INV(RAND())</f>
        <v/>
      </c>
      <c r="PO4" s="19">
        <f>SQRT(Parameters!$B$5)*Factors!PO2+SQRT(Parameters!$B$6)*Factors!PO7+SQRT(Parameters!$B$7)*Factors!PO9+SQRT(Parameters!$B$9)*NORM.S.INV(RAND())</f>
        <v/>
      </c>
      <c r="PP4" s="19">
        <f>SQRT(Parameters!$B$5)*Factors!PP2+SQRT(Parameters!$B$6)*Factors!PP7+SQRT(Parameters!$B$7)*Factors!PP9+SQRT(Parameters!$B$9)*NORM.S.INV(RAND())</f>
        <v/>
      </c>
      <c r="PQ4" s="19">
        <f>SQRT(Parameters!$B$5)*Factors!PQ2+SQRT(Parameters!$B$6)*Factors!PQ7+SQRT(Parameters!$B$7)*Factors!PQ9+SQRT(Parameters!$B$9)*NORM.S.INV(RAND())</f>
        <v/>
      </c>
      <c r="PR4" s="19">
        <f>SQRT(Parameters!$B$5)*Factors!PR2+SQRT(Parameters!$B$6)*Factors!PR7+SQRT(Parameters!$B$7)*Factors!PR9+SQRT(Parameters!$B$9)*NORM.S.INV(RAND())</f>
        <v/>
      </c>
      <c r="PS4" s="19">
        <f>SQRT(Parameters!$B$5)*Factors!PS2+SQRT(Parameters!$B$6)*Factors!PS7+SQRT(Parameters!$B$7)*Factors!PS9+SQRT(Parameters!$B$9)*NORM.S.INV(RAND())</f>
        <v/>
      </c>
      <c r="PT4" s="19">
        <f>SQRT(Parameters!$B$5)*Factors!PT2+SQRT(Parameters!$B$6)*Factors!PT7+SQRT(Parameters!$B$7)*Factors!PT9+SQRT(Parameters!$B$9)*NORM.S.INV(RAND())</f>
        <v/>
      </c>
      <c r="PU4" s="19">
        <f>SQRT(Parameters!$B$5)*Factors!PU2+SQRT(Parameters!$B$6)*Factors!PU7+SQRT(Parameters!$B$7)*Factors!PU9+SQRT(Parameters!$B$9)*NORM.S.INV(RAND())</f>
        <v/>
      </c>
      <c r="PV4" s="19">
        <f>SQRT(Parameters!$B$5)*Factors!PV2+SQRT(Parameters!$B$6)*Factors!PV7+SQRT(Parameters!$B$7)*Factors!PV9+SQRT(Parameters!$B$9)*NORM.S.INV(RAND())</f>
        <v/>
      </c>
      <c r="PW4" s="19">
        <f>SQRT(Parameters!$B$5)*Factors!PW2+SQRT(Parameters!$B$6)*Factors!PW7+SQRT(Parameters!$B$7)*Factors!PW9+SQRT(Parameters!$B$9)*NORM.S.INV(RAND())</f>
        <v/>
      </c>
      <c r="PX4" s="19">
        <f>SQRT(Parameters!$B$5)*Factors!PX2+SQRT(Parameters!$B$6)*Factors!PX7+SQRT(Parameters!$B$7)*Factors!PX9+SQRT(Parameters!$B$9)*NORM.S.INV(RAND())</f>
        <v/>
      </c>
      <c r="PY4" s="19">
        <f>SQRT(Parameters!$B$5)*Factors!PY2+SQRT(Parameters!$B$6)*Factors!PY7+SQRT(Parameters!$B$7)*Factors!PY9+SQRT(Parameters!$B$9)*NORM.S.INV(RAND())</f>
        <v/>
      </c>
      <c r="PZ4" s="19">
        <f>SQRT(Parameters!$B$5)*Factors!PZ2+SQRT(Parameters!$B$6)*Factors!PZ7+SQRT(Parameters!$B$7)*Factors!PZ9+SQRT(Parameters!$B$9)*NORM.S.INV(RAND())</f>
        <v/>
      </c>
      <c r="QA4" s="19">
        <f>SQRT(Parameters!$B$5)*Factors!QA2+SQRT(Parameters!$B$6)*Factors!QA7+SQRT(Parameters!$B$7)*Factors!QA9+SQRT(Parameters!$B$9)*NORM.S.INV(RAND())</f>
        <v/>
      </c>
      <c r="QB4" s="19">
        <f>SQRT(Parameters!$B$5)*Factors!QB2+SQRT(Parameters!$B$6)*Factors!QB7+SQRT(Parameters!$B$7)*Factors!QB9+SQRT(Parameters!$B$9)*NORM.S.INV(RAND())</f>
        <v/>
      </c>
      <c r="QC4" s="19">
        <f>SQRT(Parameters!$B$5)*Factors!QC2+SQRT(Parameters!$B$6)*Factors!QC7+SQRT(Parameters!$B$7)*Factors!QC9+SQRT(Parameters!$B$9)*NORM.S.INV(RAND())</f>
        <v/>
      </c>
      <c r="QD4" s="19">
        <f>SQRT(Parameters!$B$5)*Factors!QD2+SQRT(Parameters!$B$6)*Factors!QD7+SQRT(Parameters!$B$7)*Factors!QD9+SQRT(Parameters!$B$9)*NORM.S.INV(RAND())</f>
        <v/>
      </c>
      <c r="QE4" s="19">
        <f>SQRT(Parameters!$B$5)*Factors!QE2+SQRT(Parameters!$B$6)*Factors!QE7+SQRT(Parameters!$B$7)*Factors!QE9+SQRT(Parameters!$B$9)*NORM.S.INV(RAND())</f>
        <v/>
      </c>
      <c r="QF4" s="19">
        <f>SQRT(Parameters!$B$5)*Factors!QF2+SQRT(Parameters!$B$6)*Factors!QF7+SQRT(Parameters!$B$7)*Factors!QF9+SQRT(Parameters!$B$9)*NORM.S.INV(RAND())</f>
        <v/>
      </c>
      <c r="QG4" s="19">
        <f>SQRT(Parameters!$B$5)*Factors!QG2+SQRT(Parameters!$B$6)*Factors!QG7+SQRT(Parameters!$B$7)*Factors!QG9+SQRT(Parameters!$B$9)*NORM.S.INV(RAND())</f>
        <v/>
      </c>
      <c r="QH4" s="19">
        <f>SQRT(Parameters!$B$5)*Factors!QH2+SQRT(Parameters!$B$6)*Factors!QH7+SQRT(Parameters!$B$7)*Factors!QH9+SQRT(Parameters!$B$9)*NORM.S.INV(RAND())</f>
        <v/>
      </c>
      <c r="QI4" s="19">
        <f>SQRT(Parameters!$B$5)*Factors!QI2+SQRT(Parameters!$B$6)*Factors!QI7+SQRT(Parameters!$B$7)*Factors!QI9+SQRT(Parameters!$B$9)*NORM.S.INV(RAND())</f>
        <v/>
      </c>
      <c r="QJ4" s="19">
        <f>SQRT(Parameters!$B$5)*Factors!QJ2+SQRT(Parameters!$B$6)*Factors!QJ7+SQRT(Parameters!$B$7)*Factors!QJ9+SQRT(Parameters!$B$9)*NORM.S.INV(RAND())</f>
        <v/>
      </c>
      <c r="QK4" s="19">
        <f>SQRT(Parameters!$B$5)*Factors!QK2+SQRT(Parameters!$B$6)*Factors!QK7+SQRT(Parameters!$B$7)*Factors!QK9+SQRT(Parameters!$B$9)*NORM.S.INV(RAND())</f>
        <v/>
      </c>
      <c r="QL4" s="19">
        <f>SQRT(Parameters!$B$5)*Factors!QL2+SQRT(Parameters!$B$6)*Factors!QL7+SQRT(Parameters!$B$7)*Factors!QL9+SQRT(Parameters!$B$9)*NORM.S.INV(RAND())</f>
        <v/>
      </c>
      <c r="QM4" s="19">
        <f>SQRT(Parameters!$B$5)*Factors!QM2+SQRT(Parameters!$B$6)*Factors!QM7+SQRT(Parameters!$B$7)*Factors!QM9+SQRT(Parameters!$B$9)*NORM.S.INV(RAND())</f>
        <v/>
      </c>
      <c r="QN4" s="19">
        <f>SQRT(Parameters!$B$5)*Factors!QN2+SQRT(Parameters!$B$6)*Factors!QN7+SQRT(Parameters!$B$7)*Factors!QN9+SQRT(Parameters!$B$9)*NORM.S.INV(RAND())</f>
        <v/>
      </c>
      <c r="QO4" s="19">
        <f>SQRT(Parameters!$B$5)*Factors!QO2+SQRT(Parameters!$B$6)*Factors!QO7+SQRT(Parameters!$B$7)*Factors!QO9+SQRT(Parameters!$B$9)*NORM.S.INV(RAND())</f>
        <v/>
      </c>
      <c r="QP4" s="19">
        <f>SQRT(Parameters!$B$5)*Factors!QP2+SQRT(Parameters!$B$6)*Factors!QP7+SQRT(Parameters!$B$7)*Factors!QP9+SQRT(Parameters!$B$9)*NORM.S.INV(RAND())</f>
        <v/>
      </c>
      <c r="QQ4" s="19">
        <f>SQRT(Parameters!$B$5)*Factors!QQ2+SQRT(Parameters!$B$6)*Factors!QQ7+SQRT(Parameters!$B$7)*Factors!QQ9+SQRT(Parameters!$B$9)*NORM.S.INV(RAND())</f>
        <v/>
      </c>
      <c r="QR4" s="19">
        <f>SQRT(Parameters!$B$5)*Factors!QR2+SQRT(Parameters!$B$6)*Factors!QR7+SQRT(Parameters!$B$7)*Factors!QR9+SQRT(Parameters!$B$9)*NORM.S.INV(RAND())</f>
        <v/>
      </c>
      <c r="QS4" s="19">
        <f>SQRT(Parameters!$B$5)*Factors!QS2+SQRT(Parameters!$B$6)*Factors!QS7+SQRT(Parameters!$B$7)*Factors!QS9+SQRT(Parameters!$B$9)*NORM.S.INV(RAND())</f>
        <v/>
      </c>
      <c r="QT4" s="19">
        <f>SQRT(Parameters!$B$5)*Factors!QT2+SQRT(Parameters!$B$6)*Factors!QT7+SQRT(Parameters!$B$7)*Factors!QT9+SQRT(Parameters!$B$9)*NORM.S.INV(RAND())</f>
        <v/>
      </c>
      <c r="QU4" s="19">
        <f>SQRT(Parameters!$B$5)*Factors!QU2+SQRT(Parameters!$B$6)*Factors!QU7+SQRT(Parameters!$B$7)*Factors!QU9+SQRT(Parameters!$B$9)*NORM.S.INV(RAND())</f>
        <v/>
      </c>
      <c r="QV4" s="19">
        <f>SQRT(Parameters!$B$5)*Factors!QV2+SQRT(Parameters!$B$6)*Factors!QV7+SQRT(Parameters!$B$7)*Factors!QV9+SQRT(Parameters!$B$9)*NORM.S.INV(RAND())</f>
        <v/>
      </c>
      <c r="QW4" s="19">
        <f>SQRT(Parameters!$B$5)*Factors!QW2+SQRT(Parameters!$B$6)*Factors!QW7+SQRT(Parameters!$B$7)*Factors!QW9+SQRT(Parameters!$B$9)*NORM.S.INV(RAND())</f>
        <v/>
      </c>
      <c r="QX4" s="19">
        <f>SQRT(Parameters!$B$5)*Factors!QX2+SQRT(Parameters!$B$6)*Factors!QX7+SQRT(Parameters!$B$7)*Factors!QX9+SQRT(Parameters!$B$9)*NORM.S.INV(RAND())</f>
        <v/>
      </c>
      <c r="QY4" s="19">
        <f>SQRT(Parameters!$B$5)*Factors!QY2+SQRT(Parameters!$B$6)*Factors!QY7+SQRT(Parameters!$B$7)*Factors!QY9+SQRT(Parameters!$B$9)*NORM.S.INV(RAND())</f>
        <v/>
      </c>
      <c r="QZ4" s="19">
        <f>SQRT(Parameters!$B$5)*Factors!QZ2+SQRT(Parameters!$B$6)*Factors!QZ7+SQRT(Parameters!$B$7)*Factors!QZ9+SQRT(Parameters!$B$9)*NORM.S.INV(RAND())</f>
        <v/>
      </c>
      <c r="RA4" s="19">
        <f>SQRT(Parameters!$B$5)*Factors!RA2+SQRT(Parameters!$B$6)*Factors!RA7+SQRT(Parameters!$B$7)*Factors!RA9+SQRT(Parameters!$B$9)*NORM.S.INV(RAND())</f>
        <v/>
      </c>
      <c r="RB4" s="19">
        <f>SQRT(Parameters!$B$5)*Factors!RB2+SQRT(Parameters!$B$6)*Factors!RB7+SQRT(Parameters!$B$7)*Factors!RB9+SQRT(Parameters!$B$9)*NORM.S.INV(RAND())</f>
        <v/>
      </c>
      <c r="RC4" s="19">
        <f>SQRT(Parameters!$B$5)*Factors!RC2+SQRT(Parameters!$B$6)*Factors!RC7+SQRT(Parameters!$B$7)*Factors!RC9+SQRT(Parameters!$B$9)*NORM.S.INV(RAND())</f>
        <v/>
      </c>
      <c r="RD4" s="19">
        <f>SQRT(Parameters!$B$5)*Factors!RD2+SQRT(Parameters!$B$6)*Factors!RD7+SQRT(Parameters!$B$7)*Factors!RD9+SQRT(Parameters!$B$9)*NORM.S.INV(RAND())</f>
        <v/>
      </c>
      <c r="RE4" s="19">
        <f>SQRT(Parameters!$B$5)*Factors!RE2+SQRT(Parameters!$B$6)*Factors!RE7+SQRT(Parameters!$B$7)*Factors!RE9+SQRT(Parameters!$B$9)*NORM.S.INV(RAND())</f>
        <v/>
      </c>
      <c r="RF4" s="19">
        <f>SQRT(Parameters!$B$5)*Factors!RF2+SQRT(Parameters!$B$6)*Factors!RF7+SQRT(Parameters!$B$7)*Factors!RF9+SQRT(Parameters!$B$9)*NORM.S.INV(RAND())</f>
        <v/>
      </c>
      <c r="RG4" s="19">
        <f>SQRT(Parameters!$B$5)*Factors!RG2+SQRT(Parameters!$B$6)*Factors!RG7+SQRT(Parameters!$B$7)*Factors!RG9+SQRT(Parameters!$B$9)*NORM.S.INV(RAND())</f>
        <v/>
      </c>
      <c r="RH4" s="19">
        <f>SQRT(Parameters!$B$5)*Factors!RH2+SQRT(Parameters!$B$6)*Factors!RH7+SQRT(Parameters!$B$7)*Factors!RH9+SQRT(Parameters!$B$9)*NORM.S.INV(RAND())</f>
        <v/>
      </c>
      <c r="RI4" s="19">
        <f>SQRT(Parameters!$B$5)*Factors!RI2+SQRT(Parameters!$B$6)*Factors!RI7+SQRT(Parameters!$B$7)*Factors!RI9+SQRT(Parameters!$B$9)*NORM.S.INV(RAND())</f>
        <v/>
      </c>
      <c r="RJ4" s="19">
        <f>SQRT(Parameters!$B$5)*Factors!RJ2+SQRT(Parameters!$B$6)*Factors!RJ7+SQRT(Parameters!$B$7)*Factors!RJ9+SQRT(Parameters!$B$9)*NORM.S.INV(RAND())</f>
        <v/>
      </c>
      <c r="RK4" s="19">
        <f>SQRT(Parameters!$B$5)*Factors!RK2+SQRT(Parameters!$B$6)*Factors!RK7+SQRT(Parameters!$B$7)*Factors!RK9+SQRT(Parameters!$B$9)*NORM.S.INV(RAND())</f>
        <v/>
      </c>
      <c r="RL4" s="19">
        <f>SQRT(Parameters!$B$5)*Factors!RL2+SQRT(Parameters!$B$6)*Factors!RL7+SQRT(Parameters!$B$7)*Factors!RL9+SQRT(Parameters!$B$9)*NORM.S.INV(RAND())</f>
        <v/>
      </c>
      <c r="RM4" s="19">
        <f>SQRT(Parameters!$B$5)*Factors!RM2+SQRT(Parameters!$B$6)*Factors!RM7+SQRT(Parameters!$B$7)*Factors!RM9+SQRT(Parameters!$B$9)*NORM.S.INV(RAND())</f>
        <v/>
      </c>
      <c r="RN4" s="19">
        <f>SQRT(Parameters!$B$5)*Factors!RN2+SQRT(Parameters!$B$6)*Factors!RN7+SQRT(Parameters!$B$7)*Factors!RN9+SQRT(Parameters!$B$9)*NORM.S.INV(RAND())</f>
        <v/>
      </c>
      <c r="RO4" s="19">
        <f>SQRT(Parameters!$B$5)*Factors!RO2+SQRT(Parameters!$B$6)*Factors!RO7+SQRT(Parameters!$B$7)*Factors!RO9+SQRT(Parameters!$B$9)*NORM.S.INV(RAND())</f>
        <v/>
      </c>
      <c r="RP4" s="19">
        <f>SQRT(Parameters!$B$5)*Factors!RP2+SQRT(Parameters!$B$6)*Factors!RP7+SQRT(Parameters!$B$7)*Factors!RP9+SQRT(Parameters!$B$9)*NORM.S.INV(RAND())</f>
        <v/>
      </c>
      <c r="RQ4" s="19">
        <f>SQRT(Parameters!$B$5)*Factors!RQ2+SQRT(Parameters!$B$6)*Factors!RQ7+SQRT(Parameters!$B$7)*Factors!RQ9+SQRT(Parameters!$B$9)*NORM.S.INV(RAND())</f>
        <v/>
      </c>
      <c r="RR4" s="19">
        <f>SQRT(Parameters!$B$5)*Factors!RR2+SQRT(Parameters!$B$6)*Factors!RR7+SQRT(Parameters!$B$7)*Factors!RR9+SQRT(Parameters!$B$9)*NORM.S.INV(RAND())</f>
        <v/>
      </c>
      <c r="RS4" s="19">
        <f>SQRT(Parameters!$B$5)*Factors!RS2+SQRT(Parameters!$B$6)*Factors!RS7+SQRT(Parameters!$B$7)*Factors!RS9+SQRT(Parameters!$B$9)*NORM.S.INV(RAND())</f>
        <v/>
      </c>
      <c r="RT4" s="19">
        <f>SQRT(Parameters!$B$5)*Factors!RT2+SQRT(Parameters!$B$6)*Factors!RT7+SQRT(Parameters!$B$7)*Factors!RT9+SQRT(Parameters!$B$9)*NORM.S.INV(RAND())</f>
        <v/>
      </c>
      <c r="RU4" s="19">
        <f>SQRT(Parameters!$B$5)*Factors!RU2+SQRT(Parameters!$B$6)*Factors!RU7+SQRT(Parameters!$B$7)*Factors!RU9+SQRT(Parameters!$B$9)*NORM.S.INV(RAND())</f>
        <v/>
      </c>
      <c r="RV4" s="19">
        <f>SQRT(Parameters!$B$5)*Factors!RV2+SQRT(Parameters!$B$6)*Factors!RV7+SQRT(Parameters!$B$7)*Factors!RV9+SQRT(Parameters!$B$9)*NORM.S.INV(RAND())</f>
        <v/>
      </c>
      <c r="RW4" s="19">
        <f>SQRT(Parameters!$B$5)*Factors!RW2+SQRT(Parameters!$B$6)*Factors!RW7+SQRT(Parameters!$B$7)*Factors!RW9+SQRT(Parameters!$B$9)*NORM.S.INV(RAND())</f>
        <v/>
      </c>
      <c r="RX4" s="19">
        <f>SQRT(Parameters!$B$5)*Factors!RX2+SQRT(Parameters!$B$6)*Factors!RX7+SQRT(Parameters!$B$7)*Factors!RX9+SQRT(Parameters!$B$9)*NORM.S.INV(RAND())</f>
        <v/>
      </c>
      <c r="RY4" s="19">
        <f>SQRT(Parameters!$B$5)*Factors!RY2+SQRT(Parameters!$B$6)*Factors!RY7+SQRT(Parameters!$B$7)*Factors!RY9+SQRT(Parameters!$B$9)*NORM.S.INV(RAND())</f>
        <v/>
      </c>
      <c r="RZ4" s="19">
        <f>SQRT(Parameters!$B$5)*Factors!RZ2+SQRT(Parameters!$B$6)*Factors!RZ7+SQRT(Parameters!$B$7)*Factors!RZ9+SQRT(Parameters!$B$9)*NORM.S.INV(RAND())</f>
        <v/>
      </c>
      <c r="SA4" s="19">
        <f>SQRT(Parameters!$B$5)*Factors!SA2+SQRT(Parameters!$B$6)*Factors!SA7+SQRT(Parameters!$B$7)*Factors!SA9+SQRT(Parameters!$B$9)*NORM.S.INV(RAND())</f>
        <v/>
      </c>
      <c r="SB4" s="19">
        <f>SQRT(Parameters!$B$5)*Factors!SB2+SQRT(Parameters!$B$6)*Factors!SB7+SQRT(Parameters!$B$7)*Factors!SB9+SQRT(Parameters!$B$9)*NORM.S.INV(RAND())</f>
        <v/>
      </c>
      <c r="SC4" s="19">
        <f>SQRT(Parameters!$B$5)*Factors!SC2+SQRT(Parameters!$B$6)*Factors!SC7+SQRT(Parameters!$B$7)*Factors!SC9+SQRT(Parameters!$B$9)*NORM.S.INV(RAND())</f>
        <v/>
      </c>
      <c r="SD4" s="19">
        <f>SQRT(Parameters!$B$5)*Factors!SD2+SQRT(Parameters!$B$6)*Factors!SD7+SQRT(Parameters!$B$7)*Factors!SD9+SQRT(Parameters!$B$9)*NORM.S.INV(RAND())</f>
        <v/>
      </c>
      <c r="SE4" s="19">
        <f>SQRT(Parameters!$B$5)*Factors!SE2+SQRT(Parameters!$B$6)*Factors!SE7+SQRT(Parameters!$B$7)*Factors!SE9+SQRT(Parameters!$B$9)*NORM.S.INV(RAND())</f>
        <v/>
      </c>
      <c r="SF4" s="19">
        <f>SQRT(Parameters!$B$5)*Factors!SF2+SQRT(Parameters!$B$6)*Factors!SF7+SQRT(Parameters!$B$7)*Factors!SF9+SQRT(Parameters!$B$9)*NORM.S.INV(RAND())</f>
        <v/>
      </c>
      <c r="SG4" s="19">
        <f>SQRT(Parameters!$B$5)*Factors!SG2+SQRT(Parameters!$B$6)*Factors!SG7+SQRT(Parameters!$B$7)*Factors!SG9+SQRT(Parameters!$B$9)*NORM.S.INV(RAND())</f>
        <v/>
      </c>
    </row>
    <row r="5">
      <c r="A5" s="17" t="inlineStr">
        <is>
          <t>OBL-004</t>
        </is>
      </c>
      <c r="B5" s="19">
        <f>SQRT(Parameters!$B$5)*Factors!B2+SQRT(Parameters!$B$6)*Factors!B8+SQRT(Parameters!$B$7)*Factors!B10+SQRT(Parameters!$B$9)*NORM.S.INV(RAND())</f>
        <v/>
      </c>
      <c r="C5" s="19">
        <f>SQRT(Parameters!$B$5)*Factors!C2+SQRT(Parameters!$B$6)*Factors!C8+SQRT(Parameters!$B$7)*Factors!C10+SQRT(Parameters!$B$9)*NORM.S.INV(RAND())</f>
        <v/>
      </c>
      <c r="D5" s="19">
        <f>SQRT(Parameters!$B$5)*Factors!D2+SQRT(Parameters!$B$6)*Factors!D8+SQRT(Parameters!$B$7)*Factors!D10+SQRT(Parameters!$B$9)*NORM.S.INV(RAND())</f>
        <v/>
      </c>
      <c r="E5" s="19">
        <f>SQRT(Parameters!$B$5)*Factors!E2+SQRT(Parameters!$B$6)*Factors!E8+SQRT(Parameters!$B$7)*Factors!E10+SQRT(Parameters!$B$9)*NORM.S.INV(RAND())</f>
        <v/>
      </c>
      <c r="F5" s="19">
        <f>SQRT(Parameters!$B$5)*Factors!F2+SQRT(Parameters!$B$6)*Factors!F8+SQRT(Parameters!$B$7)*Factors!F10+SQRT(Parameters!$B$9)*NORM.S.INV(RAND())</f>
        <v/>
      </c>
      <c r="G5" s="19">
        <f>SQRT(Parameters!$B$5)*Factors!G2+SQRT(Parameters!$B$6)*Factors!G8+SQRT(Parameters!$B$7)*Factors!G10+SQRT(Parameters!$B$9)*NORM.S.INV(RAND())</f>
        <v/>
      </c>
      <c r="H5" s="19">
        <f>SQRT(Parameters!$B$5)*Factors!H2+SQRT(Parameters!$B$6)*Factors!H8+SQRT(Parameters!$B$7)*Factors!H10+SQRT(Parameters!$B$9)*NORM.S.INV(RAND())</f>
        <v/>
      </c>
      <c r="I5" s="19">
        <f>SQRT(Parameters!$B$5)*Factors!I2+SQRT(Parameters!$B$6)*Factors!I8+SQRT(Parameters!$B$7)*Factors!I10+SQRT(Parameters!$B$9)*NORM.S.INV(RAND())</f>
        <v/>
      </c>
      <c r="J5" s="19">
        <f>SQRT(Parameters!$B$5)*Factors!J2+SQRT(Parameters!$B$6)*Factors!J8+SQRT(Parameters!$B$7)*Factors!J10+SQRT(Parameters!$B$9)*NORM.S.INV(RAND())</f>
        <v/>
      </c>
      <c r="K5" s="19">
        <f>SQRT(Parameters!$B$5)*Factors!K2+SQRT(Parameters!$B$6)*Factors!K8+SQRT(Parameters!$B$7)*Factors!K10+SQRT(Parameters!$B$9)*NORM.S.INV(RAND())</f>
        <v/>
      </c>
      <c r="L5" s="19">
        <f>SQRT(Parameters!$B$5)*Factors!L2+SQRT(Parameters!$B$6)*Factors!L8+SQRT(Parameters!$B$7)*Factors!L10+SQRT(Parameters!$B$9)*NORM.S.INV(RAND())</f>
        <v/>
      </c>
      <c r="M5" s="19">
        <f>SQRT(Parameters!$B$5)*Factors!M2+SQRT(Parameters!$B$6)*Factors!M8+SQRT(Parameters!$B$7)*Factors!M10+SQRT(Parameters!$B$9)*NORM.S.INV(RAND())</f>
        <v/>
      </c>
      <c r="N5" s="19">
        <f>SQRT(Parameters!$B$5)*Factors!N2+SQRT(Parameters!$B$6)*Factors!N8+SQRT(Parameters!$B$7)*Factors!N10+SQRT(Parameters!$B$9)*NORM.S.INV(RAND())</f>
        <v/>
      </c>
      <c r="O5" s="19">
        <f>SQRT(Parameters!$B$5)*Factors!O2+SQRT(Parameters!$B$6)*Factors!O8+SQRT(Parameters!$B$7)*Factors!O10+SQRT(Parameters!$B$9)*NORM.S.INV(RAND())</f>
        <v/>
      </c>
      <c r="P5" s="19">
        <f>SQRT(Parameters!$B$5)*Factors!P2+SQRT(Parameters!$B$6)*Factors!P8+SQRT(Parameters!$B$7)*Factors!P10+SQRT(Parameters!$B$9)*NORM.S.INV(RAND())</f>
        <v/>
      </c>
      <c r="Q5" s="19">
        <f>SQRT(Parameters!$B$5)*Factors!Q2+SQRT(Parameters!$B$6)*Factors!Q8+SQRT(Parameters!$B$7)*Factors!Q10+SQRT(Parameters!$B$9)*NORM.S.INV(RAND())</f>
        <v/>
      </c>
      <c r="R5" s="19">
        <f>SQRT(Parameters!$B$5)*Factors!R2+SQRT(Parameters!$B$6)*Factors!R8+SQRT(Parameters!$B$7)*Factors!R10+SQRT(Parameters!$B$9)*NORM.S.INV(RAND())</f>
        <v/>
      </c>
      <c r="S5" s="19">
        <f>SQRT(Parameters!$B$5)*Factors!S2+SQRT(Parameters!$B$6)*Factors!S8+SQRT(Parameters!$B$7)*Factors!S10+SQRT(Parameters!$B$9)*NORM.S.INV(RAND())</f>
        <v/>
      </c>
      <c r="T5" s="19">
        <f>SQRT(Parameters!$B$5)*Factors!T2+SQRT(Parameters!$B$6)*Factors!T8+SQRT(Parameters!$B$7)*Factors!T10+SQRT(Parameters!$B$9)*NORM.S.INV(RAND())</f>
        <v/>
      </c>
      <c r="U5" s="19">
        <f>SQRT(Parameters!$B$5)*Factors!U2+SQRT(Parameters!$B$6)*Factors!U8+SQRT(Parameters!$B$7)*Factors!U10+SQRT(Parameters!$B$9)*NORM.S.INV(RAND())</f>
        <v/>
      </c>
      <c r="V5" s="19">
        <f>SQRT(Parameters!$B$5)*Factors!V2+SQRT(Parameters!$B$6)*Factors!V8+SQRT(Parameters!$B$7)*Factors!V10+SQRT(Parameters!$B$9)*NORM.S.INV(RAND())</f>
        <v/>
      </c>
      <c r="W5" s="19">
        <f>SQRT(Parameters!$B$5)*Factors!W2+SQRT(Parameters!$B$6)*Factors!W8+SQRT(Parameters!$B$7)*Factors!W10+SQRT(Parameters!$B$9)*NORM.S.INV(RAND())</f>
        <v/>
      </c>
      <c r="X5" s="19">
        <f>SQRT(Parameters!$B$5)*Factors!X2+SQRT(Parameters!$B$6)*Factors!X8+SQRT(Parameters!$B$7)*Factors!X10+SQRT(Parameters!$B$9)*NORM.S.INV(RAND())</f>
        <v/>
      </c>
      <c r="Y5" s="19">
        <f>SQRT(Parameters!$B$5)*Factors!Y2+SQRT(Parameters!$B$6)*Factors!Y8+SQRT(Parameters!$B$7)*Factors!Y10+SQRT(Parameters!$B$9)*NORM.S.INV(RAND())</f>
        <v/>
      </c>
      <c r="Z5" s="19">
        <f>SQRT(Parameters!$B$5)*Factors!Z2+SQRT(Parameters!$B$6)*Factors!Z8+SQRT(Parameters!$B$7)*Factors!Z10+SQRT(Parameters!$B$9)*NORM.S.INV(RAND())</f>
        <v/>
      </c>
      <c r="AA5" s="19">
        <f>SQRT(Parameters!$B$5)*Factors!AA2+SQRT(Parameters!$B$6)*Factors!AA8+SQRT(Parameters!$B$7)*Factors!AA10+SQRT(Parameters!$B$9)*NORM.S.INV(RAND())</f>
        <v/>
      </c>
      <c r="AB5" s="19">
        <f>SQRT(Parameters!$B$5)*Factors!AB2+SQRT(Parameters!$B$6)*Factors!AB8+SQRT(Parameters!$B$7)*Factors!AB10+SQRT(Parameters!$B$9)*NORM.S.INV(RAND())</f>
        <v/>
      </c>
      <c r="AC5" s="19">
        <f>SQRT(Parameters!$B$5)*Factors!AC2+SQRT(Parameters!$B$6)*Factors!AC8+SQRT(Parameters!$B$7)*Factors!AC10+SQRT(Parameters!$B$9)*NORM.S.INV(RAND())</f>
        <v/>
      </c>
      <c r="AD5" s="19">
        <f>SQRT(Parameters!$B$5)*Factors!AD2+SQRT(Parameters!$B$6)*Factors!AD8+SQRT(Parameters!$B$7)*Factors!AD10+SQRT(Parameters!$B$9)*NORM.S.INV(RAND())</f>
        <v/>
      </c>
      <c r="AE5" s="19">
        <f>SQRT(Parameters!$B$5)*Factors!AE2+SQRT(Parameters!$B$6)*Factors!AE8+SQRT(Parameters!$B$7)*Factors!AE10+SQRT(Parameters!$B$9)*NORM.S.INV(RAND())</f>
        <v/>
      </c>
      <c r="AF5" s="19">
        <f>SQRT(Parameters!$B$5)*Factors!AF2+SQRT(Parameters!$B$6)*Factors!AF8+SQRT(Parameters!$B$7)*Factors!AF10+SQRT(Parameters!$B$9)*NORM.S.INV(RAND())</f>
        <v/>
      </c>
      <c r="AG5" s="19">
        <f>SQRT(Parameters!$B$5)*Factors!AG2+SQRT(Parameters!$B$6)*Factors!AG8+SQRT(Parameters!$B$7)*Factors!AG10+SQRT(Parameters!$B$9)*NORM.S.INV(RAND())</f>
        <v/>
      </c>
      <c r="AH5" s="19">
        <f>SQRT(Parameters!$B$5)*Factors!AH2+SQRT(Parameters!$B$6)*Factors!AH8+SQRT(Parameters!$B$7)*Factors!AH10+SQRT(Parameters!$B$9)*NORM.S.INV(RAND())</f>
        <v/>
      </c>
      <c r="AI5" s="19">
        <f>SQRT(Parameters!$B$5)*Factors!AI2+SQRT(Parameters!$B$6)*Factors!AI8+SQRT(Parameters!$B$7)*Factors!AI10+SQRT(Parameters!$B$9)*NORM.S.INV(RAND())</f>
        <v/>
      </c>
      <c r="AJ5" s="19">
        <f>SQRT(Parameters!$B$5)*Factors!AJ2+SQRT(Parameters!$B$6)*Factors!AJ8+SQRT(Parameters!$B$7)*Factors!AJ10+SQRT(Parameters!$B$9)*NORM.S.INV(RAND())</f>
        <v/>
      </c>
      <c r="AK5" s="19">
        <f>SQRT(Parameters!$B$5)*Factors!AK2+SQRT(Parameters!$B$6)*Factors!AK8+SQRT(Parameters!$B$7)*Factors!AK10+SQRT(Parameters!$B$9)*NORM.S.INV(RAND())</f>
        <v/>
      </c>
      <c r="AL5" s="19">
        <f>SQRT(Parameters!$B$5)*Factors!AL2+SQRT(Parameters!$B$6)*Factors!AL8+SQRT(Parameters!$B$7)*Factors!AL10+SQRT(Parameters!$B$9)*NORM.S.INV(RAND())</f>
        <v/>
      </c>
      <c r="AM5" s="19">
        <f>SQRT(Parameters!$B$5)*Factors!AM2+SQRT(Parameters!$B$6)*Factors!AM8+SQRT(Parameters!$B$7)*Factors!AM10+SQRT(Parameters!$B$9)*NORM.S.INV(RAND())</f>
        <v/>
      </c>
      <c r="AN5" s="19">
        <f>SQRT(Parameters!$B$5)*Factors!AN2+SQRT(Parameters!$B$6)*Factors!AN8+SQRT(Parameters!$B$7)*Factors!AN10+SQRT(Parameters!$B$9)*NORM.S.INV(RAND())</f>
        <v/>
      </c>
      <c r="AO5" s="19">
        <f>SQRT(Parameters!$B$5)*Factors!AO2+SQRT(Parameters!$B$6)*Factors!AO8+SQRT(Parameters!$B$7)*Factors!AO10+SQRT(Parameters!$B$9)*NORM.S.INV(RAND())</f>
        <v/>
      </c>
      <c r="AP5" s="19">
        <f>SQRT(Parameters!$B$5)*Factors!AP2+SQRT(Parameters!$B$6)*Factors!AP8+SQRT(Parameters!$B$7)*Factors!AP10+SQRT(Parameters!$B$9)*NORM.S.INV(RAND())</f>
        <v/>
      </c>
      <c r="AQ5" s="19">
        <f>SQRT(Parameters!$B$5)*Factors!AQ2+SQRT(Parameters!$B$6)*Factors!AQ8+SQRT(Parameters!$B$7)*Factors!AQ10+SQRT(Parameters!$B$9)*NORM.S.INV(RAND())</f>
        <v/>
      </c>
      <c r="AR5" s="19">
        <f>SQRT(Parameters!$B$5)*Factors!AR2+SQRT(Parameters!$B$6)*Factors!AR8+SQRT(Parameters!$B$7)*Factors!AR10+SQRT(Parameters!$B$9)*NORM.S.INV(RAND())</f>
        <v/>
      </c>
      <c r="AS5" s="19">
        <f>SQRT(Parameters!$B$5)*Factors!AS2+SQRT(Parameters!$B$6)*Factors!AS8+SQRT(Parameters!$B$7)*Factors!AS10+SQRT(Parameters!$B$9)*NORM.S.INV(RAND())</f>
        <v/>
      </c>
      <c r="AT5" s="19">
        <f>SQRT(Parameters!$B$5)*Factors!AT2+SQRT(Parameters!$B$6)*Factors!AT8+SQRT(Parameters!$B$7)*Factors!AT10+SQRT(Parameters!$B$9)*NORM.S.INV(RAND())</f>
        <v/>
      </c>
      <c r="AU5" s="19">
        <f>SQRT(Parameters!$B$5)*Factors!AU2+SQRT(Parameters!$B$6)*Factors!AU8+SQRT(Parameters!$B$7)*Factors!AU10+SQRT(Parameters!$B$9)*NORM.S.INV(RAND())</f>
        <v/>
      </c>
      <c r="AV5" s="19">
        <f>SQRT(Parameters!$B$5)*Factors!AV2+SQRT(Parameters!$B$6)*Factors!AV8+SQRT(Parameters!$B$7)*Factors!AV10+SQRT(Parameters!$B$9)*NORM.S.INV(RAND())</f>
        <v/>
      </c>
      <c r="AW5" s="19">
        <f>SQRT(Parameters!$B$5)*Factors!AW2+SQRT(Parameters!$B$6)*Factors!AW8+SQRT(Parameters!$B$7)*Factors!AW10+SQRT(Parameters!$B$9)*NORM.S.INV(RAND())</f>
        <v/>
      </c>
      <c r="AX5" s="19">
        <f>SQRT(Parameters!$B$5)*Factors!AX2+SQRT(Parameters!$B$6)*Factors!AX8+SQRT(Parameters!$B$7)*Factors!AX10+SQRT(Parameters!$B$9)*NORM.S.INV(RAND())</f>
        <v/>
      </c>
      <c r="AY5" s="19">
        <f>SQRT(Parameters!$B$5)*Factors!AY2+SQRT(Parameters!$B$6)*Factors!AY8+SQRT(Parameters!$B$7)*Factors!AY10+SQRT(Parameters!$B$9)*NORM.S.INV(RAND())</f>
        <v/>
      </c>
      <c r="AZ5" s="19">
        <f>SQRT(Parameters!$B$5)*Factors!AZ2+SQRT(Parameters!$B$6)*Factors!AZ8+SQRT(Parameters!$B$7)*Factors!AZ10+SQRT(Parameters!$B$9)*NORM.S.INV(RAND())</f>
        <v/>
      </c>
      <c r="BA5" s="19">
        <f>SQRT(Parameters!$B$5)*Factors!BA2+SQRT(Parameters!$B$6)*Factors!BA8+SQRT(Parameters!$B$7)*Factors!BA10+SQRT(Parameters!$B$9)*NORM.S.INV(RAND())</f>
        <v/>
      </c>
      <c r="BB5" s="19">
        <f>SQRT(Parameters!$B$5)*Factors!BB2+SQRT(Parameters!$B$6)*Factors!BB8+SQRT(Parameters!$B$7)*Factors!BB10+SQRT(Parameters!$B$9)*NORM.S.INV(RAND())</f>
        <v/>
      </c>
      <c r="BC5" s="19">
        <f>SQRT(Parameters!$B$5)*Factors!BC2+SQRT(Parameters!$B$6)*Factors!BC8+SQRT(Parameters!$B$7)*Factors!BC10+SQRT(Parameters!$B$9)*NORM.S.INV(RAND())</f>
        <v/>
      </c>
      <c r="BD5" s="19">
        <f>SQRT(Parameters!$B$5)*Factors!BD2+SQRT(Parameters!$B$6)*Factors!BD8+SQRT(Parameters!$B$7)*Factors!BD10+SQRT(Parameters!$B$9)*NORM.S.INV(RAND())</f>
        <v/>
      </c>
      <c r="BE5" s="19">
        <f>SQRT(Parameters!$B$5)*Factors!BE2+SQRT(Parameters!$B$6)*Factors!BE8+SQRT(Parameters!$B$7)*Factors!BE10+SQRT(Parameters!$B$9)*NORM.S.INV(RAND())</f>
        <v/>
      </c>
      <c r="BF5" s="19">
        <f>SQRT(Parameters!$B$5)*Factors!BF2+SQRT(Parameters!$B$6)*Factors!BF8+SQRT(Parameters!$B$7)*Factors!BF10+SQRT(Parameters!$B$9)*NORM.S.INV(RAND())</f>
        <v/>
      </c>
      <c r="BG5" s="19">
        <f>SQRT(Parameters!$B$5)*Factors!BG2+SQRT(Parameters!$B$6)*Factors!BG8+SQRT(Parameters!$B$7)*Factors!BG10+SQRT(Parameters!$B$9)*NORM.S.INV(RAND())</f>
        <v/>
      </c>
      <c r="BH5" s="19">
        <f>SQRT(Parameters!$B$5)*Factors!BH2+SQRT(Parameters!$B$6)*Factors!BH8+SQRT(Parameters!$B$7)*Factors!BH10+SQRT(Parameters!$B$9)*NORM.S.INV(RAND())</f>
        <v/>
      </c>
      <c r="BI5" s="19">
        <f>SQRT(Parameters!$B$5)*Factors!BI2+SQRT(Parameters!$B$6)*Factors!BI8+SQRT(Parameters!$B$7)*Factors!BI10+SQRT(Parameters!$B$9)*NORM.S.INV(RAND())</f>
        <v/>
      </c>
      <c r="BJ5" s="19">
        <f>SQRT(Parameters!$B$5)*Factors!BJ2+SQRT(Parameters!$B$6)*Factors!BJ8+SQRT(Parameters!$B$7)*Factors!BJ10+SQRT(Parameters!$B$9)*NORM.S.INV(RAND())</f>
        <v/>
      </c>
      <c r="BK5" s="19">
        <f>SQRT(Parameters!$B$5)*Factors!BK2+SQRT(Parameters!$B$6)*Factors!BK8+SQRT(Parameters!$B$7)*Factors!BK10+SQRT(Parameters!$B$9)*NORM.S.INV(RAND())</f>
        <v/>
      </c>
      <c r="BL5" s="19">
        <f>SQRT(Parameters!$B$5)*Factors!BL2+SQRT(Parameters!$B$6)*Factors!BL8+SQRT(Parameters!$B$7)*Factors!BL10+SQRT(Parameters!$B$9)*NORM.S.INV(RAND())</f>
        <v/>
      </c>
      <c r="BM5" s="19">
        <f>SQRT(Parameters!$B$5)*Factors!BM2+SQRT(Parameters!$B$6)*Factors!BM8+SQRT(Parameters!$B$7)*Factors!BM10+SQRT(Parameters!$B$9)*NORM.S.INV(RAND())</f>
        <v/>
      </c>
      <c r="BN5" s="19">
        <f>SQRT(Parameters!$B$5)*Factors!BN2+SQRT(Parameters!$B$6)*Factors!BN8+SQRT(Parameters!$B$7)*Factors!BN10+SQRT(Parameters!$B$9)*NORM.S.INV(RAND())</f>
        <v/>
      </c>
      <c r="BO5" s="19">
        <f>SQRT(Parameters!$B$5)*Factors!BO2+SQRT(Parameters!$B$6)*Factors!BO8+SQRT(Parameters!$B$7)*Factors!BO10+SQRT(Parameters!$B$9)*NORM.S.INV(RAND())</f>
        <v/>
      </c>
      <c r="BP5" s="19">
        <f>SQRT(Parameters!$B$5)*Factors!BP2+SQRT(Parameters!$B$6)*Factors!BP8+SQRT(Parameters!$B$7)*Factors!BP10+SQRT(Parameters!$B$9)*NORM.S.INV(RAND())</f>
        <v/>
      </c>
      <c r="BQ5" s="19">
        <f>SQRT(Parameters!$B$5)*Factors!BQ2+SQRT(Parameters!$B$6)*Factors!BQ8+SQRT(Parameters!$B$7)*Factors!BQ10+SQRT(Parameters!$B$9)*NORM.S.INV(RAND())</f>
        <v/>
      </c>
      <c r="BR5" s="19">
        <f>SQRT(Parameters!$B$5)*Factors!BR2+SQRT(Parameters!$B$6)*Factors!BR8+SQRT(Parameters!$B$7)*Factors!BR10+SQRT(Parameters!$B$9)*NORM.S.INV(RAND())</f>
        <v/>
      </c>
      <c r="BS5" s="19">
        <f>SQRT(Parameters!$B$5)*Factors!BS2+SQRT(Parameters!$B$6)*Factors!BS8+SQRT(Parameters!$B$7)*Factors!BS10+SQRT(Parameters!$B$9)*NORM.S.INV(RAND())</f>
        <v/>
      </c>
      <c r="BT5" s="19">
        <f>SQRT(Parameters!$B$5)*Factors!BT2+SQRT(Parameters!$B$6)*Factors!BT8+SQRT(Parameters!$B$7)*Factors!BT10+SQRT(Parameters!$B$9)*NORM.S.INV(RAND())</f>
        <v/>
      </c>
      <c r="BU5" s="19">
        <f>SQRT(Parameters!$B$5)*Factors!BU2+SQRT(Parameters!$B$6)*Factors!BU8+SQRT(Parameters!$B$7)*Factors!BU10+SQRT(Parameters!$B$9)*NORM.S.INV(RAND())</f>
        <v/>
      </c>
      <c r="BV5" s="19">
        <f>SQRT(Parameters!$B$5)*Factors!BV2+SQRT(Parameters!$B$6)*Factors!BV8+SQRT(Parameters!$B$7)*Factors!BV10+SQRT(Parameters!$B$9)*NORM.S.INV(RAND())</f>
        <v/>
      </c>
      <c r="BW5" s="19">
        <f>SQRT(Parameters!$B$5)*Factors!BW2+SQRT(Parameters!$B$6)*Factors!BW8+SQRT(Parameters!$B$7)*Factors!BW10+SQRT(Parameters!$B$9)*NORM.S.INV(RAND())</f>
        <v/>
      </c>
      <c r="BX5" s="19">
        <f>SQRT(Parameters!$B$5)*Factors!BX2+SQRT(Parameters!$B$6)*Factors!BX8+SQRT(Parameters!$B$7)*Factors!BX10+SQRT(Parameters!$B$9)*NORM.S.INV(RAND())</f>
        <v/>
      </c>
      <c r="BY5" s="19">
        <f>SQRT(Parameters!$B$5)*Factors!BY2+SQRT(Parameters!$B$6)*Factors!BY8+SQRT(Parameters!$B$7)*Factors!BY10+SQRT(Parameters!$B$9)*NORM.S.INV(RAND())</f>
        <v/>
      </c>
      <c r="BZ5" s="19">
        <f>SQRT(Parameters!$B$5)*Factors!BZ2+SQRT(Parameters!$B$6)*Factors!BZ8+SQRT(Parameters!$B$7)*Factors!BZ10+SQRT(Parameters!$B$9)*NORM.S.INV(RAND())</f>
        <v/>
      </c>
      <c r="CA5" s="19">
        <f>SQRT(Parameters!$B$5)*Factors!CA2+SQRT(Parameters!$B$6)*Factors!CA8+SQRT(Parameters!$B$7)*Factors!CA10+SQRT(Parameters!$B$9)*NORM.S.INV(RAND())</f>
        <v/>
      </c>
      <c r="CB5" s="19">
        <f>SQRT(Parameters!$B$5)*Factors!CB2+SQRT(Parameters!$B$6)*Factors!CB8+SQRT(Parameters!$B$7)*Factors!CB10+SQRT(Parameters!$B$9)*NORM.S.INV(RAND())</f>
        <v/>
      </c>
      <c r="CC5" s="19">
        <f>SQRT(Parameters!$B$5)*Factors!CC2+SQRT(Parameters!$B$6)*Factors!CC8+SQRT(Parameters!$B$7)*Factors!CC10+SQRT(Parameters!$B$9)*NORM.S.INV(RAND())</f>
        <v/>
      </c>
      <c r="CD5" s="19">
        <f>SQRT(Parameters!$B$5)*Factors!CD2+SQRT(Parameters!$B$6)*Factors!CD8+SQRT(Parameters!$B$7)*Factors!CD10+SQRT(Parameters!$B$9)*NORM.S.INV(RAND())</f>
        <v/>
      </c>
      <c r="CE5" s="19">
        <f>SQRT(Parameters!$B$5)*Factors!CE2+SQRT(Parameters!$B$6)*Factors!CE8+SQRT(Parameters!$B$7)*Factors!CE10+SQRT(Parameters!$B$9)*NORM.S.INV(RAND())</f>
        <v/>
      </c>
      <c r="CF5" s="19">
        <f>SQRT(Parameters!$B$5)*Factors!CF2+SQRT(Parameters!$B$6)*Factors!CF8+SQRT(Parameters!$B$7)*Factors!CF10+SQRT(Parameters!$B$9)*NORM.S.INV(RAND())</f>
        <v/>
      </c>
      <c r="CG5" s="19">
        <f>SQRT(Parameters!$B$5)*Factors!CG2+SQRT(Parameters!$B$6)*Factors!CG8+SQRT(Parameters!$B$7)*Factors!CG10+SQRT(Parameters!$B$9)*NORM.S.INV(RAND())</f>
        <v/>
      </c>
      <c r="CH5" s="19">
        <f>SQRT(Parameters!$B$5)*Factors!CH2+SQRT(Parameters!$B$6)*Factors!CH8+SQRT(Parameters!$B$7)*Factors!CH10+SQRT(Parameters!$B$9)*NORM.S.INV(RAND())</f>
        <v/>
      </c>
      <c r="CI5" s="19">
        <f>SQRT(Parameters!$B$5)*Factors!CI2+SQRT(Parameters!$B$6)*Factors!CI8+SQRT(Parameters!$B$7)*Factors!CI10+SQRT(Parameters!$B$9)*NORM.S.INV(RAND())</f>
        <v/>
      </c>
      <c r="CJ5" s="19">
        <f>SQRT(Parameters!$B$5)*Factors!CJ2+SQRT(Parameters!$B$6)*Factors!CJ8+SQRT(Parameters!$B$7)*Factors!CJ10+SQRT(Parameters!$B$9)*NORM.S.INV(RAND())</f>
        <v/>
      </c>
      <c r="CK5" s="19">
        <f>SQRT(Parameters!$B$5)*Factors!CK2+SQRT(Parameters!$B$6)*Factors!CK8+SQRT(Parameters!$B$7)*Factors!CK10+SQRT(Parameters!$B$9)*NORM.S.INV(RAND())</f>
        <v/>
      </c>
      <c r="CL5" s="19">
        <f>SQRT(Parameters!$B$5)*Factors!CL2+SQRT(Parameters!$B$6)*Factors!CL8+SQRT(Parameters!$B$7)*Factors!CL10+SQRT(Parameters!$B$9)*NORM.S.INV(RAND())</f>
        <v/>
      </c>
      <c r="CM5" s="19">
        <f>SQRT(Parameters!$B$5)*Factors!CM2+SQRT(Parameters!$B$6)*Factors!CM8+SQRT(Parameters!$B$7)*Factors!CM10+SQRT(Parameters!$B$9)*NORM.S.INV(RAND())</f>
        <v/>
      </c>
      <c r="CN5" s="19">
        <f>SQRT(Parameters!$B$5)*Factors!CN2+SQRT(Parameters!$B$6)*Factors!CN8+SQRT(Parameters!$B$7)*Factors!CN10+SQRT(Parameters!$B$9)*NORM.S.INV(RAND())</f>
        <v/>
      </c>
      <c r="CO5" s="19">
        <f>SQRT(Parameters!$B$5)*Factors!CO2+SQRT(Parameters!$B$6)*Factors!CO8+SQRT(Parameters!$B$7)*Factors!CO10+SQRT(Parameters!$B$9)*NORM.S.INV(RAND())</f>
        <v/>
      </c>
      <c r="CP5" s="19">
        <f>SQRT(Parameters!$B$5)*Factors!CP2+SQRT(Parameters!$B$6)*Factors!CP8+SQRT(Parameters!$B$7)*Factors!CP10+SQRT(Parameters!$B$9)*NORM.S.INV(RAND())</f>
        <v/>
      </c>
      <c r="CQ5" s="19">
        <f>SQRT(Parameters!$B$5)*Factors!CQ2+SQRT(Parameters!$B$6)*Factors!CQ8+SQRT(Parameters!$B$7)*Factors!CQ10+SQRT(Parameters!$B$9)*NORM.S.INV(RAND())</f>
        <v/>
      </c>
      <c r="CR5" s="19">
        <f>SQRT(Parameters!$B$5)*Factors!CR2+SQRT(Parameters!$B$6)*Factors!CR8+SQRT(Parameters!$B$7)*Factors!CR10+SQRT(Parameters!$B$9)*NORM.S.INV(RAND())</f>
        <v/>
      </c>
      <c r="CS5" s="19">
        <f>SQRT(Parameters!$B$5)*Factors!CS2+SQRT(Parameters!$B$6)*Factors!CS8+SQRT(Parameters!$B$7)*Factors!CS10+SQRT(Parameters!$B$9)*NORM.S.INV(RAND())</f>
        <v/>
      </c>
      <c r="CT5" s="19">
        <f>SQRT(Parameters!$B$5)*Factors!CT2+SQRT(Parameters!$B$6)*Factors!CT8+SQRT(Parameters!$B$7)*Factors!CT10+SQRT(Parameters!$B$9)*NORM.S.INV(RAND())</f>
        <v/>
      </c>
      <c r="CU5" s="19">
        <f>SQRT(Parameters!$B$5)*Factors!CU2+SQRT(Parameters!$B$6)*Factors!CU8+SQRT(Parameters!$B$7)*Factors!CU10+SQRT(Parameters!$B$9)*NORM.S.INV(RAND())</f>
        <v/>
      </c>
      <c r="CV5" s="19">
        <f>SQRT(Parameters!$B$5)*Factors!CV2+SQRT(Parameters!$B$6)*Factors!CV8+SQRT(Parameters!$B$7)*Factors!CV10+SQRT(Parameters!$B$9)*NORM.S.INV(RAND())</f>
        <v/>
      </c>
      <c r="CW5" s="19">
        <f>SQRT(Parameters!$B$5)*Factors!CW2+SQRT(Parameters!$B$6)*Factors!CW8+SQRT(Parameters!$B$7)*Factors!CW10+SQRT(Parameters!$B$9)*NORM.S.INV(RAND())</f>
        <v/>
      </c>
      <c r="CX5" s="19">
        <f>SQRT(Parameters!$B$5)*Factors!CX2+SQRT(Parameters!$B$6)*Factors!CX8+SQRT(Parameters!$B$7)*Factors!CX10+SQRT(Parameters!$B$9)*NORM.S.INV(RAND())</f>
        <v/>
      </c>
      <c r="CY5" s="19">
        <f>SQRT(Parameters!$B$5)*Factors!CY2+SQRT(Parameters!$B$6)*Factors!CY8+SQRT(Parameters!$B$7)*Factors!CY10+SQRT(Parameters!$B$9)*NORM.S.INV(RAND())</f>
        <v/>
      </c>
      <c r="CZ5" s="19">
        <f>SQRT(Parameters!$B$5)*Factors!CZ2+SQRT(Parameters!$B$6)*Factors!CZ8+SQRT(Parameters!$B$7)*Factors!CZ10+SQRT(Parameters!$B$9)*NORM.S.INV(RAND())</f>
        <v/>
      </c>
      <c r="DA5" s="19">
        <f>SQRT(Parameters!$B$5)*Factors!DA2+SQRT(Parameters!$B$6)*Factors!DA8+SQRT(Parameters!$B$7)*Factors!DA10+SQRT(Parameters!$B$9)*NORM.S.INV(RAND())</f>
        <v/>
      </c>
      <c r="DB5" s="19">
        <f>SQRT(Parameters!$B$5)*Factors!DB2+SQRT(Parameters!$B$6)*Factors!DB8+SQRT(Parameters!$B$7)*Factors!DB10+SQRT(Parameters!$B$9)*NORM.S.INV(RAND())</f>
        <v/>
      </c>
      <c r="DC5" s="19">
        <f>SQRT(Parameters!$B$5)*Factors!DC2+SQRT(Parameters!$B$6)*Factors!DC8+SQRT(Parameters!$B$7)*Factors!DC10+SQRT(Parameters!$B$9)*NORM.S.INV(RAND())</f>
        <v/>
      </c>
      <c r="DD5" s="19">
        <f>SQRT(Parameters!$B$5)*Factors!DD2+SQRT(Parameters!$B$6)*Factors!DD8+SQRT(Parameters!$B$7)*Factors!DD10+SQRT(Parameters!$B$9)*NORM.S.INV(RAND())</f>
        <v/>
      </c>
      <c r="DE5" s="19">
        <f>SQRT(Parameters!$B$5)*Factors!DE2+SQRT(Parameters!$B$6)*Factors!DE8+SQRT(Parameters!$B$7)*Factors!DE10+SQRT(Parameters!$B$9)*NORM.S.INV(RAND())</f>
        <v/>
      </c>
      <c r="DF5" s="19">
        <f>SQRT(Parameters!$B$5)*Factors!DF2+SQRT(Parameters!$B$6)*Factors!DF8+SQRT(Parameters!$B$7)*Factors!DF10+SQRT(Parameters!$B$9)*NORM.S.INV(RAND())</f>
        <v/>
      </c>
      <c r="DG5" s="19">
        <f>SQRT(Parameters!$B$5)*Factors!DG2+SQRT(Parameters!$B$6)*Factors!DG8+SQRT(Parameters!$B$7)*Factors!DG10+SQRT(Parameters!$B$9)*NORM.S.INV(RAND())</f>
        <v/>
      </c>
      <c r="DH5" s="19">
        <f>SQRT(Parameters!$B$5)*Factors!DH2+SQRT(Parameters!$B$6)*Factors!DH8+SQRT(Parameters!$B$7)*Factors!DH10+SQRT(Parameters!$B$9)*NORM.S.INV(RAND())</f>
        <v/>
      </c>
      <c r="DI5" s="19">
        <f>SQRT(Parameters!$B$5)*Factors!DI2+SQRT(Parameters!$B$6)*Factors!DI8+SQRT(Parameters!$B$7)*Factors!DI10+SQRT(Parameters!$B$9)*NORM.S.INV(RAND())</f>
        <v/>
      </c>
      <c r="DJ5" s="19">
        <f>SQRT(Parameters!$B$5)*Factors!DJ2+SQRT(Parameters!$B$6)*Factors!DJ8+SQRT(Parameters!$B$7)*Factors!DJ10+SQRT(Parameters!$B$9)*NORM.S.INV(RAND())</f>
        <v/>
      </c>
      <c r="DK5" s="19">
        <f>SQRT(Parameters!$B$5)*Factors!DK2+SQRT(Parameters!$B$6)*Factors!DK8+SQRT(Parameters!$B$7)*Factors!DK10+SQRT(Parameters!$B$9)*NORM.S.INV(RAND())</f>
        <v/>
      </c>
      <c r="DL5" s="19">
        <f>SQRT(Parameters!$B$5)*Factors!DL2+SQRT(Parameters!$B$6)*Factors!DL8+SQRT(Parameters!$B$7)*Factors!DL10+SQRT(Parameters!$B$9)*NORM.S.INV(RAND())</f>
        <v/>
      </c>
      <c r="DM5" s="19">
        <f>SQRT(Parameters!$B$5)*Factors!DM2+SQRT(Parameters!$B$6)*Factors!DM8+SQRT(Parameters!$B$7)*Factors!DM10+SQRT(Parameters!$B$9)*NORM.S.INV(RAND())</f>
        <v/>
      </c>
      <c r="DN5" s="19">
        <f>SQRT(Parameters!$B$5)*Factors!DN2+SQRT(Parameters!$B$6)*Factors!DN8+SQRT(Parameters!$B$7)*Factors!DN10+SQRT(Parameters!$B$9)*NORM.S.INV(RAND())</f>
        <v/>
      </c>
      <c r="DO5" s="19">
        <f>SQRT(Parameters!$B$5)*Factors!DO2+SQRT(Parameters!$B$6)*Factors!DO8+SQRT(Parameters!$B$7)*Factors!DO10+SQRT(Parameters!$B$9)*NORM.S.INV(RAND())</f>
        <v/>
      </c>
      <c r="DP5" s="19">
        <f>SQRT(Parameters!$B$5)*Factors!DP2+SQRT(Parameters!$B$6)*Factors!DP8+SQRT(Parameters!$B$7)*Factors!DP10+SQRT(Parameters!$B$9)*NORM.S.INV(RAND())</f>
        <v/>
      </c>
      <c r="DQ5" s="19">
        <f>SQRT(Parameters!$B$5)*Factors!DQ2+SQRT(Parameters!$B$6)*Factors!DQ8+SQRT(Parameters!$B$7)*Factors!DQ10+SQRT(Parameters!$B$9)*NORM.S.INV(RAND())</f>
        <v/>
      </c>
      <c r="DR5" s="19">
        <f>SQRT(Parameters!$B$5)*Factors!DR2+SQRT(Parameters!$B$6)*Factors!DR8+SQRT(Parameters!$B$7)*Factors!DR10+SQRT(Parameters!$B$9)*NORM.S.INV(RAND())</f>
        <v/>
      </c>
      <c r="DS5" s="19">
        <f>SQRT(Parameters!$B$5)*Factors!DS2+SQRT(Parameters!$B$6)*Factors!DS8+SQRT(Parameters!$B$7)*Factors!DS10+SQRT(Parameters!$B$9)*NORM.S.INV(RAND())</f>
        <v/>
      </c>
      <c r="DT5" s="19">
        <f>SQRT(Parameters!$B$5)*Factors!DT2+SQRT(Parameters!$B$6)*Factors!DT8+SQRT(Parameters!$B$7)*Factors!DT10+SQRT(Parameters!$B$9)*NORM.S.INV(RAND())</f>
        <v/>
      </c>
      <c r="DU5" s="19">
        <f>SQRT(Parameters!$B$5)*Factors!DU2+SQRT(Parameters!$B$6)*Factors!DU8+SQRT(Parameters!$B$7)*Factors!DU10+SQRT(Parameters!$B$9)*NORM.S.INV(RAND())</f>
        <v/>
      </c>
      <c r="DV5" s="19">
        <f>SQRT(Parameters!$B$5)*Factors!DV2+SQRT(Parameters!$B$6)*Factors!DV8+SQRT(Parameters!$B$7)*Factors!DV10+SQRT(Parameters!$B$9)*NORM.S.INV(RAND())</f>
        <v/>
      </c>
      <c r="DW5" s="19">
        <f>SQRT(Parameters!$B$5)*Factors!DW2+SQRT(Parameters!$B$6)*Factors!DW8+SQRT(Parameters!$B$7)*Factors!DW10+SQRT(Parameters!$B$9)*NORM.S.INV(RAND())</f>
        <v/>
      </c>
      <c r="DX5" s="19">
        <f>SQRT(Parameters!$B$5)*Factors!DX2+SQRT(Parameters!$B$6)*Factors!DX8+SQRT(Parameters!$B$7)*Factors!DX10+SQRT(Parameters!$B$9)*NORM.S.INV(RAND())</f>
        <v/>
      </c>
      <c r="DY5" s="19">
        <f>SQRT(Parameters!$B$5)*Factors!DY2+SQRT(Parameters!$B$6)*Factors!DY8+SQRT(Parameters!$B$7)*Factors!DY10+SQRT(Parameters!$B$9)*NORM.S.INV(RAND())</f>
        <v/>
      </c>
      <c r="DZ5" s="19">
        <f>SQRT(Parameters!$B$5)*Factors!DZ2+SQRT(Parameters!$B$6)*Factors!DZ8+SQRT(Parameters!$B$7)*Factors!DZ10+SQRT(Parameters!$B$9)*NORM.S.INV(RAND())</f>
        <v/>
      </c>
      <c r="EA5" s="19">
        <f>SQRT(Parameters!$B$5)*Factors!EA2+SQRT(Parameters!$B$6)*Factors!EA8+SQRT(Parameters!$B$7)*Factors!EA10+SQRT(Parameters!$B$9)*NORM.S.INV(RAND())</f>
        <v/>
      </c>
      <c r="EB5" s="19">
        <f>SQRT(Parameters!$B$5)*Factors!EB2+SQRT(Parameters!$B$6)*Factors!EB8+SQRT(Parameters!$B$7)*Factors!EB10+SQRT(Parameters!$B$9)*NORM.S.INV(RAND())</f>
        <v/>
      </c>
      <c r="EC5" s="19">
        <f>SQRT(Parameters!$B$5)*Factors!EC2+SQRT(Parameters!$B$6)*Factors!EC8+SQRT(Parameters!$B$7)*Factors!EC10+SQRT(Parameters!$B$9)*NORM.S.INV(RAND())</f>
        <v/>
      </c>
      <c r="ED5" s="19">
        <f>SQRT(Parameters!$B$5)*Factors!ED2+SQRT(Parameters!$B$6)*Factors!ED8+SQRT(Parameters!$B$7)*Factors!ED10+SQRT(Parameters!$B$9)*NORM.S.INV(RAND())</f>
        <v/>
      </c>
      <c r="EE5" s="19">
        <f>SQRT(Parameters!$B$5)*Factors!EE2+SQRT(Parameters!$B$6)*Factors!EE8+SQRT(Parameters!$B$7)*Factors!EE10+SQRT(Parameters!$B$9)*NORM.S.INV(RAND())</f>
        <v/>
      </c>
      <c r="EF5" s="19">
        <f>SQRT(Parameters!$B$5)*Factors!EF2+SQRT(Parameters!$B$6)*Factors!EF8+SQRT(Parameters!$B$7)*Factors!EF10+SQRT(Parameters!$B$9)*NORM.S.INV(RAND())</f>
        <v/>
      </c>
      <c r="EG5" s="19">
        <f>SQRT(Parameters!$B$5)*Factors!EG2+SQRT(Parameters!$B$6)*Factors!EG8+SQRT(Parameters!$B$7)*Factors!EG10+SQRT(Parameters!$B$9)*NORM.S.INV(RAND())</f>
        <v/>
      </c>
      <c r="EH5" s="19">
        <f>SQRT(Parameters!$B$5)*Factors!EH2+SQRT(Parameters!$B$6)*Factors!EH8+SQRT(Parameters!$B$7)*Factors!EH10+SQRT(Parameters!$B$9)*NORM.S.INV(RAND())</f>
        <v/>
      </c>
      <c r="EI5" s="19">
        <f>SQRT(Parameters!$B$5)*Factors!EI2+SQRT(Parameters!$B$6)*Factors!EI8+SQRT(Parameters!$B$7)*Factors!EI10+SQRT(Parameters!$B$9)*NORM.S.INV(RAND())</f>
        <v/>
      </c>
      <c r="EJ5" s="19">
        <f>SQRT(Parameters!$B$5)*Factors!EJ2+SQRT(Parameters!$B$6)*Factors!EJ8+SQRT(Parameters!$B$7)*Factors!EJ10+SQRT(Parameters!$B$9)*NORM.S.INV(RAND())</f>
        <v/>
      </c>
      <c r="EK5" s="19">
        <f>SQRT(Parameters!$B$5)*Factors!EK2+SQRT(Parameters!$B$6)*Factors!EK8+SQRT(Parameters!$B$7)*Factors!EK10+SQRT(Parameters!$B$9)*NORM.S.INV(RAND())</f>
        <v/>
      </c>
      <c r="EL5" s="19">
        <f>SQRT(Parameters!$B$5)*Factors!EL2+SQRT(Parameters!$B$6)*Factors!EL8+SQRT(Parameters!$B$7)*Factors!EL10+SQRT(Parameters!$B$9)*NORM.S.INV(RAND())</f>
        <v/>
      </c>
      <c r="EM5" s="19">
        <f>SQRT(Parameters!$B$5)*Factors!EM2+SQRT(Parameters!$B$6)*Factors!EM8+SQRT(Parameters!$B$7)*Factors!EM10+SQRT(Parameters!$B$9)*NORM.S.INV(RAND())</f>
        <v/>
      </c>
      <c r="EN5" s="19">
        <f>SQRT(Parameters!$B$5)*Factors!EN2+SQRT(Parameters!$B$6)*Factors!EN8+SQRT(Parameters!$B$7)*Factors!EN10+SQRT(Parameters!$B$9)*NORM.S.INV(RAND())</f>
        <v/>
      </c>
      <c r="EO5" s="19">
        <f>SQRT(Parameters!$B$5)*Factors!EO2+SQRT(Parameters!$B$6)*Factors!EO8+SQRT(Parameters!$B$7)*Factors!EO10+SQRT(Parameters!$B$9)*NORM.S.INV(RAND())</f>
        <v/>
      </c>
      <c r="EP5" s="19">
        <f>SQRT(Parameters!$B$5)*Factors!EP2+SQRT(Parameters!$B$6)*Factors!EP8+SQRT(Parameters!$B$7)*Factors!EP10+SQRT(Parameters!$B$9)*NORM.S.INV(RAND())</f>
        <v/>
      </c>
      <c r="EQ5" s="19">
        <f>SQRT(Parameters!$B$5)*Factors!EQ2+SQRT(Parameters!$B$6)*Factors!EQ8+SQRT(Parameters!$B$7)*Factors!EQ10+SQRT(Parameters!$B$9)*NORM.S.INV(RAND())</f>
        <v/>
      </c>
      <c r="ER5" s="19">
        <f>SQRT(Parameters!$B$5)*Factors!ER2+SQRT(Parameters!$B$6)*Factors!ER8+SQRT(Parameters!$B$7)*Factors!ER10+SQRT(Parameters!$B$9)*NORM.S.INV(RAND())</f>
        <v/>
      </c>
      <c r="ES5" s="19">
        <f>SQRT(Parameters!$B$5)*Factors!ES2+SQRT(Parameters!$B$6)*Factors!ES8+SQRT(Parameters!$B$7)*Factors!ES10+SQRT(Parameters!$B$9)*NORM.S.INV(RAND())</f>
        <v/>
      </c>
      <c r="ET5" s="19">
        <f>SQRT(Parameters!$B$5)*Factors!ET2+SQRT(Parameters!$B$6)*Factors!ET8+SQRT(Parameters!$B$7)*Factors!ET10+SQRT(Parameters!$B$9)*NORM.S.INV(RAND())</f>
        <v/>
      </c>
      <c r="EU5" s="19">
        <f>SQRT(Parameters!$B$5)*Factors!EU2+SQRT(Parameters!$B$6)*Factors!EU8+SQRT(Parameters!$B$7)*Factors!EU10+SQRT(Parameters!$B$9)*NORM.S.INV(RAND())</f>
        <v/>
      </c>
      <c r="EV5" s="19">
        <f>SQRT(Parameters!$B$5)*Factors!EV2+SQRT(Parameters!$B$6)*Factors!EV8+SQRT(Parameters!$B$7)*Factors!EV10+SQRT(Parameters!$B$9)*NORM.S.INV(RAND())</f>
        <v/>
      </c>
      <c r="EW5" s="19">
        <f>SQRT(Parameters!$B$5)*Factors!EW2+SQRT(Parameters!$B$6)*Factors!EW8+SQRT(Parameters!$B$7)*Factors!EW10+SQRT(Parameters!$B$9)*NORM.S.INV(RAND())</f>
        <v/>
      </c>
      <c r="EX5" s="19">
        <f>SQRT(Parameters!$B$5)*Factors!EX2+SQRT(Parameters!$B$6)*Factors!EX8+SQRT(Parameters!$B$7)*Factors!EX10+SQRT(Parameters!$B$9)*NORM.S.INV(RAND())</f>
        <v/>
      </c>
      <c r="EY5" s="19">
        <f>SQRT(Parameters!$B$5)*Factors!EY2+SQRT(Parameters!$B$6)*Factors!EY8+SQRT(Parameters!$B$7)*Factors!EY10+SQRT(Parameters!$B$9)*NORM.S.INV(RAND())</f>
        <v/>
      </c>
      <c r="EZ5" s="19">
        <f>SQRT(Parameters!$B$5)*Factors!EZ2+SQRT(Parameters!$B$6)*Factors!EZ8+SQRT(Parameters!$B$7)*Factors!EZ10+SQRT(Parameters!$B$9)*NORM.S.INV(RAND())</f>
        <v/>
      </c>
      <c r="FA5" s="19">
        <f>SQRT(Parameters!$B$5)*Factors!FA2+SQRT(Parameters!$B$6)*Factors!FA8+SQRT(Parameters!$B$7)*Factors!FA10+SQRT(Parameters!$B$9)*NORM.S.INV(RAND())</f>
        <v/>
      </c>
      <c r="FB5" s="19">
        <f>SQRT(Parameters!$B$5)*Factors!FB2+SQRT(Parameters!$B$6)*Factors!FB8+SQRT(Parameters!$B$7)*Factors!FB10+SQRT(Parameters!$B$9)*NORM.S.INV(RAND())</f>
        <v/>
      </c>
      <c r="FC5" s="19">
        <f>SQRT(Parameters!$B$5)*Factors!FC2+SQRT(Parameters!$B$6)*Factors!FC8+SQRT(Parameters!$B$7)*Factors!FC10+SQRT(Parameters!$B$9)*NORM.S.INV(RAND())</f>
        <v/>
      </c>
      <c r="FD5" s="19">
        <f>SQRT(Parameters!$B$5)*Factors!FD2+SQRT(Parameters!$B$6)*Factors!FD8+SQRT(Parameters!$B$7)*Factors!FD10+SQRT(Parameters!$B$9)*NORM.S.INV(RAND())</f>
        <v/>
      </c>
      <c r="FE5" s="19">
        <f>SQRT(Parameters!$B$5)*Factors!FE2+SQRT(Parameters!$B$6)*Factors!FE8+SQRT(Parameters!$B$7)*Factors!FE10+SQRT(Parameters!$B$9)*NORM.S.INV(RAND())</f>
        <v/>
      </c>
      <c r="FF5" s="19">
        <f>SQRT(Parameters!$B$5)*Factors!FF2+SQRT(Parameters!$B$6)*Factors!FF8+SQRT(Parameters!$B$7)*Factors!FF10+SQRT(Parameters!$B$9)*NORM.S.INV(RAND())</f>
        <v/>
      </c>
      <c r="FG5" s="19">
        <f>SQRT(Parameters!$B$5)*Factors!FG2+SQRT(Parameters!$B$6)*Factors!FG8+SQRT(Parameters!$B$7)*Factors!FG10+SQRT(Parameters!$B$9)*NORM.S.INV(RAND())</f>
        <v/>
      </c>
      <c r="FH5" s="19">
        <f>SQRT(Parameters!$B$5)*Factors!FH2+SQRT(Parameters!$B$6)*Factors!FH8+SQRT(Parameters!$B$7)*Factors!FH10+SQRT(Parameters!$B$9)*NORM.S.INV(RAND())</f>
        <v/>
      </c>
      <c r="FI5" s="19">
        <f>SQRT(Parameters!$B$5)*Factors!FI2+SQRT(Parameters!$B$6)*Factors!FI8+SQRT(Parameters!$B$7)*Factors!FI10+SQRT(Parameters!$B$9)*NORM.S.INV(RAND())</f>
        <v/>
      </c>
      <c r="FJ5" s="19">
        <f>SQRT(Parameters!$B$5)*Factors!FJ2+SQRT(Parameters!$B$6)*Factors!FJ8+SQRT(Parameters!$B$7)*Factors!FJ10+SQRT(Parameters!$B$9)*NORM.S.INV(RAND())</f>
        <v/>
      </c>
      <c r="FK5" s="19">
        <f>SQRT(Parameters!$B$5)*Factors!FK2+SQRT(Parameters!$B$6)*Factors!FK8+SQRT(Parameters!$B$7)*Factors!FK10+SQRT(Parameters!$B$9)*NORM.S.INV(RAND())</f>
        <v/>
      </c>
      <c r="FL5" s="19">
        <f>SQRT(Parameters!$B$5)*Factors!FL2+SQRT(Parameters!$B$6)*Factors!FL8+SQRT(Parameters!$B$7)*Factors!FL10+SQRT(Parameters!$B$9)*NORM.S.INV(RAND())</f>
        <v/>
      </c>
      <c r="FM5" s="19">
        <f>SQRT(Parameters!$B$5)*Factors!FM2+SQRT(Parameters!$B$6)*Factors!FM8+SQRT(Parameters!$B$7)*Factors!FM10+SQRT(Parameters!$B$9)*NORM.S.INV(RAND())</f>
        <v/>
      </c>
      <c r="FN5" s="19">
        <f>SQRT(Parameters!$B$5)*Factors!FN2+SQRT(Parameters!$B$6)*Factors!FN8+SQRT(Parameters!$B$7)*Factors!FN10+SQRT(Parameters!$B$9)*NORM.S.INV(RAND())</f>
        <v/>
      </c>
      <c r="FO5" s="19">
        <f>SQRT(Parameters!$B$5)*Factors!FO2+SQRT(Parameters!$B$6)*Factors!FO8+SQRT(Parameters!$B$7)*Factors!FO10+SQRT(Parameters!$B$9)*NORM.S.INV(RAND())</f>
        <v/>
      </c>
      <c r="FP5" s="19">
        <f>SQRT(Parameters!$B$5)*Factors!FP2+SQRT(Parameters!$B$6)*Factors!FP8+SQRT(Parameters!$B$7)*Factors!FP10+SQRT(Parameters!$B$9)*NORM.S.INV(RAND())</f>
        <v/>
      </c>
      <c r="FQ5" s="19">
        <f>SQRT(Parameters!$B$5)*Factors!FQ2+SQRT(Parameters!$B$6)*Factors!FQ8+SQRT(Parameters!$B$7)*Factors!FQ10+SQRT(Parameters!$B$9)*NORM.S.INV(RAND())</f>
        <v/>
      </c>
      <c r="FR5" s="19">
        <f>SQRT(Parameters!$B$5)*Factors!FR2+SQRT(Parameters!$B$6)*Factors!FR8+SQRT(Parameters!$B$7)*Factors!FR10+SQRT(Parameters!$B$9)*NORM.S.INV(RAND())</f>
        <v/>
      </c>
      <c r="FS5" s="19">
        <f>SQRT(Parameters!$B$5)*Factors!FS2+SQRT(Parameters!$B$6)*Factors!FS8+SQRT(Parameters!$B$7)*Factors!FS10+SQRT(Parameters!$B$9)*NORM.S.INV(RAND())</f>
        <v/>
      </c>
      <c r="FT5" s="19">
        <f>SQRT(Parameters!$B$5)*Factors!FT2+SQRT(Parameters!$B$6)*Factors!FT8+SQRT(Parameters!$B$7)*Factors!FT10+SQRT(Parameters!$B$9)*NORM.S.INV(RAND())</f>
        <v/>
      </c>
      <c r="FU5" s="19">
        <f>SQRT(Parameters!$B$5)*Factors!FU2+SQRT(Parameters!$B$6)*Factors!FU8+SQRT(Parameters!$B$7)*Factors!FU10+SQRT(Parameters!$B$9)*NORM.S.INV(RAND())</f>
        <v/>
      </c>
      <c r="FV5" s="19">
        <f>SQRT(Parameters!$B$5)*Factors!FV2+SQRT(Parameters!$B$6)*Factors!FV8+SQRT(Parameters!$B$7)*Factors!FV10+SQRT(Parameters!$B$9)*NORM.S.INV(RAND())</f>
        <v/>
      </c>
      <c r="FW5" s="19">
        <f>SQRT(Parameters!$B$5)*Factors!FW2+SQRT(Parameters!$B$6)*Factors!FW8+SQRT(Parameters!$B$7)*Factors!FW10+SQRT(Parameters!$B$9)*NORM.S.INV(RAND())</f>
        <v/>
      </c>
      <c r="FX5" s="19">
        <f>SQRT(Parameters!$B$5)*Factors!FX2+SQRT(Parameters!$B$6)*Factors!FX8+SQRT(Parameters!$B$7)*Factors!FX10+SQRT(Parameters!$B$9)*NORM.S.INV(RAND())</f>
        <v/>
      </c>
      <c r="FY5" s="19">
        <f>SQRT(Parameters!$B$5)*Factors!FY2+SQRT(Parameters!$B$6)*Factors!FY8+SQRT(Parameters!$B$7)*Factors!FY10+SQRT(Parameters!$B$9)*NORM.S.INV(RAND())</f>
        <v/>
      </c>
      <c r="FZ5" s="19">
        <f>SQRT(Parameters!$B$5)*Factors!FZ2+SQRT(Parameters!$B$6)*Factors!FZ8+SQRT(Parameters!$B$7)*Factors!FZ10+SQRT(Parameters!$B$9)*NORM.S.INV(RAND())</f>
        <v/>
      </c>
      <c r="GA5" s="19">
        <f>SQRT(Parameters!$B$5)*Factors!GA2+SQRT(Parameters!$B$6)*Factors!GA8+SQRT(Parameters!$B$7)*Factors!GA10+SQRT(Parameters!$B$9)*NORM.S.INV(RAND())</f>
        <v/>
      </c>
      <c r="GB5" s="19">
        <f>SQRT(Parameters!$B$5)*Factors!GB2+SQRT(Parameters!$B$6)*Factors!GB8+SQRT(Parameters!$B$7)*Factors!GB10+SQRT(Parameters!$B$9)*NORM.S.INV(RAND())</f>
        <v/>
      </c>
      <c r="GC5" s="19">
        <f>SQRT(Parameters!$B$5)*Factors!GC2+SQRT(Parameters!$B$6)*Factors!GC8+SQRT(Parameters!$B$7)*Factors!GC10+SQRT(Parameters!$B$9)*NORM.S.INV(RAND())</f>
        <v/>
      </c>
      <c r="GD5" s="19">
        <f>SQRT(Parameters!$B$5)*Factors!GD2+SQRT(Parameters!$B$6)*Factors!GD8+SQRT(Parameters!$B$7)*Factors!GD10+SQRT(Parameters!$B$9)*NORM.S.INV(RAND())</f>
        <v/>
      </c>
      <c r="GE5" s="19">
        <f>SQRT(Parameters!$B$5)*Factors!GE2+SQRT(Parameters!$B$6)*Factors!GE8+SQRT(Parameters!$B$7)*Factors!GE10+SQRT(Parameters!$B$9)*NORM.S.INV(RAND())</f>
        <v/>
      </c>
      <c r="GF5" s="19">
        <f>SQRT(Parameters!$B$5)*Factors!GF2+SQRT(Parameters!$B$6)*Factors!GF8+SQRT(Parameters!$B$7)*Factors!GF10+SQRT(Parameters!$B$9)*NORM.S.INV(RAND())</f>
        <v/>
      </c>
      <c r="GG5" s="19">
        <f>SQRT(Parameters!$B$5)*Factors!GG2+SQRT(Parameters!$B$6)*Factors!GG8+SQRT(Parameters!$B$7)*Factors!GG10+SQRT(Parameters!$B$9)*NORM.S.INV(RAND())</f>
        <v/>
      </c>
      <c r="GH5" s="19">
        <f>SQRT(Parameters!$B$5)*Factors!GH2+SQRT(Parameters!$B$6)*Factors!GH8+SQRT(Parameters!$B$7)*Factors!GH10+SQRT(Parameters!$B$9)*NORM.S.INV(RAND())</f>
        <v/>
      </c>
      <c r="GI5" s="19">
        <f>SQRT(Parameters!$B$5)*Factors!GI2+SQRT(Parameters!$B$6)*Factors!GI8+SQRT(Parameters!$B$7)*Factors!GI10+SQRT(Parameters!$B$9)*NORM.S.INV(RAND())</f>
        <v/>
      </c>
      <c r="GJ5" s="19">
        <f>SQRT(Parameters!$B$5)*Factors!GJ2+SQRT(Parameters!$B$6)*Factors!GJ8+SQRT(Parameters!$B$7)*Factors!GJ10+SQRT(Parameters!$B$9)*NORM.S.INV(RAND())</f>
        <v/>
      </c>
      <c r="GK5" s="19">
        <f>SQRT(Parameters!$B$5)*Factors!GK2+SQRT(Parameters!$B$6)*Factors!GK8+SQRT(Parameters!$B$7)*Factors!GK10+SQRT(Parameters!$B$9)*NORM.S.INV(RAND())</f>
        <v/>
      </c>
      <c r="GL5" s="19">
        <f>SQRT(Parameters!$B$5)*Factors!GL2+SQRT(Parameters!$B$6)*Factors!GL8+SQRT(Parameters!$B$7)*Factors!GL10+SQRT(Parameters!$B$9)*NORM.S.INV(RAND())</f>
        <v/>
      </c>
      <c r="GM5" s="19">
        <f>SQRT(Parameters!$B$5)*Factors!GM2+SQRT(Parameters!$B$6)*Factors!GM8+SQRT(Parameters!$B$7)*Factors!GM10+SQRT(Parameters!$B$9)*NORM.S.INV(RAND())</f>
        <v/>
      </c>
      <c r="GN5" s="19">
        <f>SQRT(Parameters!$B$5)*Factors!GN2+SQRT(Parameters!$B$6)*Factors!GN8+SQRT(Parameters!$B$7)*Factors!GN10+SQRT(Parameters!$B$9)*NORM.S.INV(RAND())</f>
        <v/>
      </c>
      <c r="GO5" s="19">
        <f>SQRT(Parameters!$B$5)*Factors!GO2+SQRT(Parameters!$B$6)*Factors!GO8+SQRT(Parameters!$B$7)*Factors!GO10+SQRT(Parameters!$B$9)*NORM.S.INV(RAND())</f>
        <v/>
      </c>
      <c r="GP5" s="19">
        <f>SQRT(Parameters!$B$5)*Factors!GP2+SQRT(Parameters!$B$6)*Factors!GP8+SQRT(Parameters!$B$7)*Factors!GP10+SQRT(Parameters!$B$9)*NORM.S.INV(RAND())</f>
        <v/>
      </c>
      <c r="GQ5" s="19">
        <f>SQRT(Parameters!$B$5)*Factors!GQ2+SQRT(Parameters!$B$6)*Factors!GQ8+SQRT(Parameters!$B$7)*Factors!GQ10+SQRT(Parameters!$B$9)*NORM.S.INV(RAND())</f>
        <v/>
      </c>
      <c r="GR5" s="19">
        <f>SQRT(Parameters!$B$5)*Factors!GR2+SQRT(Parameters!$B$6)*Factors!GR8+SQRT(Parameters!$B$7)*Factors!GR10+SQRT(Parameters!$B$9)*NORM.S.INV(RAND())</f>
        <v/>
      </c>
      <c r="GS5" s="19">
        <f>SQRT(Parameters!$B$5)*Factors!GS2+SQRT(Parameters!$B$6)*Factors!GS8+SQRT(Parameters!$B$7)*Factors!GS10+SQRT(Parameters!$B$9)*NORM.S.INV(RAND())</f>
        <v/>
      </c>
      <c r="GT5" s="19">
        <f>SQRT(Parameters!$B$5)*Factors!GT2+SQRT(Parameters!$B$6)*Factors!GT8+SQRT(Parameters!$B$7)*Factors!GT10+SQRT(Parameters!$B$9)*NORM.S.INV(RAND())</f>
        <v/>
      </c>
      <c r="GU5" s="19">
        <f>SQRT(Parameters!$B$5)*Factors!GU2+SQRT(Parameters!$B$6)*Factors!GU8+SQRT(Parameters!$B$7)*Factors!GU10+SQRT(Parameters!$B$9)*NORM.S.INV(RAND())</f>
        <v/>
      </c>
      <c r="GV5" s="19">
        <f>SQRT(Parameters!$B$5)*Factors!GV2+SQRT(Parameters!$B$6)*Factors!GV8+SQRT(Parameters!$B$7)*Factors!GV10+SQRT(Parameters!$B$9)*NORM.S.INV(RAND())</f>
        <v/>
      </c>
      <c r="GW5" s="19">
        <f>SQRT(Parameters!$B$5)*Factors!GW2+SQRT(Parameters!$B$6)*Factors!GW8+SQRT(Parameters!$B$7)*Factors!GW10+SQRT(Parameters!$B$9)*NORM.S.INV(RAND())</f>
        <v/>
      </c>
      <c r="GX5" s="19">
        <f>SQRT(Parameters!$B$5)*Factors!GX2+SQRT(Parameters!$B$6)*Factors!GX8+SQRT(Parameters!$B$7)*Factors!GX10+SQRT(Parameters!$B$9)*NORM.S.INV(RAND())</f>
        <v/>
      </c>
      <c r="GY5" s="19">
        <f>SQRT(Parameters!$B$5)*Factors!GY2+SQRT(Parameters!$B$6)*Factors!GY8+SQRT(Parameters!$B$7)*Factors!GY10+SQRT(Parameters!$B$9)*NORM.S.INV(RAND())</f>
        <v/>
      </c>
      <c r="GZ5" s="19">
        <f>SQRT(Parameters!$B$5)*Factors!GZ2+SQRT(Parameters!$B$6)*Factors!GZ8+SQRT(Parameters!$B$7)*Factors!GZ10+SQRT(Parameters!$B$9)*NORM.S.INV(RAND())</f>
        <v/>
      </c>
      <c r="HA5" s="19">
        <f>SQRT(Parameters!$B$5)*Factors!HA2+SQRT(Parameters!$B$6)*Factors!HA8+SQRT(Parameters!$B$7)*Factors!HA10+SQRT(Parameters!$B$9)*NORM.S.INV(RAND())</f>
        <v/>
      </c>
      <c r="HB5" s="19">
        <f>SQRT(Parameters!$B$5)*Factors!HB2+SQRT(Parameters!$B$6)*Factors!HB8+SQRT(Parameters!$B$7)*Factors!HB10+SQRT(Parameters!$B$9)*NORM.S.INV(RAND())</f>
        <v/>
      </c>
      <c r="HC5" s="19">
        <f>SQRT(Parameters!$B$5)*Factors!HC2+SQRT(Parameters!$B$6)*Factors!HC8+SQRT(Parameters!$B$7)*Factors!HC10+SQRT(Parameters!$B$9)*NORM.S.INV(RAND())</f>
        <v/>
      </c>
      <c r="HD5" s="19">
        <f>SQRT(Parameters!$B$5)*Factors!HD2+SQRT(Parameters!$B$6)*Factors!HD8+SQRT(Parameters!$B$7)*Factors!HD10+SQRT(Parameters!$B$9)*NORM.S.INV(RAND())</f>
        <v/>
      </c>
      <c r="HE5" s="19">
        <f>SQRT(Parameters!$B$5)*Factors!HE2+SQRT(Parameters!$B$6)*Factors!HE8+SQRT(Parameters!$B$7)*Factors!HE10+SQRT(Parameters!$B$9)*NORM.S.INV(RAND())</f>
        <v/>
      </c>
      <c r="HF5" s="19">
        <f>SQRT(Parameters!$B$5)*Factors!HF2+SQRT(Parameters!$B$6)*Factors!HF8+SQRT(Parameters!$B$7)*Factors!HF10+SQRT(Parameters!$B$9)*NORM.S.INV(RAND())</f>
        <v/>
      </c>
      <c r="HG5" s="19">
        <f>SQRT(Parameters!$B$5)*Factors!HG2+SQRT(Parameters!$B$6)*Factors!HG8+SQRT(Parameters!$B$7)*Factors!HG10+SQRT(Parameters!$B$9)*NORM.S.INV(RAND())</f>
        <v/>
      </c>
      <c r="HH5" s="19">
        <f>SQRT(Parameters!$B$5)*Factors!HH2+SQRT(Parameters!$B$6)*Factors!HH8+SQRT(Parameters!$B$7)*Factors!HH10+SQRT(Parameters!$B$9)*NORM.S.INV(RAND())</f>
        <v/>
      </c>
      <c r="HI5" s="19">
        <f>SQRT(Parameters!$B$5)*Factors!HI2+SQRT(Parameters!$B$6)*Factors!HI8+SQRT(Parameters!$B$7)*Factors!HI10+SQRT(Parameters!$B$9)*NORM.S.INV(RAND())</f>
        <v/>
      </c>
      <c r="HJ5" s="19">
        <f>SQRT(Parameters!$B$5)*Factors!HJ2+SQRT(Parameters!$B$6)*Factors!HJ8+SQRT(Parameters!$B$7)*Factors!HJ10+SQRT(Parameters!$B$9)*NORM.S.INV(RAND())</f>
        <v/>
      </c>
      <c r="HK5" s="19">
        <f>SQRT(Parameters!$B$5)*Factors!HK2+SQRT(Parameters!$B$6)*Factors!HK8+SQRT(Parameters!$B$7)*Factors!HK10+SQRT(Parameters!$B$9)*NORM.S.INV(RAND())</f>
        <v/>
      </c>
      <c r="HL5" s="19">
        <f>SQRT(Parameters!$B$5)*Factors!HL2+SQRT(Parameters!$B$6)*Factors!HL8+SQRT(Parameters!$B$7)*Factors!HL10+SQRT(Parameters!$B$9)*NORM.S.INV(RAND())</f>
        <v/>
      </c>
      <c r="HM5" s="19">
        <f>SQRT(Parameters!$B$5)*Factors!HM2+SQRT(Parameters!$B$6)*Factors!HM8+SQRT(Parameters!$B$7)*Factors!HM10+SQRT(Parameters!$B$9)*NORM.S.INV(RAND())</f>
        <v/>
      </c>
      <c r="HN5" s="19">
        <f>SQRT(Parameters!$B$5)*Factors!HN2+SQRT(Parameters!$B$6)*Factors!HN8+SQRT(Parameters!$B$7)*Factors!HN10+SQRT(Parameters!$B$9)*NORM.S.INV(RAND())</f>
        <v/>
      </c>
      <c r="HO5" s="19">
        <f>SQRT(Parameters!$B$5)*Factors!HO2+SQRT(Parameters!$B$6)*Factors!HO8+SQRT(Parameters!$B$7)*Factors!HO10+SQRT(Parameters!$B$9)*NORM.S.INV(RAND())</f>
        <v/>
      </c>
      <c r="HP5" s="19">
        <f>SQRT(Parameters!$B$5)*Factors!HP2+SQRT(Parameters!$B$6)*Factors!HP8+SQRT(Parameters!$B$7)*Factors!HP10+SQRT(Parameters!$B$9)*NORM.S.INV(RAND())</f>
        <v/>
      </c>
      <c r="HQ5" s="19">
        <f>SQRT(Parameters!$B$5)*Factors!HQ2+SQRT(Parameters!$B$6)*Factors!HQ8+SQRT(Parameters!$B$7)*Factors!HQ10+SQRT(Parameters!$B$9)*NORM.S.INV(RAND())</f>
        <v/>
      </c>
      <c r="HR5" s="19">
        <f>SQRT(Parameters!$B$5)*Factors!HR2+SQRT(Parameters!$B$6)*Factors!HR8+SQRT(Parameters!$B$7)*Factors!HR10+SQRT(Parameters!$B$9)*NORM.S.INV(RAND())</f>
        <v/>
      </c>
      <c r="HS5" s="19">
        <f>SQRT(Parameters!$B$5)*Factors!HS2+SQRT(Parameters!$B$6)*Factors!HS8+SQRT(Parameters!$B$7)*Factors!HS10+SQRT(Parameters!$B$9)*NORM.S.INV(RAND())</f>
        <v/>
      </c>
      <c r="HT5" s="19">
        <f>SQRT(Parameters!$B$5)*Factors!HT2+SQRT(Parameters!$B$6)*Factors!HT8+SQRT(Parameters!$B$7)*Factors!HT10+SQRT(Parameters!$B$9)*NORM.S.INV(RAND())</f>
        <v/>
      </c>
      <c r="HU5" s="19">
        <f>SQRT(Parameters!$B$5)*Factors!HU2+SQRT(Parameters!$B$6)*Factors!HU8+SQRT(Parameters!$B$7)*Factors!HU10+SQRT(Parameters!$B$9)*NORM.S.INV(RAND())</f>
        <v/>
      </c>
      <c r="HV5" s="19">
        <f>SQRT(Parameters!$B$5)*Factors!HV2+SQRT(Parameters!$B$6)*Factors!HV8+SQRT(Parameters!$B$7)*Factors!HV10+SQRT(Parameters!$B$9)*NORM.S.INV(RAND())</f>
        <v/>
      </c>
      <c r="HW5" s="19">
        <f>SQRT(Parameters!$B$5)*Factors!HW2+SQRT(Parameters!$B$6)*Factors!HW8+SQRT(Parameters!$B$7)*Factors!HW10+SQRT(Parameters!$B$9)*NORM.S.INV(RAND())</f>
        <v/>
      </c>
      <c r="HX5" s="19">
        <f>SQRT(Parameters!$B$5)*Factors!HX2+SQRT(Parameters!$B$6)*Factors!HX8+SQRT(Parameters!$B$7)*Factors!HX10+SQRT(Parameters!$B$9)*NORM.S.INV(RAND())</f>
        <v/>
      </c>
      <c r="HY5" s="19">
        <f>SQRT(Parameters!$B$5)*Factors!HY2+SQRT(Parameters!$B$6)*Factors!HY8+SQRT(Parameters!$B$7)*Factors!HY10+SQRT(Parameters!$B$9)*NORM.S.INV(RAND())</f>
        <v/>
      </c>
      <c r="HZ5" s="19">
        <f>SQRT(Parameters!$B$5)*Factors!HZ2+SQRT(Parameters!$B$6)*Factors!HZ8+SQRT(Parameters!$B$7)*Factors!HZ10+SQRT(Parameters!$B$9)*NORM.S.INV(RAND())</f>
        <v/>
      </c>
      <c r="IA5" s="19">
        <f>SQRT(Parameters!$B$5)*Factors!IA2+SQRT(Parameters!$B$6)*Factors!IA8+SQRT(Parameters!$B$7)*Factors!IA10+SQRT(Parameters!$B$9)*NORM.S.INV(RAND())</f>
        <v/>
      </c>
      <c r="IB5" s="19">
        <f>SQRT(Parameters!$B$5)*Factors!IB2+SQRT(Parameters!$B$6)*Factors!IB8+SQRT(Parameters!$B$7)*Factors!IB10+SQRT(Parameters!$B$9)*NORM.S.INV(RAND())</f>
        <v/>
      </c>
      <c r="IC5" s="19">
        <f>SQRT(Parameters!$B$5)*Factors!IC2+SQRT(Parameters!$B$6)*Factors!IC8+SQRT(Parameters!$B$7)*Factors!IC10+SQRT(Parameters!$B$9)*NORM.S.INV(RAND())</f>
        <v/>
      </c>
      <c r="ID5" s="19">
        <f>SQRT(Parameters!$B$5)*Factors!ID2+SQRT(Parameters!$B$6)*Factors!ID8+SQRT(Parameters!$B$7)*Factors!ID10+SQRT(Parameters!$B$9)*NORM.S.INV(RAND())</f>
        <v/>
      </c>
      <c r="IE5" s="19">
        <f>SQRT(Parameters!$B$5)*Factors!IE2+SQRT(Parameters!$B$6)*Factors!IE8+SQRT(Parameters!$B$7)*Factors!IE10+SQRT(Parameters!$B$9)*NORM.S.INV(RAND())</f>
        <v/>
      </c>
      <c r="IF5" s="19">
        <f>SQRT(Parameters!$B$5)*Factors!IF2+SQRT(Parameters!$B$6)*Factors!IF8+SQRT(Parameters!$B$7)*Factors!IF10+SQRT(Parameters!$B$9)*NORM.S.INV(RAND())</f>
        <v/>
      </c>
      <c r="IG5" s="19">
        <f>SQRT(Parameters!$B$5)*Factors!IG2+SQRT(Parameters!$B$6)*Factors!IG8+SQRT(Parameters!$B$7)*Factors!IG10+SQRT(Parameters!$B$9)*NORM.S.INV(RAND())</f>
        <v/>
      </c>
      <c r="IH5" s="19">
        <f>SQRT(Parameters!$B$5)*Factors!IH2+SQRT(Parameters!$B$6)*Factors!IH8+SQRT(Parameters!$B$7)*Factors!IH10+SQRT(Parameters!$B$9)*NORM.S.INV(RAND())</f>
        <v/>
      </c>
      <c r="II5" s="19">
        <f>SQRT(Parameters!$B$5)*Factors!II2+SQRT(Parameters!$B$6)*Factors!II8+SQRT(Parameters!$B$7)*Factors!II10+SQRT(Parameters!$B$9)*NORM.S.INV(RAND())</f>
        <v/>
      </c>
      <c r="IJ5" s="19">
        <f>SQRT(Parameters!$B$5)*Factors!IJ2+SQRT(Parameters!$B$6)*Factors!IJ8+SQRT(Parameters!$B$7)*Factors!IJ10+SQRT(Parameters!$B$9)*NORM.S.INV(RAND())</f>
        <v/>
      </c>
      <c r="IK5" s="19">
        <f>SQRT(Parameters!$B$5)*Factors!IK2+SQRT(Parameters!$B$6)*Factors!IK8+SQRT(Parameters!$B$7)*Factors!IK10+SQRT(Parameters!$B$9)*NORM.S.INV(RAND())</f>
        <v/>
      </c>
      <c r="IL5" s="19">
        <f>SQRT(Parameters!$B$5)*Factors!IL2+SQRT(Parameters!$B$6)*Factors!IL8+SQRT(Parameters!$B$7)*Factors!IL10+SQRT(Parameters!$B$9)*NORM.S.INV(RAND())</f>
        <v/>
      </c>
      <c r="IM5" s="19">
        <f>SQRT(Parameters!$B$5)*Factors!IM2+SQRT(Parameters!$B$6)*Factors!IM8+SQRT(Parameters!$B$7)*Factors!IM10+SQRT(Parameters!$B$9)*NORM.S.INV(RAND())</f>
        <v/>
      </c>
      <c r="IN5" s="19">
        <f>SQRT(Parameters!$B$5)*Factors!IN2+SQRT(Parameters!$B$6)*Factors!IN8+SQRT(Parameters!$B$7)*Factors!IN10+SQRT(Parameters!$B$9)*NORM.S.INV(RAND())</f>
        <v/>
      </c>
      <c r="IO5" s="19">
        <f>SQRT(Parameters!$B$5)*Factors!IO2+SQRT(Parameters!$B$6)*Factors!IO8+SQRT(Parameters!$B$7)*Factors!IO10+SQRT(Parameters!$B$9)*NORM.S.INV(RAND())</f>
        <v/>
      </c>
      <c r="IP5" s="19">
        <f>SQRT(Parameters!$B$5)*Factors!IP2+SQRT(Parameters!$B$6)*Factors!IP8+SQRT(Parameters!$B$7)*Factors!IP10+SQRT(Parameters!$B$9)*NORM.S.INV(RAND())</f>
        <v/>
      </c>
      <c r="IQ5" s="19">
        <f>SQRT(Parameters!$B$5)*Factors!IQ2+SQRT(Parameters!$B$6)*Factors!IQ8+SQRT(Parameters!$B$7)*Factors!IQ10+SQRT(Parameters!$B$9)*NORM.S.INV(RAND())</f>
        <v/>
      </c>
      <c r="IR5" s="19">
        <f>SQRT(Parameters!$B$5)*Factors!IR2+SQRT(Parameters!$B$6)*Factors!IR8+SQRT(Parameters!$B$7)*Factors!IR10+SQRT(Parameters!$B$9)*NORM.S.INV(RAND())</f>
        <v/>
      </c>
      <c r="IS5" s="19">
        <f>SQRT(Parameters!$B$5)*Factors!IS2+SQRT(Parameters!$B$6)*Factors!IS8+SQRT(Parameters!$B$7)*Factors!IS10+SQRT(Parameters!$B$9)*NORM.S.INV(RAND())</f>
        <v/>
      </c>
      <c r="IT5" s="19">
        <f>SQRT(Parameters!$B$5)*Factors!IT2+SQRT(Parameters!$B$6)*Factors!IT8+SQRT(Parameters!$B$7)*Factors!IT10+SQRT(Parameters!$B$9)*NORM.S.INV(RAND())</f>
        <v/>
      </c>
      <c r="IU5" s="19">
        <f>SQRT(Parameters!$B$5)*Factors!IU2+SQRT(Parameters!$B$6)*Factors!IU8+SQRT(Parameters!$B$7)*Factors!IU10+SQRT(Parameters!$B$9)*NORM.S.INV(RAND())</f>
        <v/>
      </c>
      <c r="IV5" s="19">
        <f>SQRT(Parameters!$B$5)*Factors!IV2+SQRT(Parameters!$B$6)*Factors!IV8+SQRT(Parameters!$B$7)*Factors!IV10+SQRT(Parameters!$B$9)*NORM.S.INV(RAND())</f>
        <v/>
      </c>
      <c r="IW5" s="19">
        <f>SQRT(Parameters!$B$5)*Factors!IW2+SQRT(Parameters!$B$6)*Factors!IW8+SQRT(Parameters!$B$7)*Factors!IW10+SQRT(Parameters!$B$9)*NORM.S.INV(RAND())</f>
        <v/>
      </c>
      <c r="IX5" s="19">
        <f>SQRT(Parameters!$B$5)*Factors!IX2+SQRT(Parameters!$B$6)*Factors!IX8+SQRT(Parameters!$B$7)*Factors!IX10+SQRT(Parameters!$B$9)*NORM.S.INV(RAND())</f>
        <v/>
      </c>
      <c r="IY5" s="19">
        <f>SQRT(Parameters!$B$5)*Factors!IY2+SQRT(Parameters!$B$6)*Factors!IY8+SQRT(Parameters!$B$7)*Factors!IY10+SQRT(Parameters!$B$9)*NORM.S.INV(RAND())</f>
        <v/>
      </c>
      <c r="IZ5" s="19">
        <f>SQRT(Parameters!$B$5)*Factors!IZ2+SQRT(Parameters!$B$6)*Factors!IZ8+SQRT(Parameters!$B$7)*Factors!IZ10+SQRT(Parameters!$B$9)*NORM.S.INV(RAND())</f>
        <v/>
      </c>
      <c r="JA5" s="19">
        <f>SQRT(Parameters!$B$5)*Factors!JA2+SQRT(Parameters!$B$6)*Factors!JA8+SQRT(Parameters!$B$7)*Factors!JA10+SQRT(Parameters!$B$9)*NORM.S.INV(RAND())</f>
        <v/>
      </c>
      <c r="JB5" s="19">
        <f>SQRT(Parameters!$B$5)*Factors!JB2+SQRT(Parameters!$B$6)*Factors!JB8+SQRT(Parameters!$B$7)*Factors!JB10+SQRT(Parameters!$B$9)*NORM.S.INV(RAND())</f>
        <v/>
      </c>
      <c r="JC5" s="19">
        <f>SQRT(Parameters!$B$5)*Factors!JC2+SQRT(Parameters!$B$6)*Factors!JC8+SQRT(Parameters!$B$7)*Factors!JC10+SQRT(Parameters!$B$9)*NORM.S.INV(RAND())</f>
        <v/>
      </c>
      <c r="JD5" s="19">
        <f>SQRT(Parameters!$B$5)*Factors!JD2+SQRT(Parameters!$B$6)*Factors!JD8+SQRT(Parameters!$B$7)*Factors!JD10+SQRT(Parameters!$B$9)*NORM.S.INV(RAND())</f>
        <v/>
      </c>
      <c r="JE5" s="19">
        <f>SQRT(Parameters!$B$5)*Factors!JE2+SQRT(Parameters!$B$6)*Factors!JE8+SQRT(Parameters!$B$7)*Factors!JE10+SQRT(Parameters!$B$9)*NORM.S.INV(RAND())</f>
        <v/>
      </c>
      <c r="JF5" s="19">
        <f>SQRT(Parameters!$B$5)*Factors!JF2+SQRT(Parameters!$B$6)*Factors!JF8+SQRT(Parameters!$B$7)*Factors!JF10+SQRT(Parameters!$B$9)*NORM.S.INV(RAND())</f>
        <v/>
      </c>
      <c r="JG5" s="19">
        <f>SQRT(Parameters!$B$5)*Factors!JG2+SQRT(Parameters!$B$6)*Factors!JG8+SQRT(Parameters!$B$7)*Factors!JG10+SQRT(Parameters!$B$9)*NORM.S.INV(RAND())</f>
        <v/>
      </c>
      <c r="JH5" s="19">
        <f>SQRT(Parameters!$B$5)*Factors!JH2+SQRT(Parameters!$B$6)*Factors!JH8+SQRT(Parameters!$B$7)*Factors!JH10+SQRT(Parameters!$B$9)*NORM.S.INV(RAND())</f>
        <v/>
      </c>
      <c r="JI5" s="19">
        <f>SQRT(Parameters!$B$5)*Factors!JI2+SQRT(Parameters!$B$6)*Factors!JI8+SQRT(Parameters!$B$7)*Factors!JI10+SQRT(Parameters!$B$9)*NORM.S.INV(RAND())</f>
        <v/>
      </c>
      <c r="JJ5" s="19">
        <f>SQRT(Parameters!$B$5)*Factors!JJ2+SQRT(Parameters!$B$6)*Factors!JJ8+SQRT(Parameters!$B$7)*Factors!JJ10+SQRT(Parameters!$B$9)*NORM.S.INV(RAND())</f>
        <v/>
      </c>
      <c r="JK5" s="19">
        <f>SQRT(Parameters!$B$5)*Factors!JK2+SQRT(Parameters!$B$6)*Factors!JK8+SQRT(Parameters!$B$7)*Factors!JK10+SQRT(Parameters!$B$9)*NORM.S.INV(RAND())</f>
        <v/>
      </c>
      <c r="JL5" s="19">
        <f>SQRT(Parameters!$B$5)*Factors!JL2+SQRT(Parameters!$B$6)*Factors!JL8+SQRT(Parameters!$B$7)*Factors!JL10+SQRT(Parameters!$B$9)*NORM.S.INV(RAND())</f>
        <v/>
      </c>
      <c r="JM5" s="19">
        <f>SQRT(Parameters!$B$5)*Factors!JM2+SQRT(Parameters!$B$6)*Factors!JM8+SQRT(Parameters!$B$7)*Factors!JM10+SQRT(Parameters!$B$9)*NORM.S.INV(RAND())</f>
        <v/>
      </c>
      <c r="JN5" s="19">
        <f>SQRT(Parameters!$B$5)*Factors!JN2+SQRT(Parameters!$B$6)*Factors!JN8+SQRT(Parameters!$B$7)*Factors!JN10+SQRT(Parameters!$B$9)*NORM.S.INV(RAND())</f>
        <v/>
      </c>
      <c r="JO5" s="19">
        <f>SQRT(Parameters!$B$5)*Factors!JO2+SQRT(Parameters!$B$6)*Factors!JO8+SQRT(Parameters!$B$7)*Factors!JO10+SQRT(Parameters!$B$9)*NORM.S.INV(RAND())</f>
        <v/>
      </c>
      <c r="JP5" s="19">
        <f>SQRT(Parameters!$B$5)*Factors!JP2+SQRT(Parameters!$B$6)*Factors!JP8+SQRT(Parameters!$B$7)*Factors!JP10+SQRT(Parameters!$B$9)*NORM.S.INV(RAND())</f>
        <v/>
      </c>
      <c r="JQ5" s="19">
        <f>SQRT(Parameters!$B$5)*Factors!JQ2+SQRT(Parameters!$B$6)*Factors!JQ8+SQRT(Parameters!$B$7)*Factors!JQ10+SQRT(Parameters!$B$9)*NORM.S.INV(RAND())</f>
        <v/>
      </c>
      <c r="JR5" s="19">
        <f>SQRT(Parameters!$B$5)*Factors!JR2+SQRT(Parameters!$B$6)*Factors!JR8+SQRT(Parameters!$B$7)*Factors!JR10+SQRT(Parameters!$B$9)*NORM.S.INV(RAND())</f>
        <v/>
      </c>
      <c r="JS5" s="19">
        <f>SQRT(Parameters!$B$5)*Factors!JS2+SQRT(Parameters!$B$6)*Factors!JS8+SQRT(Parameters!$B$7)*Factors!JS10+SQRT(Parameters!$B$9)*NORM.S.INV(RAND())</f>
        <v/>
      </c>
      <c r="JT5" s="19">
        <f>SQRT(Parameters!$B$5)*Factors!JT2+SQRT(Parameters!$B$6)*Factors!JT8+SQRT(Parameters!$B$7)*Factors!JT10+SQRT(Parameters!$B$9)*NORM.S.INV(RAND())</f>
        <v/>
      </c>
      <c r="JU5" s="19">
        <f>SQRT(Parameters!$B$5)*Factors!JU2+SQRT(Parameters!$B$6)*Factors!JU8+SQRT(Parameters!$B$7)*Factors!JU10+SQRT(Parameters!$B$9)*NORM.S.INV(RAND())</f>
        <v/>
      </c>
      <c r="JV5" s="19">
        <f>SQRT(Parameters!$B$5)*Factors!JV2+SQRT(Parameters!$B$6)*Factors!JV8+SQRT(Parameters!$B$7)*Factors!JV10+SQRT(Parameters!$B$9)*NORM.S.INV(RAND())</f>
        <v/>
      </c>
      <c r="JW5" s="19">
        <f>SQRT(Parameters!$B$5)*Factors!JW2+SQRT(Parameters!$B$6)*Factors!JW8+SQRT(Parameters!$B$7)*Factors!JW10+SQRT(Parameters!$B$9)*NORM.S.INV(RAND())</f>
        <v/>
      </c>
      <c r="JX5" s="19">
        <f>SQRT(Parameters!$B$5)*Factors!JX2+SQRT(Parameters!$B$6)*Factors!JX8+SQRT(Parameters!$B$7)*Factors!JX10+SQRT(Parameters!$B$9)*NORM.S.INV(RAND())</f>
        <v/>
      </c>
      <c r="JY5" s="19">
        <f>SQRT(Parameters!$B$5)*Factors!JY2+SQRT(Parameters!$B$6)*Factors!JY8+SQRT(Parameters!$B$7)*Factors!JY10+SQRT(Parameters!$B$9)*NORM.S.INV(RAND())</f>
        <v/>
      </c>
      <c r="JZ5" s="19">
        <f>SQRT(Parameters!$B$5)*Factors!JZ2+SQRT(Parameters!$B$6)*Factors!JZ8+SQRT(Parameters!$B$7)*Factors!JZ10+SQRT(Parameters!$B$9)*NORM.S.INV(RAND())</f>
        <v/>
      </c>
      <c r="KA5" s="19">
        <f>SQRT(Parameters!$B$5)*Factors!KA2+SQRT(Parameters!$B$6)*Factors!KA8+SQRT(Parameters!$B$7)*Factors!KA10+SQRT(Parameters!$B$9)*NORM.S.INV(RAND())</f>
        <v/>
      </c>
      <c r="KB5" s="19">
        <f>SQRT(Parameters!$B$5)*Factors!KB2+SQRT(Parameters!$B$6)*Factors!KB8+SQRT(Parameters!$B$7)*Factors!KB10+SQRT(Parameters!$B$9)*NORM.S.INV(RAND())</f>
        <v/>
      </c>
      <c r="KC5" s="19">
        <f>SQRT(Parameters!$B$5)*Factors!KC2+SQRT(Parameters!$B$6)*Factors!KC8+SQRT(Parameters!$B$7)*Factors!KC10+SQRT(Parameters!$B$9)*NORM.S.INV(RAND())</f>
        <v/>
      </c>
      <c r="KD5" s="19">
        <f>SQRT(Parameters!$B$5)*Factors!KD2+SQRT(Parameters!$B$6)*Factors!KD8+SQRT(Parameters!$B$7)*Factors!KD10+SQRT(Parameters!$B$9)*NORM.S.INV(RAND())</f>
        <v/>
      </c>
      <c r="KE5" s="19">
        <f>SQRT(Parameters!$B$5)*Factors!KE2+SQRT(Parameters!$B$6)*Factors!KE8+SQRT(Parameters!$B$7)*Factors!KE10+SQRT(Parameters!$B$9)*NORM.S.INV(RAND())</f>
        <v/>
      </c>
      <c r="KF5" s="19">
        <f>SQRT(Parameters!$B$5)*Factors!KF2+SQRT(Parameters!$B$6)*Factors!KF8+SQRT(Parameters!$B$7)*Factors!KF10+SQRT(Parameters!$B$9)*NORM.S.INV(RAND())</f>
        <v/>
      </c>
      <c r="KG5" s="19">
        <f>SQRT(Parameters!$B$5)*Factors!KG2+SQRT(Parameters!$B$6)*Factors!KG8+SQRT(Parameters!$B$7)*Factors!KG10+SQRT(Parameters!$B$9)*NORM.S.INV(RAND())</f>
        <v/>
      </c>
      <c r="KH5" s="19">
        <f>SQRT(Parameters!$B$5)*Factors!KH2+SQRT(Parameters!$B$6)*Factors!KH8+SQRT(Parameters!$B$7)*Factors!KH10+SQRT(Parameters!$B$9)*NORM.S.INV(RAND())</f>
        <v/>
      </c>
      <c r="KI5" s="19">
        <f>SQRT(Parameters!$B$5)*Factors!KI2+SQRT(Parameters!$B$6)*Factors!KI8+SQRT(Parameters!$B$7)*Factors!KI10+SQRT(Parameters!$B$9)*NORM.S.INV(RAND())</f>
        <v/>
      </c>
      <c r="KJ5" s="19">
        <f>SQRT(Parameters!$B$5)*Factors!KJ2+SQRT(Parameters!$B$6)*Factors!KJ8+SQRT(Parameters!$B$7)*Factors!KJ10+SQRT(Parameters!$B$9)*NORM.S.INV(RAND())</f>
        <v/>
      </c>
      <c r="KK5" s="19">
        <f>SQRT(Parameters!$B$5)*Factors!KK2+SQRT(Parameters!$B$6)*Factors!KK8+SQRT(Parameters!$B$7)*Factors!KK10+SQRT(Parameters!$B$9)*NORM.S.INV(RAND())</f>
        <v/>
      </c>
      <c r="KL5" s="19">
        <f>SQRT(Parameters!$B$5)*Factors!KL2+SQRT(Parameters!$B$6)*Factors!KL8+SQRT(Parameters!$B$7)*Factors!KL10+SQRT(Parameters!$B$9)*NORM.S.INV(RAND())</f>
        <v/>
      </c>
      <c r="KM5" s="19">
        <f>SQRT(Parameters!$B$5)*Factors!KM2+SQRT(Parameters!$B$6)*Factors!KM8+SQRT(Parameters!$B$7)*Factors!KM10+SQRT(Parameters!$B$9)*NORM.S.INV(RAND())</f>
        <v/>
      </c>
      <c r="KN5" s="19">
        <f>SQRT(Parameters!$B$5)*Factors!KN2+SQRT(Parameters!$B$6)*Factors!KN8+SQRT(Parameters!$B$7)*Factors!KN10+SQRT(Parameters!$B$9)*NORM.S.INV(RAND())</f>
        <v/>
      </c>
      <c r="KO5" s="19">
        <f>SQRT(Parameters!$B$5)*Factors!KO2+SQRT(Parameters!$B$6)*Factors!KO8+SQRT(Parameters!$B$7)*Factors!KO10+SQRT(Parameters!$B$9)*NORM.S.INV(RAND())</f>
        <v/>
      </c>
      <c r="KP5" s="19">
        <f>SQRT(Parameters!$B$5)*Factors!KP2+SQRT(Parameters!$B$6)*Factors!KP8+SQRT(Parameters!$B$7)*Factors!KP10+SQRT(Parameters!$B$9)*NORM.S.INV(RAND())</f>
        <v/>
      </c>
      <c r="KQ5" s="19">
        <f>SQRT(Parameters!$B$5)*Factors!KQ2+SQRT(Parameters!$B$6)*Factors!KQ8+SQRT(Parameters!$B$7)*Factors!KQ10+SQRT(Parameters!$B$9)*NORM.S.INV(RAND())</f>
        <v/>
      </c>
      <c r="KR5" s="19">
        <f>SQRT(Parameters!$B$5)*Factors!KR2+SQRT(Parameters!$B$6)*Factors!KR8+SQRT(Parameters!$B$7)*Factors!KR10+SQRT(Parameters!$B$9)*NORM.S.INV(RAND())</f>
        <v/>
      </c>
      <c r="KS5" s="19">
        <f>SQRT(Parameters!$B$5)*Factors!KS2+SQRT(Parameters!$B$6)*Factors!KS8+SQRT(Parameters!$B$7)*Factors!KS10+SQRT(Parameters!$B$9)*NORM.S.INV(RAND())</f>
        <v/>
      </c>
      <c r="KT5" s="19">
        <f>SQRT(Parameters!$B$5)*Factors!KT2+SQRT(Parameters!$B$6)*Factors!KT8+SQRT(Parameters!$B$7)*Factors!KT10+SQRT(Parameters!$B$9)*NORM.S.INV(RAND())</f>
        <v/>
      </c>
      <c r="KU5" s="19">
        <f>SQRT(Parameters!$B$5)*Factors!KU2+SQRT(Parameters!$B$6)*Factors!KU8+SQRT(Parameters!$B$7)*Factors!KU10+SQRT(Parameters!$B$9)*NORM.S.INV(RAND())</f>
        <v/>
      </c>
      <c r="KV5" s="19">
        <f>SQRT(Parameters!$B$5)*Factors!KV2+SQRT(Parameters!$B$6)*Factors!KV8+SQRT(Parameters!$B$7)*Factors!KV10+SQRT(Parameters!$B$9)*NORM.S.INV(RAND())</f>
        <v/>
      </c>
      <c r="KW5" s="19">
        <f>SQRT(Parameters!$B$5)*Factors!KW2+SQRT(Parameters!$B$6)*Factors!KW8+SQRT(Parameters!$B$7)*Factors!KW10+SQRT(Parameters!$B$9)*NORM.S.INV(RAND())</f>
        <v/>
      </c>
      <c r="KX5" s="19">
        <f>SQRT(Parameters!$B$5)*Factors!KX2+SQRT(Parameters!$B$6)*Factors!KX8+SQRT(Parameters!$B$7)*Factors!KX10+SQRT(Parameters!$B$9)*NORM.S.INV(RAND())</f>
        <v/>
      </c>
      <c r="KY5" s="19">
        <f>SQRT(Parameters!$B$5)*Factors!KY2+SQRT(Parameters!$B$6)*Factors!KY8+SQRT(Parameters!$B$7)*Factors!KY10+SQRT(Parameters!$B$9)*NORM.S.INV(RAND())</f>
        <v/>
      </c>
      <c r="KZ5" s="19">
        <f>SQRT(Parameters!$B$5)*Factors!KZ2+SQRT(Parameters!$B$6)*Factors!KZ8+SQRT(Parameters!$B$7)*Factors!KZ10+SQRT(Parameters!$B$9)*NORM.S.INV(RAND())</f>
        <v/>
      </c>
      <c r="LA5" s="19">
        <f>SQRT(Parameters!$B$5)*Factors!LA2+SQRT(Parameters!$B$6)*Factors!LA8+SQRT(Parameters!$B$7)*Factors!LA10+SQRT(Parameters!$B$9)*NORM.S.INV(RAND())</f>
        <v/>
      </c>
      <c r="LB5" s="19">
        <f>SQRT(Parameters!$B$5)*Factors!LB2+SQRT(Parameters!$B$6)*Factors!LB8+SQRT(Parameters!$B$7)*Factors!LB10+SQRT(Parameters!$B$9)*NORM.S.INV(RAND())</f>
        <v/>
      </c>
      <c r="LC5" s="19">
        <f>SQRT(Parameters!$B$5)*Factors!LC2+SQRT(Parameters!$B$6)*Factors!LC8+SQRT(Parameters!$B$7)*Factors!LC10+SQRT(Parameters!$B$9)*NORM.S.INV(RAND())</f>
        <v/>
      </c>
      <c r="LD5" s="19">
        <f>SQRT(Parameters!$B$5)*Factors!LD2+SQRT(Parameters!$B$6)*Factors!LD8+SQRT(Parameters!$B$7)*Factors!LD10+SQRT(Parameters!$B$9)*NORM.S.INV(RAND())</f>
        <v/>
      </c>
      <c r="LE5" s="19">
        <f>SQRT(Parameters!$B$5)*Factors!LE2+SQRT(Parameters!$B$6)*Factors!LE8+SQRT(Parameters!$B$7)*Factors!LE10+SQRT(Parameters!$B$9)*NORM.S.INV(RAND())</f>
        <v/>
      </c>
      <c r="LF5" s="19">
        <f>SQRT(Parameters!$B$5)*Factors!LF2+SQRT(Parameters!$B$6)*Factors!LF8+SQRT(Parameters!$B$7)*Factors!LF10+SQRT(Parameters!$B$9)*NORM.S.INV(RAND())</f>
        <v/>
      </c>
      <c r="LG5" s="19">
        <f>SQRT(Parameters!$B$5)*Factors!LG2+SQRT(Parameters!$B$6)*Factors!LG8+SQRT(Parameters!$B$7)*Factors!LG10+SQRT(Parameters!$B$9)*NORM.S.INV(RAND())</f>
        <v/>
      </c>
      <c r="LH5" s="19">
        <f>SQRT(Parameters!$B$5)*Factors!LH2+SQRT(Parameters!$B$6)*Factors!LH8+SQRT(Parameters!$B$7)*Factors!LH10+SQRT(Parameters!$B$9)*NORM.S.INV(RAND())</f>
        <v/>
      </c>
      <c r="LI5" s="19">
        <f>SQRT(Parameters!$B$5)*Factors!LI2+SQRT(Parameters!$B$6)*Factors!LI8+SQRT(Parameters!$B$7)*Factors!LI10+SQRT(Parameters!$B$9)*NORM.S.INV(RAND())</f>
        <v/>
      </c>
      <c r="LJ5" s="19">
        <f>SQRT(Parameters!$B$5)*Factors!LJ2+SQRT(Parameters!$B$6)*Factors!LJ8+SQRT(Parameters!$B$7)*Factors!LJ10+SQRT(Parameters!$B$9)*NORM.S.INV(RAND())</f>
        <v/>
      </c>
      <c r="LK5" s="19">
        <f>SQRT(Parameters!$B$5)*Factors!LK2+SQRT(Parameters!$B$6)*Factors!LK8+SQRT(Parameters!$B$7)*Factors!LK10+SQRT(Parameters!$B$9)*NORM.S.INV(RAND())</f>
        <v/>
      </c>
      <c r="LL5" s="19">
        <f>SQRT(Parameters!$B$5)*Factors!LL2+SQRT(Parameters!$B$6)*Factors!LL8+SQRT(Parameters!$B$7)*Factors!LL10+SQRT(Parameters!$B$9)*NORM.S.INV(RAND())</f>
        <v/>
      </c>
      <c r="LM5" s="19">
        <f>SQRT(Parameters!$B$5)*Factors!LM2+SQRT(Parameters!$B$6)*Factors!LM8+SQRT(Parameters!$B$7)*Factors!LM10+SQRT(Parameters!$B$9)*NORM.S.INV(RAND())</f>
        <v/>
      </c>
      <c r="LN5" s="19">
        <f>SQRT(Parameters!$B$5)*Factors!LN2+SQRT(Parameters!$B$6)*Factors!LN8+SQRT(Parameters!$B$7)*Factors!LN10+SQRT(Parameters!$B$9)*NORM.S.INV(RAND())</f>
        <v/>
      </c>
      <c r="LO5" s="19">
        <f>SQRT(Parameters!$B$5)*Factors!LO2+SQRT(Parameters!$B$6)*Factors!LO8+SQRT(Parameters!$B$7)*Factors!LO10+SQRT(Parameters!$B$9)*NORM.S.INV(RAND())</f>
        <v/>
      </c>
      <c r="LP5" s="19">
        <f>SQRT(Parameters!$B$5)*Factors!LP2+SQRT(Parameters!$B$6)*Factors!LP8+SQRT(Parameters!$B$7)*Factors!LP10+SQRT(Parameters!$B$9)*NORM.S.INV(RAND())</f>
        <v/>
      </c>
      <c r="LQ5" s="19">
        <f>SQRT(Parameters!$B$5)*Factors!LQ2+SQRT(Parameters!$B$6)*Factors!LQ8+SQRT(Parameters!$B$7)*Factors!LQ10+SQRT(Parameters!$B$9)*NORM.S.INV(RAND())</f>
        <v/>
      </c>
      <c r="LR5" s="19">
        <f>SQRT(Parameters!$B$5)*Factors!LR2+SQRT(Parameters!$B$6)*Factors!LR8+SQRT(Parameters!$B$7)*Factors!LR10+SQRT(Parameters!$B$9)*NORM.S.INV(RAND())</f>
        <v/>
      </c>
      <c r="LS5" s="19">
        <f>SQRT(Parameters!$B$5)*Factors!LS2+SQRT(Parameters!$B$6)*Factors!LS8+SQRT(Parameters!$B$7)*Factors!LS10+SQRT(Parameters!$B$9)*NORM.S.INV(RAND())</f>
        <v/>
      </c>
      <c r="LT5" s="19">
        <f>SQRT(Parameters!$B$5)*Factors!LT2+SQRT(Parameters!$B$6)*Factors!LT8+SQRT(Parameters!$B$7)*Factors!LT10+SQRT(Parameters!$B$9)*NORM.S.INV(RAND())</f>
        <v/>
      </c>
      <c r="LU5" s="19">
        <f>SQRT(Parameters!$B$5)*Factors!LU2+SQRT(Parameters!$B$6)*Factors!LU8+SQRT(Parameters!$B$7)*Factors!LU10+SQRT(Parameters!$B$9)*NORM.S.INV(RAND())</f>
        <v/>
      </c>
      <c r="LV5" s="19">
        <f>SQRT(Parameters!$B$5)*Factors!LV2+SQRT(Parameters!$B$6)*Factors!LV8+SQRT(Parameters!$B$7)*Factors!LV10+SQRT(Parameters!$B$9)*NORM.S.INV(RAND())</f>
        <v/>
      </c>
      <c r="LW5" s="19">
        <f>SQRT(Parameters!$B$5)*Factors!LW2+SQRT(Parameters!$B$6)*Factors!LW8+SQRT(Parameters!$B$7)*Factors!LW10+SQRT(Parameters!$B$9)*NORM.S.INV(RAND())</f>
        <v/>
      </c>
      <c r="LX5" s="19">
        <f>SQRT(Parameters!$B$5)*Factors!LX2+SQRT(Parameters!$B$6)*Factors!LX8+SQRT(Parameters!$B$7)*Factors!LX10+SQRT(Parameters!$B$9)*NORM.S.INV(RAND())</f>
        <v/>
      </c>
      <c r="LY5" s="19">
        <f>SQRT(Parameters!$B$5)*Factors!LY2+SQRT(Parameters!$B$6)*Factors!LY8+SQRT(Parameters!$B$7)*Factors!LY10+SQRT(Parameters!$B$9)*NORM.S.INV(RAND())</f>
        <v/>
      </c>
      <c r="LZ5" s="19">
        <f>SQRT(Parameters!$B$5)*Factors!LZ2+SQRT(Parameters!$B$6)*Factors!LZ8+SQRT(Parameters!$B$7)*Factors!LZ10+SQRT(Parameters!$B$9)*NORM.S.INV(RAND())</f>
        <v/>
      </c>
      <c r="MA5" s="19">
        <f>SQRT(Parameters!$B$5)*Factors!MA2+SQRT(Parameters!$B$6)*Factors!MA8+SQRT(Parameters!$B$7)*Factors!MA10+SQRT(Parameters!$B$9)*NORM.S.INV(RAND())</f>
        <v/>
      </c>
      <c r="MB5" s="19">
        <f>SQRT(Parameters!$B$5)*Factors!MB2+SQRT(Parameters!$B$6)*Factors!MB8+SQRT(Parameters!$B$7)*Factors!MB10+SQRT(Parameters!$B$9)*NORM.S.INV(RAND())</f>
        <v/>
      </c>
      <c r="MC5" s="19">
        <f>SQRT(Parameters!$B$5)*Factors!MC2+SQRT(Parameters!$B$6)*Factors!MC8+SQRT(Parameters!$B$7)*Factors!MC10+SQRT(Parameters!$B$9)*NORM.S.INV(RAND())</f>
        <v/>
      </c>
      <c r="MD5" s="19">
        <f>SQRT(Parameters!$B$5)*Factors!MD2+SQRT(Parameters!$B$6)*Factors!MD8+SQRT(Parameters!$B$7)*Factors!MD10+SQRT(Parameters!$B$9)*NORM.S.INV(RAND())</f>
        <v/>
      </c>
      <c r="ME5" s="19">
        <f>SQRT(Parameters!$B$5)*Factors!ME2+SQRT(Parameters!$B$6)*Factors!ME8+SQRT(Parameters!$B$7)*Factors!ME10+SQRT(Parameters!$B$9)*NORM.S.INV(RAND())</f>
        <v/>
      </c>
      <c r="MF5" s="19">
        <f>SQRT(Parameters!$B$5)*Factors!MF2+SQRT(Parameters!$B$6)*Factors!MF8+SQRT(Parameters!$B$7)*Factors!MF10+SQRT(Parameters!$B$9)*NORM.S.INV(RAND())</f>
        <v/>
      </c>
      <c r="MG5" s="19">
        <f>SQRT(Parameters!$B$5)*Factors!MG2+SQRT(Parameters!$B$6)*Factors!MG8+SQRT(Parameters!$B$7)*Factors!MG10+SQRT(Parameters!$B$9)*NORM.S.INV(RAND())</f>
        <v/>
      </c>
      <c r="MH5" s="19">
        <f>SQRT(Parameters!$B$5)*Factors!MH2+SQRT(Parameters!$B$6)*Factors!MH8+SQRT(Parameters!$B$7)*Factors!MH10+SQRT(Parameters!$B$9)*NORM.S.INV(RAND())</f>
        <v/>
      </c>
      <c r="MI5" s="19">
        <f>SQRT(Parameters!$B$5)*Factors!MI2+SQRT(Parameters!$B$6)*Factors!MI8+SQRT(Parameters!$B$7)*Factors!MI10+SQRT(Parameters!$B$9)*NORM.S.INV(RAND())</f>
        <v/>
      </c>
      <c r="MJ5" s="19">
        <f>SQRT(Parameters!$B$5)*Factors!MJ2+SQRT(Parameters!$B$6)*Factors!MJ8+SQRT(Parameters!$B$7)*Factors!MJ10+SQRT(Parameters!$B$9)*NORM.S.INV(RAND())</f>
        <v/>
      </c>
      <c r="MK5" s="19">
        <f>SQRT(Parameters!$B$5)*Factors!MK2+SQRT(Parameters!$B$6)*Factors!MK8+SQRT(Parameters!$B$7)*Factors!MK10+SQRT(Parameters!$B$9)*NORM.S.INV(RAND())</f>
        <v/>
      </c>
      <c r="ML5" s="19">
        <f>SQRT(Parameters!$B$5)*Factors!ML2+SQRT(Parameters!$B$6)*Factors!ML8+SQRT(Parameters!$B$7)*Factors!ML10+SQRT(Parameters!$B$9)*NORM.S.INV(RAND())</f>
        <v/>
      </c>
      <c r="MM5" s="19">
        <f>SQRT(Parameters!$B$5)*Factors!MM2+SQRT(Parameters!$B$6)*Factors!MM8+SQRT(Parameters!$B$7)*Factors!MM10+SQRT(Parameters!$B$9)*NORM.S.INV(RAND())</f>
        <v/>
      </c>
      <c r="MN5" s="19">
        <f>SQRT(Parameters!$B$5)*Factors!MN2+SQRT(Parameters!$B$6)*Factors!MN8+SQRT(Parameters!$B$7)*Factors!MN10+SQRT(Parameters!$B$9)*NORM.S.INV(RAND())</f>
        <v/>
      </c>
      <c r="MO5" s="19">
        <f>SQRT(Parameters!$B$5)*Factors!MO2+SQRT(Parameters!$B$6)*Factors!MO8+SQRT(Parameters!$B$7)*Factors!MO10+SQRT(Parameters!$B$9)*NORM.S.INV(RAND())</f>
        <v/>
      </c>
      <c r="MP5" s="19">
        <f>SQRT(Parameters!$B$5)*Factors!MP2+SQRT(Parameters!$B$6)*Factors!MP8+SQRT(Parameters!$B$7)*Factors!MP10+SQRT(Parameters!$B$9)*NORM.S.INV(RAND())</f>
        <v/>
      </c>
      <c r="MQ5" s="19">
        <f>SQRT(Parameters!$B$5)*Factors!MQ2+SQRT(Parameters!$B$6)*Factors!MQ8+SQRT(Parameters!$B$7)*Factors!MQ10+SQRT(Parameters!$B$9)*NORM.S.INV(RAND())</f>
        <v/>
      </c>
      <c r="MR5" s="19">
        <f>SQRT(Parameters!$B$5)*Factors!MR2+SQRT(Parameters!$B$6)*Factors!MR8+SQRT(Parameters!$B$7)*Factors!MR10+SQRT(Parameters!$B$9)*NORM.S.INV(RAND())</f>
        <v/>
      </c>
      <c r="MS5" s="19">
        <f>SQRT(Parameters!$B$5)*Factors!MS2+SQRT(Parameters!$B$6)*Factors!MS8+SQRT(Parameters!$B$7)*Factors!MS10+SQRT(Parameters!$B$9)*NORM.S.INV(RAND())</f>
        <v/>
      </c>
      <c r="MT5" s="19">
        <f>SQRT(Parameters!$B$5)*Factors!MT2+SQRT(Parameters!$B$6)*Factors!MT8+SQRT(Parameters!$B$7)*Factors!MT10+SQRT(Parameters!$B$9)*NORM.S.INV(RAND())</f>
        <v/>
      </c>
      <c r="MU5" s="19">
        <f>SQRT(Parameters!$B$5)*Factors!MU2+SQRT(Parameters!$B$6)*Factors!MU8+SQRT(Parameters!$B$7)*Factors!MU10+SQRT(Parameters!$B$9)*NORM.S.INV(RAND())</f>
        <v/>
      </c>
      <c r="MV5" s="19">
        <f>SQRT(Parameters!$B$5)*Factors!MV2+SQRT(Parameters!$B$6)*Factors!MV8+SQRT(Parameters!$B$7)*Factors!MV10+SQRT(Parameters!$B$9)*NORM.S.INV(RAND())</f>
        <v/>
      </c>
      <c r="MW5" s="19">
        <f>SQRT(Parameters!$B$5)*Factors!MW2+SQRT(Parameters!$B$6)*Factors!MW8+SQRT(Parameters!$B$7)*Factors!MW10+SQRT(Parameters!$B$9)*NORM.S.INV(RAND())</f>
        <v/>
      </c>
      <c r="MX5" s="19">
        <f>SQRT(Parameters!$B$5)*Factors!MX2+SQRT(Parameters!$B$6)*Factors!MX8+SQRT(Parameters!$B$7)*Factors!MX10+SQRT(Parameters!$B$9)*NORM.S.INV(RAND())</f>
        <v/>
      </c>
      <c r="MY5" s="19">
        <f>SQRT(Parameters!$B$5)*Factors!MY2+SQRT(Parameters!$B$6)*Factors!MY8+SQRT(Parameters!$B$7)*Factors!MY10+SQRT(Parameters!$B$9)*NORM.S.INV(RAND())</f>
        <v/>
      </c>
      <c r="MZ5" s="19">
        <f>SQRT(Parameters!$B$5)*Factors!MZ2+SQRT(Parameters!$B$6)*Factors!MZ8+SQRT(Parameters!$B$7)*Factors!MZ10+SQRT(Parameters!$B$9)*NORM.S.INV(RAND())</f>
        <v/>
      </c>
      <c r="NA5" s="19">
        <f>SQRT(Parameters!$B$5)*Factors!NA2+SQRT(Parameters!$B$6)*Factors!NA8+SQRT(Parameters!$B$7)*Factors!NA10+SQRT(Parameters!$B$9)*NORM.S.INV(RAND())</f>
        <v/>
      </c>
      <c r="NB5" s="19">
        <f>SQRT(Parameters!$B$5)*Factors!NB2+SQRT(Parameters!$B$6)*Factors!NB8+SQRT(Parameters!$B$7)*Factors!NB10+SQRT(Parameters!$B$9)*NORM.S.INV(RAND())</f>
        <v/>
      </c>
      <c r="NC5" s="19">
        <f>SQRT(Parameters!$B$5)*Factors!NC2+SQRT(Parameters!$B$6)*Factors!NC8+SQRT(Parameters!$B$7)*Factors!NC10+SQRT(Parameters!$B$9)*NORM.S.INV(RAND())</f>
        <v/>
      </c>
      <c r="ND5" s="19">
        <f>SQRT(Parameters!$B$5)*Factors!ND2+SQRT(Parameters!$B$6)*Factors!ND8+SQRT(Parameters!$B$7)*Factors!ND10+SQRT(Parameters!$B$9)*NORM.S.INV(RAND())</f>
        <v/>
      </c>
      <c r="NE5" s="19">
        <f>SQRT(Parameters!$B$5)*Factors!NE2+SQRT(Parameters!$B$6)*Factors!NE8+SQRT(Parameters!$B$7)*Factors!NE10+SQRT(Parameters!$B$9)*NORM.S.INV(RAND())</f>
        <v/>
      </c>
      <c r="NF5" s="19">
        <f>SQRT(Parameters!$B$5)*Factors!NF2+SQRT(Parameters!$B$6)*Factors!NF8+SQRT(Parameters!$B$7)*Factors!NF10+SQRT(Parameters!$B$9)*NORM.S.INV(RAND())</f>
        <v/>
      </c>
      <c r="NG5" s="19">
        <f>SQRT(Parameters!$B$5)*Factors!NG2+SQRT(Parameters!$B$6)*Factors!NG8+SQRT(Parameters!$B$7)*Factors!NG10+SQRT(Parameters!$B$9)*NORM.S.INV(RAND())</f>
        <v/>
      </c>
      <c r="NH5" s="19">
        <f>SQRT(Parameters!$B$5)*Factors!NH2+SQRT(Parameters!$B$6)*Factors!NH8+SQRT(Parameters!$B$7)*Factors!NH10+SQRT(Parameters!$B$9)*NORM.S.INV(RAND())</f>
        <v/>
      </c>
      <c r="NI5" s="19">
        <f>SQRT(Parameters!$B$5)*Factors!NI2+SQRT(Parameters!$B$6)*Factors!NI8+SQRT(Parameters!$B$7)*Factors!NI10+SQRT(Parameters!$B$9)*NORM.S.INV(RAND())</f>
        <v/>
      </c>
      <c r="NJ5" s="19">
        <f>SQRT(Parameters!$B$5)*Factors!NJ2+SQRT(Parameters!$B$6)*Factors!NJ8+SQRT(Parameters!$B$7)*Factors!NJ10+SQRT(Parameters!$B$9)*NORM.S.INV(RAND())</f>
        <v/>
      </c>
      <c r="NK5" s="19">
        <f>SQRT(Parameters!$B$5)*Factors!NK2+SQRT(Parameters!$B$6)*Factors!NK8+SQRT(Parameters!$B$7)*Factors!NK10+SQRT(Parameters!$B$9)*NORM.S.INV(RAND())</f>
        <v/>
      </c>
      <c r="NL5" s="19">
        <f>SQRT(Parameters!$B$5)*Factors!NL2+SQRT(Parameters!$B$6)*Factors!NL8+SQRT(Parameters!$B$7)*Factors!NL10+SQRT(Parameters!$B$9)*NORM.S.INV(RAND())</f>
        <v/>
      </c>
      <c r="NM5" s="19">
        <f>SQRT(Parameters!$B$5)*Factors!NM2+SQRT(Parameters!$B$6)*Factors!NM8+SQRT(Parameters!$B$7)*Factors!NM10+SQRT(Parameters!$B$9)*NORM.S.INV(RAND())</f>
        <v/>
      </c>
      <c r="NN5" s="19">
        <f>SQRT(Parameters!$B$5)*Factors!NN2+SQRT(Parameters!$B$6)*Factors!NN8+SQRT(Parameters!$B$7)*Factors!NN10+SQRT(Parameters!$B$9)*NORM.S.INV(RAND())</f>
        <v/>
      </c>
      <c r="NO5" s="19">
        <f>SQRT(Parameters!$B$5)*Factors!NO2+SQRT(Parameters!$B$6)*Factors!NO8+SQRT(Parameters!$B$7)*Factors!NO10+SQRT(Parameters!$B$9)*NORM.S.INV(RAND())</f>
        <v/>
      </c>
      <c r="NP5" s="19">
        <f>SQRT(Parameters!$B$5)*Factors!NP2+SQRT(Parameters!$B$6)*Factors!NP8+SQRT(Parameters!$B$7)*Factors!NP10+SQRT(Parameters!$B$9)*NORM.S.INV(RAND())</f>
        <v/>
      </c>
      <c r="NQ5" s="19">
        <f>SQRT(Parameters!$B$5)*Factors!NQ2+SQRT(Parameters!$B$6)*Factors!NQ8+SQRT(Parameters!$B$7)*Factors!NQ10+SQRT(Parameters!$B$9)*NORM.S.INV(RAND())</f>
        <v/>
      </c>
      <c r="NR5" s="19">
        <f>SQRT(Parameters!$B$5)*Factors!NR2+SQRT(Parameters!$B$6)*Factors!NR8+SQRT(Parameters!$B$7)*Factors!NR10+SQRT(Parameters!$B$9)*NORM.S.INV(RAND())</f>
        <v/>
      </c>
      <c r="NS5" s="19">
        <f>SQRT(Parameters!$B$5)*Factors!NS2+SQRT(Parameters!$B$6)*Factors!NS8+SQRT(Parameters!$B$7)*Factors!NS10+SQRT(Parameters!$B$9)*NORM.S.INV(RAND())</f>
        <v/>
      </c>
      <c r="NT5" s="19">
        <f>SQRT(Parameters!$B$5)*Factors!NT2+SQRT(Parameters!$B$6)*Factors!NT8+SQRT(Parameters!$B$7)*Factors!NT10+SQRT(Parameters!$B$9)*NORM.S.INV(RAND())</f>
        <v/>
      </c>
      <c r="NU5" s="19">
        <f>SQRT(Parameters!$B$5)*Factors!NU2+SQRT(Parameters!$B$6)*Factors!NU8+SQRT(Parameters!$B$7)*Factors!NU10+SQRT(Parameters!$B$9)*NORM.S.INV(RAND())</f>
        <v/>
      </c>
      <c r="NV5" s="19">
        <f>SQRT(Parameters!$B$5)*Factors!NV2+SQRT(Parameters!$B$6)*Factors!NV8+SQRT(Parameters!$B$7)*Factors!NV10+SQRT(Parameters!$B$9)*NORM.S.INV(RAND())</f>
        <v/>
      </c>
      <c r="NW5" s="19">
        <f>SQRT(Parameters!$B$5)*Factors!NW2+SQRT(Parameters!$B$6)*Factors!NW8+SQRT(Parameters!$B$7)*Factors!NW10+SQRT(Parameters!$B$9)*NORM.S.INV(RAND())</f>
        <v/>
      </c>
      <c r="NX5" s="19">
        <f>SQRT(Parameters!$B$5)*Factors!NX2+SQRT(Parameters!$B$6)*Factors!NX8+SQRT(Parameters!$B$7)*Factors!NX10+SQRT(Parameters!$B$9)*NORM.S.INV(RAND())</f>
        <v/>
      </c>
      <c r="NY5" s="19">
        <f>SQRT(Parameters!$B$5)*Factors!NY2+SQRT(Parameters!$B$6)*Factors!NY8+SQRT(Parameters!$B$7)*Factors!NY10+SQRT(Parameters!$B$9)*NORM.S.INV(RAND())</f>
        <v/>
      </c>
      <c r="NZ5" s="19">
        <f>SQRT(Parameters!$B$5)*Factors!NZ2+SQRT(Parameters!$B$6)*Factors!NZ8+SQRT(Parameters!$B$7)*Factors!NZ10+SQRT(Parameters!$B$9)*NORM.S.INV(RAND())</f>
        <v/>
      </c>
      <c r="OA5" s="19">
        <f>SQRT(Parameters!$B$5)*Factors!OA2+SQRT(Parameters!$B$6)*Factors!OA8+SQRT(Parameters!$B$7)*Factors!OA10+SQRT(Parameters!$B$9)*NORM.S.INV(RAND())</f>
        <v/>
      </c>
      <c r="OB5" s="19">
        <f>SQRT(Parameters!$B$5)*Factors!OB2+SQRT(Parameters!$B$6)*Factors!OB8+SQRT(Parameters!$B$7)*Factors!OB10+SQRT(Parameters!$B$9)*NORM.S.INV(RAND())</f>
        <v/>
      </c>
      <c r="OC5" s="19">
        <f>SQRT(Parameters!$B$5)*Factors!OC2+SQRT(Parameters!$B$6)*Factors!OC8+SQRT(Parameters!$B$7)*Factors!OC10+SQRT(Parameters!$B$9)*NORM.S.INV(RAND())</f>
        <v/>
      </c>
      <c r="OD5" s="19">
        <f>SQRT(Parameters!$B$5)*Factors!OD2+SQRT(Parameters!$B$6)*Factors!OD8+SQRT(Parameters!$B$7)*Factors!OD10+SQRT(Parameters!$B$9)*NORM.S.INV(RAND())</f>
        <v/>
      </c>
      <c r="OE5" s="19">
        <f>SQRT(Parameters!$B$5)*Factors!OE2+SQRT(Parameters!$B$6)*Factors!OE8+SQRT(Parameters!$B$7)*Factors!OE10+SQRT(Parameters!$B$9)*NORM.S.INV(RAND())</f>
        <v/>
      </c>
      <c r="OF5" s="19">
        <f>SQRT(Parameters!$B$5)*Factors!OF2+SQRT(Parameters!$B$6)*Factors!OF8+SQRT(Parameters!$B$7)*Factors!OF10+SQRT(Parameters!$B$9)*NORM.S.INV(RAND())</f>
        <v/>
      </c>
      <c r="OG5" s="19">
        <f>SQRT(Parameters!$B$5)*Factors!OG2+SQRT(Parameters!$B$6)*Factors!OG8+SQRT(Parameters!$B$7)*Factors!OG10+SQRT(Parameters!$B$9)*NORM.S.INV(RAND())</f>
        <v/>
      </c>
      <c r="OH5" s="19">
        <f>SQRT(Parameters!$B$5)*Factors!OH2+SQRT(Parameters!$B$6)*Factors!OH8+SQRT(Parameters!$B$7)*Factors!OH10+SQRT(Parameters!$B$9)*NORM.S.INV(RAND())</f>
        <v/>
      </c>
      <c r="OI5" s="19">
        <f>SQRT(Parameters!$B$5)*Factors!OI2+SQRT(Parameters!$B$6)*Factors!OI8+SQRT(Parameters!$B$7)*Factors!OI10+SQRT(Parameters!$B$9)*NORM.S.INV(RAND())</f>
        <v/>
      </c>
      <c r="OJ5" s="19">
        <f>SQRT(Parameters!$B$5)*Factors!OJ2+SQRT(Parameters!$B$6)*Factors!OJ8+SQRT(Parameters!$B$7)*Factors!OJ10+SQRT(Parameters!$B$9)*NORM.S.INV(RAND())</f>
        <v/>
      </c>
      <c r="OK5" s="19">
        <f>SQRT(Parameters!$B$5)*Factors!OK2+SQRT(Parameters!$B$6)*Factors!OK8+SQRT(Parameters!$B$7)*Factors!OK10+SQRT(Parameters!$B$9)*NORM.S.INV(RAND())</f>
        <v/>
      </c>
      <c r="OL5" s="19">
        <f>SQRT(Parameters!$B$5)*Factors!OL2+SQRT(Parameters!$B$6)*Factors!OL8+SQRT(Parameters!$B$7)*Factors!OL10+SQRT(Parameters!$B$9)*NORM.S.INV(RAND())</f>
        <v/>
      </c>
      <c r="OM5" s="19">
        <f>SQRT(Parameters!$B$5)*Factors!OM2+SQRT(Parameters!$B$6)*Factors!OM8+SQRT(Parameters!$B$7)*Factors!OM10+SQRT(Parameters!$B$9)*NORM.S.INV(RAND())</f>
        <v/>
      </c>
      <c r="ON5" s="19">
        <f>SQRT(Parameters!$B$5)*Factors!ON2+SQRT(Parameters!$B$6)*Factors!ON8+SQRT(Parameters!$B$7)*Factors!ON10+SQRT(Parameters!$B$9)*NORM.S.INV(RAND())</f>
        <v/>
      </c>
      <c r="OO5" s="19">
        <f>SQRT(Parameters!$B$5)*Factors!OO2+SQRT(Parameters!$B$6)*Factors!OO8+SQRT(Parameters!$B$7)*Factors!OO10+SQRT(Parameters!$B$9)*NORM.S.INV(RAND())</f>
        <v/>
      </c>
      <c r="OP5" s="19">
        <f>SQRT(Parameters!$B$5)*Factors!OP2+SQRT(Parameters!$B$6)*Factors!OP8+SQRT(Parameters!$B$7)*Factors!OP10+SQRT(Parameters!$B$9)*NORM.S.INV(RAND())</f>
        <v/>
      </c>
      <c r="OQ5" s="19">
        <f>SQRT(Parameters!$B$5)*Factors!OQ2+SQRT(Parameters!$B$6)*Factors!OQ8+SQRT(Parameters!$B$7)*Factors!OQ10+SQRT(Parameters!$B$9)*NORM.S.INV(RAND())</f>
        <v/>
      </c>
      <c r="OR5" s="19">
        <f>SQRT(Parameters!$B$5)*Factors!OR2+SQRT(Parameters!$B$6)*Factors!OR8+SQRT(Parameters!$B$7)*Factors!OR10+SQRT(Parameters!$B$9)*NORM.S.INV(RAND())</f>
        <v/>
      </c>
      <c r="OS5" s="19">
        <f>SQRT(Parameters!$B$5)*Factors!OS2+SQRT(Parameters!$B$6)*Factors!OS8+SQRT(Parameters!$B$7)*Factors!OS10+SQRT(Parameters!$B$9)*NORM.S.INV(RAND())</f>
        <v/>
      </c>
      <c r="OT5" s="19">
        <f>SQRT(Parameters!$B$5)*Factors!OT2+SQRT(Parameters!$B$6)*Factors!OT8+SQRT(Parameters!$B$7)*Factors!OT10+SQRT(Parameters!$B$9)*NORM.S.INV(RAND())</f>
        <v/>
      </c>
      <c r="OU5" s="19">
        <f>SQRT(Parameters!$B$5)*Factors!OU2+SQRT(Parameters!$B$6)*Factors!OU8+SQRT(Parameters!$B$7)*Factors!OU10+SQRT(Parameters!$B$9)*NORM.S.INV(RAND())</f>
        <v/>
      </c>
      <c r="OV5" s="19">
        <f>SQRT(Parameters!$B$5)*Factors!OV2+SQRT(Parameters!$B$6)*Factors!OV8+SQRT(Parameters!$B$7)*Factors!OV10+SQRT(Parameters!$B$9)*NORM.S.INV(RAND())</f>
        <v/>
      </c>
      <c r="OW5" s="19">
        <f>SQRT(Parameters!$B$5)*Factors!OW2+SQRT(Parameters!$B$6)*Factors!OW8+SQRT(Parameters!$B$7)*Factors!OW10+SQRT(Parameters!$B$9)*NORM.S.INV(RAND())</f>
        <v/>
      </c>
      <c r="OX5" s="19">
        <f>SQRT(Parameters!$B$5)*Factors!OX2+SQRT(Parameters!$B$6)*Factors!OX8+SQRT(Parameters!$B$7)*Factors!OX10+SQRT(Parameters!$B$9)*NORM.S.INV(RAND())</f>
        <v/>
      </c>
      <c r="OY5" s="19">
        <f>SQRT(Parameters!$B$5)*Factors!OY2+SQRT(Parameters!$B$6)*Factors!OY8+SQRT(Parameters!$B$7)*Factors!OY10+SQRT(Parameters!$B$9)*NORM.S.INV(RAND())</f>
        <v/>
      </c>
      <c r="OZ5" s="19">
        <f>SQRT(Parameters!$B$5)*Factors!OZ2+SQRT(Parameters!$B$6)*Factors!OZ8+SQRT(Parameters!$B$7)*Factors!OZ10+SQRT(Parameters!$B$9)*NORM.S.INV(RAND())</f>
        <v/>
      </c>
      <c r="PA5" s="19">
        <f>SQRT(Parameters!$B$5)*Factors!PA2+SQRT(Parameters!$B$6)*Factors!PA8+SQRT(Parameters!$B$7)*Factors!PA10+SQRT(Parameters!$B$9)*NORM.S.INV(RAND())</f>
        <v/>
      </c>
      <c r="PB5" s="19">
        <f>SQRT(Parameters!$B$5)*Factors!PB2+SQRT(Parameters!$B$6)*Factors!PB8+SQRT(Parameters!$B$7)*Factors!PB10+SQRT(Parameters!$B$9)*NORM.S.INV(RAND())</f>
        <v/>
      </c>
      <c r="PC5" s="19">
        <f>SQRT(Parameters!$B$5)*Factors!PC2+SQRT(Parameters!$B$6)*Factors!PC8+SQRT(Parameters!$B$7)*Factors!PC10+SQRT(Parameters!$B$9)*NORM.S.INV(RAND())</f>
        <v/>
      </c>
      <c r="PD5" s="19">
        <f>SQRT(Parameters!$B$5)*Factors!PD2+SQRT(Parameters!$B$6)*Factors!PD8+SQRT(Parameters!$B$7)*Factors!PD10+SQRT(Parameters!$B$9)*NORM.S.INV(RAND())</f>
        <v/>
      </c>
      <c r="PE5" s="19">
        <f>SQRT(Parameters!$B$5)*Factors!PE2+SQRT(Parameters!$B$6)*Factors!PE8+SQRT(Parameters!$B$7)*Factors!PE10+SQRT(Parameters!$B$9)*NORM.S.INV(RAND())</f>
        <v/>
      </c>
      <c r="PF5" s="19">
        <f>SQRT(Parameters!$B$5)*Factors!PF2+SQRT(Parameters!$B$6)*Factors!PF8+SQRT(Parameters!$B$7)*Factors!PF10+SQRT(Parameters!$B$9)*NORM.S.INV(RAND())</f>
        <v/>
      </c>
      <c r="PG5" s="19">
        <f>SQRT(Parameters!$B$5)*Factors!PG2+SQRT(Parameters!$B$6)*Factors!PG8+SQRT(Parameters!$B$7)*Factors!PG10+SQRT(Parameters!$B$9)*NORM.S.INV(RAND())</f>
        <v/>
      </c>
      <c r="PH5" s="19">
        <f>SQRT(Parameters!$B$5)*Factors!PH2+SQRT(Parameters!$B$6)*Factors!PH8+SQRT(Parameters!$B$7)*Factors!PH10+SQRT(Parameters!$B$9)*NORM.S.INV(RAND())</f>
        <v/>
      </c>
      <c r="PI5" s="19">
        <f>SQRT(Parameters!$B$5)*Factors!PI2+SQRT(Parameters!$B$6)*Factors!PI8+SQRT(Parameters!$B$7)*Factors!PI10+SQRT(Parameters!$B$9)*NORM.S.INV(RAND())</f>
        <v/>
      </c>
      <c r="PJ5" s="19">
        <f>SQRT(Parameters!$B$5)*Factors!PJ2+SQRT(Parameters!$B$6)*Factors!PJ8+SQRT(Parameters!$B$7)*Factors!PJ10+SQRT(Parameters!$B$9)*NORM.S.INV(RAND())</f>
        <v/>
      </c>
      <c r="PK5" s="19">
        <f>SQRT(Parameters!$B$5)*Factors!PK2+SQRT(Parameters!$B$6)*Factors!PK8+SQRT(Parameters!$B$7)*Factors!PK10+SQRT(Parameters!$B$9)*NORM.S.INV(RAND())</f>
        <v/>
      </c>
      <c r="PL5" s="19">
        <f>SQRT(Parameters!$B$5)*Factors!PL2+SQRT(Parameters!$B$6)*Factors!PL8+SQRT(Parameters!$B$7)*Factors!PL10+SQRT(Parameters!$B$9)*NORM.S.INV(RAND())</f>
        <v/>
      </c>
      <c r="PM5" s="19">
        <f>SQRT(Parameters!$B$5)*Factors!PM2+SQRT(Parameters!$B$6)*Factors!PM8+SQRT(Parameters!$B$7)*Factors!PM10+SQRT(Parameters!$B$9)*NORM.S.INV(RAND())</f>
        <v/>
      </c>
      <c r="PN5" s="19">
        <f>SQRT(Parameters!$B$5)*Factors!PN2+SQRT(Parameters!$B$6)*Factors!PN8+SQRT(Parameters!$B$7)*Factors!PN10+SQRT(Parameters!$B$9)*NORM.S.INV(RAND())</f>
        <v/>
      </c>
      <c r="PO5" s="19">
        <f>SQRT(Parameters!$B$5)*Factors!PO2+SQRT(Parameters!$B$6)*Factors!PO8+SQRT(Parameters!$B$7)*Factors!PO10+SQRT(Parameters!$B$9)*NORM.S.INV(RAND())</f>
        <v/>
      </c>
      <c r="PP5" s="19">
        <f>SQRT(Parameters!$B$5)*Factors!PP2+SQRT(Parameters!$B$6)*Factors!PP8+SQRT(Parameters!$B$7)*Factors!PP10+SQRT(Parameters!$B$9)*NORM.S.INV(RAND())</f>
        <v/>
      </c>
      <c r="PQ5" s="19">
        <f>SQRT(Parameters!$B$5)*Factors!PQ2+SQRT(Parameters!$B$6)*Factors!PQ8+SQRT(Parameters!$B$7)*Factors!PQ10+SQRT(Parameters!$B$9)*NORM.S.INV(RAND())</f>
        <v/>
      </c>
      <c r="PR5" s="19">
        <f>SQRT(Parameters!$B$5)*Factors!PR2+SQRT(Parameters!$B$6)*Factors!PR8+SQRT(Parameters!$B$7)*Factors!PR10+SQRT(Parameters!$B$9)*NORM.S.INV(RAND())</f>
        <v/>
      </c>
      <c r="PS5" s="19">
        <f>SQRT(Parameters!$B$5)*Factors!PS2+SQRT(Parameters!$B$6)*Factors!PS8+SQRT(Parameters!$B$7)*Factors!PS10+SQRT(Parameters!$B$9)*NORM.S.INV(RAND())</f>
        <v/>
      </c>
      <c r="PT5" s="19">
        <f>SQRT(Parameters!$B$5)*Factors!PT2+SQRT(Parameters!$B$6)*Factors!PT8+SQRT(Parameters!$B$7)*Factors!PT10+SQRT(Parameters!$B$9)*NORM.S.INV(RAND())</f>
        <v/>
      </c>
      <c r="PU5" s="19">
        <f>SQRT(Parameters!$B$5)*Factors!PU2+SQRT(Parameters!$B$6)*Factors!PU8+SQRT(Parameters!$B$7)*Factors!PU10+SQRT(Parameters!$B$9)*NORM.S.INV(RAND())</f>
        <v/>
      </c>
      <c r="PV5" s="19">
        <f>SQRT(Parameters!$B$5)*Factors!PV2+SQRT(Parameters!$B$6)*Factors!PV8+SQRT(Parameters!$B$7)*Factors!PV10+SQRT(Parameters!$B$9)*NORM.S.INV(RAND())</f>
        <v/>
      </c>
      <c r="PW5" s="19">
        <f>SQRT(Parameters!$B$5)*Factors!PW2+SQRT(Parameters!$B$6)*Factors!PW8+SQRT(Parameters!$B$7)*Factors!PW10+SQRT(Parameters!$B$9)*NORM.S.INV(RAND())</f>
        <v/>
      </c>
      <c r="PX5" s="19">
        <f>SQRT(Parameters!$B$5)*Factors!PX2+SQRT(Parameters!$B$6)*Factors!PX8+SQRT(Parameters!$B$7)*Factors!PX10+SQRT(Parameters!$B$9)*NORM.S.INV(RAND())</f>
        <v/>
      </c>
      <c r="PY5" s="19">
        <f>SQRT(Parameters!$B$5)*Factors!PY2+SQRT(Parameters!$B$6)*Factors!PY8+SQRT(Parameters!$B$7)*Factors!PY10+SQRT(Parameters!$B$9)*NORM.S.INV(RAND())</f>
        <v/>
      </c>
      <c r="PZ5" s="19">
        <f>SQRT(Parameters!$B$5)*Factors!PZ2+SQRT(Parameters!$B$6)*Factors!PZ8+SQRT(Parameters!$B$7)*Factors!PZ10+SQRT(Parameters!$B$9)*NORM.S.INV(RAND())</f>
        <v/>
      </c>
      <c r="QA5" s="19">
        <f>SQRT(Parameters!$B$5)*Factors!QA2+SQRT(Parameters!$B$6)*Factors!QA8+SQRT(Parameters!$B$7)*Factors!QA10+SQRT(Parameters!$B$9)*NORM.S.INV(RAND())</f>
        <v/>
      </c>
      <c r="QB5" s="19">
        <f>SQRT(Parameters!$B$5)*Factors!QB2+SQRT(Parameters!$B$6)*Factors!QB8+SQRT(Parameters!$B$7)*Factors!QB10+SQRT(Parameters!$B$9)*NORM.S.INV(RAND())</f>
        <v/>
      </c>
      <c r="QC5" s="19">
        <f>SQRT(Parameters!$B$5)*Factors!QC2+SQRT(Parameters!$B$6)*Factors!QC8+SQRT(Parameters!$B$7)*Factors!QC10+SQRT(Parameters!$B$9)*NORM.S.INV(RAND())</f>
        <v/>
      </c>
      <c r="QD5" s="19">
        <f>SQRT(Parameters!$B$5)*Factors!QD2+SQRT(Parameters!$B$6)*Factors!QD8+SQRT(Parameters!$B$7)*Factors!QD10+SQRT(Parameters!$B$9)*NORM.S.INV(RAND())</f>
        <v/>
      </c>
      <c r="QE5" s="19">
        <f>SQRT(Parameters!$B$5)*Factors!QE2+SQRT(Parameters!$B$6)*Factors!QE8+SQRT(Parameters!$B$7)*Factors!QE10+SQRT(Parameters!$B$9)*NORM.S.INV(RAND())</f>
        <v/>
      </c>
      <c r="QF5" s="19">
        <f>SQRT(Parameters!$B$5)*Factors!QF2+SQRT(Parameters!$B$6)*Factors!QF8+SQRT(Parameters!$B$7)*Factors!QF10+SQRT(Parameters!$B$9)*NORM.S.INV(RAND())</f>
        <v/>
      </c>
      <c r="QG5" s="19">
        <f>SQRT(Parameters!$B$5)*Factors!QG2+SQRT(Parameters!$B$6)*Factors!QG8+SQRT(Parameters!$B$7)*Factors!QG10+SQRT(Parameters!$B$9)*NORM.S.INV(RAND())</f>
        <v/>
      </c>
      <c r="QH5" s="19">
        <f>SQRT(Parameters!$B$5)*Factors!QH2+SQRT(Parameters!$B$6)*Factors!QH8+SQRT(Parameters!$B$7)*Factors!QH10+SQRT(Parameters!$B$9)*NORM.S.INV(RAND())</f>
        <v/>
      </c>
      <c r="QI5" s="19">
        <f>SQRT(Parameters!$B$5)*Factors!QI2+SQRT(Parameters!$B$6)*Factors!QI8+SQRT(Parameters!$B$7)*Factors!QI10+SQRT(Parameters!$B$9)*NORM.S.INV(RAND())</f>
        <v/>
      </c>
      <c r="QJ5" s="19">
        <f>SQRT(Parameters!$B$5)*Factors!QJ2+SQRT(Parameters!$B$6)*Factors!QJ8+SQRT(Parameters!$B$7)*Factors!QJ10+SQRT(Parameters!$B$9)*NORM.S.INV(RAND())</f>
        <v/>
      </c>
      <c r="QK5" s="19">
        <f>SQRT(Parameters!$B$5)*Factors!QK2+SQRT(Parameters!$B$6)*Factors!QK8+SQRT(Parameters!$B$7)*Factors!QK10+SQRT(Parameters!$B$9)*NORM.S.INV(RAND())</f>
        <v/>
      </c>
      <c r="QL5" s="19">
        <f>SQRT(Parameters!$B$5)*Factors!QL2+SQRT(Parameters!$B$6)*Factors!QL8+SQRT(Parameters!$B$7)*Factors!QL10+SQRT(Parameters!$B$9)*NORM.S.INV(RAND())</f>
        <v/>
      </c>
      <c r="QM5" s="19">
        <f>SQRT(Parameters!$B$5)*Factors!QM2+SQRT(Parameters!$B$6)*Factors!QM8+SQRT(Parameters!$B$7)*Factors!QM10+SQRT(Parameters!$B$9)*NORM.S.INV(RAND())</f>
        <v/>
      </c>
      <c r="QN5" s="19">
        <f>SQRT(Parameters!$B$5)*Factors!QN2+SQRT(Parameters!$B$6)*Factors!QN8+SQRT(Parameters!$B$7)*Factors!QN10+SQRT(Parameters!$B$9)*NORM.S.INV(RAND())</f>
        <v/>
      </c>
      <c r="QO5" s="19">
        <f>SQRT(Parameters!$B$5)*Factors!QO2+SQRT(Parameters!$B$6)*Factors!QO8+SQRT(Parameters!$B$7)*Factors!QO10+SQRT(Parameters!$B$9)*NORM.S.INV(RAND())</f>
        <v/>
      </c>
      <c r="QP5" s="19">
        <f>SQRT(Parameters!$B$5)*Factors!QP2+SQRT(Parameters!$B$6)*Factors!QP8+SQRT(Parameters!$B$7)*Factors!QP10+SQRT(Parameters!$B$9)*NORM.S.INV(RAND())</f>
        <v/>
      </c>
      <c r="QQ5" s="19">
        <f>SQRT(Parameters!$B$5)*Factors!QQ2+SQRT(Parameters!$B$6)*Factors!QQ8+SQRT(Parameters!$B$7)*Factors!QQ10+SQRT(Parameters!$B$9)*NORM.S.INV(RAND())</f>
        <v/>
      </c>
      <c r="QR5" s="19">
        <f>SQRT(Parameters!$B$5)*Factors!QR2+SQRT(Parameters!$B$6)*Factors!QR8+SQRT(Parameters!$B$7)*Factors!QR10+SQRT(Parameters!$B$9)*NORM.S.INV(RAND())</f>
        <v/>
      </c>
      <c r="QS5" s="19">
        <f>SQRT(Parameters!$B$5)*Factors!QS2+SQRT(Parameters!$B$6)*Factors!QS8+SQRT(Parameters!$B$7)*Factors!QS10+SQRT(Parameters!$B$9)*NORM.S.INV(RAND())</f>
        <v/>
      </c>
      <c r="QT5" s="19">
        <f>SQRT(Parameters!$B$5)*Factors!QT2+SQRT(Parameters!$B$6)*Factors!QT8+SQRT(Parameters!$B$7)*Factors!QT10+SQRT(Parameters!$B$9)*NORM.S.INV(RAND())</f>
        <v/>
      </c>
      <c r="QU5" s="19">
        <f>SQRT(Parameters!$B$5)*Factors!QU2+SQRT(Parameters!$B$6)*Factors!QU8+SQRT(Parameters!$B$7)*Factors!QU10+SQRT(Parameters!$B$9)*NORM.S.INV(RAND())</f>
        <v/>
      </c>
      <c r="QV5" s="19">
        <f>SQRT(Parameters!$B$5)*Factors!QV2+SQRT(Parameters!$B$6)*Factors!QV8+SQRT(Parameters!$B$7)*Factors!QV10+SQRT(Parameters!$B$9)*NORM.S.INV(RAND())</f>
        <v/>
      </c>
      <c r="QW5" s="19">
        <f>SQRT(Parameters!$B$5)*Factors!QW2+SQRT(Parameters!$B$6)*Factors!QW8+SQRT(Parameters!$B$7)*Factors!QW10+SQRT(Parameters!$B$9)*NORM.S.INV(RAND())</f>
        <v/>
      </c>
      <c r="QX5" s="19">
        <f>SQRT(Parameters!$B$5)*Factors!QX2+SQRT(Parameters!$B$6)*Factors!QX8+SQRT(Parameters!$B$7)*Factors!QX10+SQRT(Parameters!$B$9)*NORM.S.INV(RAND())</f>
        <v/>
      </c>
      <c r="QY5" s="19">
        <f>SQRT(Parameters!$B$5)*Factors!QY2+SQRT(Parameters!$B$6)*Factors!QY8+SQRT(Parameters!$B$7)*Factors!QY10+SQRT(Parameters!$B$9)*NORM.S.INV(RAND())</f>
        <v/>
      </c>
      <c r="QZ5" s="19">
        <f>SQRT(Parameters!$B$5)*Factors!QZ2+SQRT(Parameters!$B$6)*Factors!QZ8+SQRT(Parameters!$B$7)*Factors!QZ10+SQRT(Parameters!$B$9)*NORM.S.INV(RAND())</f>
        <v/>
      </c>
      <c r="RA5" s="19">
        <f>SQRT(Parameters!$B$5)*Factors!RA2+SQRT(Parameters!$B$6)*Factors!RA8+SQRT(Parameters!$B$7)*Factors!RA10+SQRT(Parameters!$B$9)*NORM.S.INV(RAND())</f>
        <v/>
      </c>
      <c r="RB5" s="19">
        <f>SQRT(Parameters!$B$5)*Factors!RB2+SQRT(Parameters!$B$6)*Factors!RB8+SQRT(Parameters!$B$7)*Factors!RB10+SQRT(Parameters!$B$9)*NORM.S.INV(RAND())</f>
        <v/>
      </c>
      <c r="RC5" s="19">
        <f>SQRT(Parameters!$B$5)*Factors!RC2+SQRT(Parameters!$B$6)*Factors!RC8+SQRT(Parameters!$B$7)*Factors!RC10+SQRT(Parameters!$B$9)*NORM.S.INV(RAND())</f>
        <v/>
      </c>
      <c r="RD5" s="19">
        <f>SQRT(Parameters!$B$5)*Factors!RD2+SQRT(Parameters!$B$6)*Factors!RD8+SQRT(Parameters!$B$7)*Factors!RD10+SQRT(Parameters!$B$9)*NORM.S.INV(RAND())</f>
        <v/>
      </c>
      <c r="RE5" s="19">
        <f>SQRT(Parameters!$B$5)*Factors!RE2+SQRT(Parameters!$B$6)*Factors!RE8+SQRT(Parameters!$B$7)*Factors!RE10+SQRT(Parameters!$B$9)*NORM.S.INV(RAND())</f>
        <v/>
      </c>
      <c r="RF5" s="19">
        <f>SQRT(Parameters!$B$5)*Factors!RF2+SQRT(Parameters!$B$6)*Factors!RF8+SQRT(Parameters!$B$7)*Factors!RF10+SQRT(Parameters!$B$9)*NORM.S.INV(RAND())</f>
        <v/>
      </c>
      <c r="RG5" s="19">
        <f>SQRT(Parameters!$B$5)*Factors!RG2+SQRT(Parameters!$B$6)*Factors!RG8+SQRT(Parameters!$B$7)*Factors!RG10+SQRT(Parameters!$B$9)*NORM.S.INV(RAND())</f>
        <v/>
      </c>
      <c r="RH5" s="19">
        <f>SQRT(Parameters!$B$5)*Factors!RH2+SQRT(Parameters!$B$6)*Factors!RH8+SQRT(Parameters!$B$7)*Factors!RH10+SQRT(Parameters!$B$9)*NORM.S.INV(RAND())</f>
        <v/>
      </c>
      <c r="RI5" s="19">
        <f>SQRT(Parameters!$B$5)*Factors!RI2+SQRT(Parameters!$B$6)*Factors!RI8+SQRT(Parameters!$B$7)*Factors!RI10+SQRT(Parameters!$B$9)*NORM.S.INV(RAND())</f>
        <v/>
      </c>
      <c r="RJ5" s="19">
        <f>SQRT(Parameters!$B$5)*Factors!RJ2+SQRT(Parameters!$B$6)*Factors!RJ8+SQRT(Parameters!$B$7)*Factors!RJ10+SQRT(Parameters!$B$9)*NORM.S.INV(RAND())</f>
        <v/>
      </c>
      <c r="RK5" s="19">
        <f>SQRT(Parameters!$B$5)*Factors!RK2+SQRT(Parameters!$B$6)*Factors!RK8+SQRT(Parameters!$B$7)*Factors!RK10+SQRT(Parameters!$B$9)*NORM.S.INV(RAND())</f>
        <v/>
      </c>
      <c r="RL5" s="19">
        <f>SQRT(Parameters!$B$5)*Factors!RL2+SQRT(Parameters!$B$6)*Factors!RL8+SQRT(Parameters!$B$7)*Factors!RL10+SQRT(Parameters!$B$9)*NORM.S.INV(RAND())</f>
        <v/>
      </c>
      <c r="RM5" s="19">
        <f>SQRT(Parameters!$B$5)*Factors!RM2+SQRT(Parameters!$B$6)*Factors!RM8+SQRT(Parameters!$B$7)*Factors!RM10+SQRT(Parameters!$B$9)*NORM.S.INV(RAND())</f>
        <v/>
      </c>
      <c r="RN5" s="19">
        <f>SQRT(Parameters!$B$5)*Factors!RN2+SQRT(Parameters!$B$6)*Factors!RN8+SQRT(Parameters!$B$7)*Factors!RN10+SQRT(Parameters!$B$9)*NORM.S.INV(RAND())</f>
        <v/>
      </c>
      <c r="RO5" s="19">
        <f>SQRT(Parameters!$B$5)*Factors!RO2+SQRT(Parameters!$B$6)*Factors!RO8+SQRT(Parameters!$B$7)*Factors!RO10+SQRT(Parameters!$B$9)*NORM.S.INV(RAND())</f>
        <v/>
      </c>
      <c r="RP5" s="19">
        <f>SQRT(Parameters!$B$5)*Factors!RP2+SQRT(Parameters!$B$6)*Factors!RP8+SQRT(Parameters!$B$7)*Factors!RP10+SQRT(Parameters!$B$9)*NORM.S.INV(RAND())</f>
        <v/>
      </c>
      <c r="RQ5" s="19">
        <f>SQRT(Parameters!$B$5)*Factors!RQ2+SQRT(Parameters!$B$6)*Factors!RQ8+SQRT(Parameters!$B$7)*Factors!RQ10+SQRT(Parameters!$B$9)*NORM.S.INV(RAND())</f>
        <v/>
      </c>
      <c r="RR5" s="19">
        <f>SQRT(Parameters!$B$5)*Factors!RR2+SQRT(Parameters!$B$6)*Factors!RR8+SQRT(Parameters!$B$7)*Factors!RR10+SQRT(Parameters!$B$9)*NORM.S.INV(RAND())</f>
        <v/>
      </c>
      <c r="RS5" s="19">
        <f>SQRT(Parameters!$B$5)*Factors!RS2+SQRT(Parameters!$B$6)*Factors!RS8+SQRT(Parameters!$B$7)*Factors!RS10+SQRT(Parameters!$B$9)*NORM.S.INV(RAND())</f>
        <v/>
      </c>
      <c r="RT5" s="19">
        <f>SQRT(Parameters!$B$5)*Factors!RT2+SQRT(Parameters!$B$6)*Factors!RT8+SQRT(Parameters!$B$7)*Factors!RT10+SQRT(Parameters!$B$9)*NORM.S.INV(RAND())</f>
        <v/>
      </c>
      <c r="RU5" s="19">
        <f>SQRT(Parameters!$B$5)*Factors!RU2+SQRT(Parameters!$B$6)*Factors!RU8+SQRT(Parameters!$B$7)*Factors!RU10+SQRT(Parameters!$B$9)*NORM.S.INV(RAND())</f>
        <v/>
      </c>
      <c r="RV5" s="19">
        <f>SQRT(Parameters!$B$5)*Factors!RV2+SQRT(Parameters!$B$6)*Factors!RV8+SQRT(Parameters!$B$7)*Factors!RV10+SQRT(Parameters!$B$9)*NORM.S.INV(RAND())</f>
        <v/>
      </c>
      <c r="RW5" s="19">
        <f>SQRT(Parameters!$B$5)*Factors!RW2+SQRT(Parameters!$B$6)*Factors!RW8+SQRT(Parameters!$B$7)*Factors!RW10+SQRT(Parameters!$B$9)*NORM.S.INV(RAND())</f>
        <v/>
      </c>
      <c r="RX5" s="19">
        <f>SQRT(Parameters!$B$5)*Factors!RX2+SQRT(Parameters!$B$6)*Factors!RX8+SQRT(Parameters!$B$7)*Factors!RX10+SQRT(Parameters!$B$9)*NORM.S.INV(RAND())</f>
        <v/>
      </c>
      <c r="RY5" s="19">
        <f>SQRT(Parameters!$B$5)*Factors!RY2+SQRT(Parameters!$B$6)*Factors!RY8+SQRT(Parameters!$B$7)*Factors!RY10+SQRT(Parameters!$B$9)*NORM.S.INV(RAND())</f>
        <v/>
      </c>
      <c r="RZ5" s="19">
        <f>SQRT(Parameters!$B$5)*Factors!RZ2+SQRT(Parameters!$B$6)*Factors!RZ8+SQRT(Parameters!$B$7)*Factors!RZ10+SQRT(Parameters!$B$9)*NORM.S.INV(RAND())</f>
        <v/>
      </c>
      <c r="SA5" s="19">
        <f>SQRT(Parameters!$B$5)*Factors!SA2+SQRT(Parameters!$B$6)*Factors!SA8+SQRT(Parameters!$B$7)*Factors!SA10+SQRT(Parameters!$B$9)*NORM.S.INV(RAND())</f>
        <v/>
      </c>
      <c r="SB5" s="19">
        <f>SQRT(Parameters!$B$5)*Factors!SB2+SQRT(Parameters!$B$6)*Factors!SB8+SQRT(Parameters!$B$7)*Factors!SB10+SQRT(Parameters!$B$9)*NORM.S.INV(RAND())</f>
        <v/>
      </c>
      <c r="SC5" s="19">
        <f>SQRT(Parameters!$B$5)*Factors!SC2+SQRT(Parameters!$B$6)*Factors!SC8+SQRT(Parameters!$B$7)*Factors!SC10+SQRT(Parameters!$B$9)*NORM.S.INV(RAND())</f>
        <v/>
      </c>
      <c r="SD5" s="19">
        <f>SQRT(Parameters!$B$5)*Factors!SD2+SQRT(Parameters!$B$6)*Factors!SD8+SQRT(Parameters!$B$7)*Factors!SD10+SQRT(Parameters!$B$9)*NORM.S.INV(RAND())</f>
        <v/>
      </c>
      <c r="SE5" s="19">
        <f>SQRT(Parameters!$B$5)*Factors!SE2+SQRT(Parameters!$B$6)*Factors!SE8+SQRT(Parameters!$B$7)*Factors!SE10+SQRT(Parameters!$B$9)*NORM.S.INV(RAND())</f>
        <v/>
      </c>
      <c r="SF5" s="19">
        <f>SQRT(Parameters!$B$5)*Factors!SF2+SQRT(Parameters!$B$6)*Factors!SF8+SQRT(Parameters!$B$7)*Factors!SF10+SQRT(Parameters!$B$9)*NORM.S.INV(RAND())</f>
        <v/>
      </c>
      <c r="SG5" s="19">
        <f>SQRT(Parameters!$B$5)*Factors!SG2+SQRT(Parameters!$B$6)*Factors!SG8+SQRT(Parameters!$B$7)*Factors!SG10+SQRT(Parameters!$B$9)*NORM.S.INV(RAND())</f>
        <v/>
      </c>
    </row>
    <row r="6">
      <c r="A6" s="17" t="inlineStr">
        <is>
          <t>OBL-005</t>
        </is>
      </c>
      <c r="B6" s="19">
        <f>SQRT(Parameters!$B$5)*Factors!B2+SQRT(Parameters!$B$6)*Factors!B5+SQRT(Parameters!$B$7)*Factors!B10+SQRT(Parameters!$B$9)*NORM.S.INV(RAND())</f>
        <v/>
      </c>
      <c r="C6" s="19">
        <f>SQRT(Parameters!$B$5)*Factors!C2+SQRT(Parameters!$B$6)*Factors!C5+SQRT(Parameters!$B$7)*Factors!C10+SQRT(Parameters!$B$9)*NORM.S.INV(RAND())</f>
        <v/>
      </c>
      <c r="D6" s="19">
        <f>SQRT(Parameters!$B$5)*Factors!D2+SQRT(Parameters!$B$6)*Factors!D5+SQRT(Parameters!$B$7)*Factors!D10+SQRT(Parameters!$B$9)*NORM.S.INV(RAND())</f>
        <v/>
      </c>
      <c r="E6" s="19">
        <f>SQRT(Parameters!$B$5)*Factors!E2+SQRT(Parameters!$B$6)*Factors!E5+SQRT(Parameters!$B$7)*Factors!E10+SQRT(Parameters!$B$9)*NORM.S.INV(RAND())</f>
        <v/>
      </c>
      <c r="F6" s="19">
        <f>SQRT(Parameters!$B$5)*Factors!F2+SQRT(Parameters!$B$6)*Factors!F5+SQRT(Parameters!$B$7)*Factors!F10+SQRT(Parameters!$B$9)*NORM.S.INV(RAND())</f>
        <v/>
      </c>
      <c r="G6" s="19">
        <f>SQRT(Parameters!$B$5)*Factors!G2+SQRT(Parameters!$B$6)*Factors!G5+SQRT(Parameters!$B$7)*Factors!G10+SQRT(Parameters!$B$9)*NORM.S.INV(RAND())</f>
        <v/>
      </c>
      <c r="H6" s="19">
        <f>SQRT(Parameters!$B$5)*Factors!H2+SQRT(Parameters!$B$6)*Factors!H5+SQRT(Parameters!$B$7)*Factors!H10+SQRT(Parameters!$B$9)*NORM.S.INV(RAND())</f>
        <v/>
      </c>
      <c r="I6" s="19">
        <f>SQRT(Parameters!$B$5)*Factors!I2+SQRT(Parameters!$B$6)*Factors!I5+SQRT(Parameters!$B$7)*Factors!I10+SQRT(Parameters!$B$9)*NORM.S.INV(RAND())</f>
        <v/>
      </c>
      <c r="J6" s="19">
        <f>SQRT(Parameters!$B$5)*Factors!J2+SQRT(Parameters!$B$6)*Factors!J5+SQRT(Parameters!$B$7)*Factors!J10+SQRT(Parameters!$B$9)*NORM.S.INV(RAND())</f>
        <v/>
      </c>
      <c r="K6" s="19">
        <f>SQRT(Parameters!$B$5)*Factors!K2+SQRT(Parameters!$B$6)*Factors!K5+SQRT(Parameters!$B$7)*Factors!K10+SQRT(Parameters!$B$9)*NORM.S.INV(RAND())</f>
        <v/>
      </c>
      <c r="L6" s="19">
        <f>SQRT(Parameters!$B$5)*Factors!L2+SQRT(Parameters!$B$6)*Factors!L5+SQRT(Parameters!$B$7)*Factors!L10+SQRT(Parameters!$B$9)*NORM.S.INV(RAND())</f>
        <v/>
      </c>
      <c r="M6" s="19">
        <f>SQRT(Parameters!$B$5)*Factors!M2+SQRT(Parameters!$B$6)*Factors!M5+SQRT(Parameters!$B$7)*Factors!M10+SQRT(Parameters!$B$9)*NORM.S.INV(RAND())</f>
        <v/>
      </c>
      <c r="N6" s="19">
        <f>SQRT(Parameters!$B$5)*Factors!N2+SQRT(Parameters!$B$6)*Factors!N5+SQRT(Parameters!$B$7)*Factors!N10+SQRT(Parameters!$B$9)*NORM.S.INV(RAND())</f>
        <v/>
      </c>
      <c r="O6" s="19">
        <f>SQRT(Parameters!$B$5)*Factors!O2+SQRT(Parameters!$B$6)*Factors!O5+SQRT(Parameters!$B$7)*Factors!O10+SQRT(Parameters!$B$9)*NORM.S.INV(RAND())</f>
        <v/>
      </c>
      <c r="P6" s="19">
        <f>SQRT(Parameters!$B$5)*Factors!P2+SQRT(Parameters!$B$6)*Factors!P5+SQRT(Parameters!$B$7)*Factors!P10+SQRT(Parameters!$B$9)*NORM.S.INV(RAND())</f>
        <v/>
      </c>
      <c r="Q6" s="19">
        <f>SQRT(Parameters!$B$5)*Factors!Q2+SQRT(Parameters!$B$6)*Factors!Q5+SQRT(Parameters!$B$7)*Factors!Q10+SQRT(Parameters!$B$9)*NORM.S.INV(RAND())</f>
        <v/>
      </c>
      <c r="R6" s="19">
        <f>SQRT(Parameters!$B$5)*Factors!R2+SQRT(Parameters!$B$6)*Factors!R5+SQRT(Parameters!$B$7)*Factors!R10+SQRT(Parameters!$B$9)*NORM.S.INV(RAND())</f>
        <v/>
      </c>
      <c r="S6" s="19">
        <f>SQRT(Parameters!$B$5)*Factors!S2+SQRT(Parameters!$B$6)*Factors!S5+SQRT(Parameters!$B$7)*Factors!S10+SQRT(Parameters!$B$9)*NORM.S.INV(RAND())</f>
        <v/>
      </c>
      <c r="T6" s="19">
        <f>SQRT(Parameters!$B$5)*Factors!T2+SQRT(Parameters!$B$6)*Factors!T5+SQRT(Parameters!$B$7)*Factors!T10+SQRT(Parameters!$B$9)*NORM.S.INV(RAND())</f>
        <v/>
      </c>
      <c r="U6" s="19">
        <f>SQRT(Parameters!$B$5)*Factors!U2+SQRT(Parameters!$B$6)*Factors!U5+SQRT(Parameters!$B$7)*Factors!U10+SQRT(Parameters!$B$9)*NORM.S.INV(RAND())</f>
        <v/>
      </c>
      <c r="V6" s="19">
        <f>SQRT(Parameters!$B$5)*Factors!V2+SQRT(Parameters!$B$6)*Factors!V5+SQRT(Parameters!$B$7)*Factors!V10+SQRT(Parameters!$B$9)*NORM.S.INV(RAND())</f>
        <v/>
      </c>
      <c r="W6" s="19">
        <f>SQRT(Parameters!$B$5)*Factors!W2+SQRT(Parameters!$B$6)*Factors!W5+SQRT(Parameters!$B$7)*Factors!W10+SQRT(Parameters!$B$9)*NORM.S.INV(RAND())</f>
        <v/>
      </c>
      <c r="X6" s="19">
        <f>SQRT(Parameters!$B$5)*Factors!X2+SQRT(Parameters!$B$6)*Factors!X5+SQRT(Parameters!$B$7)*Factors!X10+SQRT(Parameters!$B$9)*NORM.S.INV(RAND())</f>
        <v/>
      </c>
      <c r="Y6" s="19">
        <f>SQRT(Parameters!$B$5)*Factors!Y2+SQRT(Parameters!$B$6)*Factors!Y5+SQRT(Parameters!$B$7)*Factors!Y10+SQRT(Parameters!$B$9)*NORM.S.INV(RAND())</f>
        <v/>
      </c>
      <c r="Z6" s="19">
        <f>SQRT(Parameters!$B$5)*Factors!Z2+SQRT(Parameters!$B$6)*Factors!Z5+SQRT(Parameters!$B$7)*Factors!Z10+SQRT(Parameters!$B$9)*NORM.S.INV(RAND())</f>
        <v/>
      </c>
      <c r="AA6" s="19">
        <f>SQRT(Parameters!$B$5)*Factors!AA2+SQRT(Parameters!$B$6)*Factors!AA5+SQRT(Parameters!$B$7)*Factors!AA10+SQRT(Parameters!$B$9)*NORM.S.INV(RAND())</f>
        <v/>
      </c>
      <c r="AB6" s="19">
        <f>SQRT(Parameters!$B$5)*Factors!AB2+SQRT(Parameters!$B$6)*Factors!AB5+SQRT(Parameters!$B$7)*Factors!AB10+SQRT(Parameters!$B$9)*NORM.S.INV(RAND())</f>
        <v/>
      </c>
      <c r="AC6" s="19">
        <f>SQRT(Parameters!$B$5)*Factors!AC2+SQRT(Parameters!$B$6)*Factors!AC5+SQRT(Parameters!$B$7)*Factors!AC10+SQRT(Parameters!$B$9)*NORM.S.INV(RAND())</f>
        <v/>
      </c>
      <c r="AD6" s="19">
        <f>SQRT(Parameters!$B$5)*Factors!AD2+SQRT(Parameters!$B$6)*Factors!AD5+SQRT(Parameters!$B$7)*Factors!AD10+SQRT(Parameters!$B$9)*NORM.S.INV(RAND())</f>
        <v/>
      </c>
      <c r="AE6" s="19">
        <f>SQRT(Parameters!$B$5)*Factors!AE2+SQRT(Parameters!$B$6)*Factors!AE5+SQRT(Parameters!$B$7)*Factors!AE10+SQRT(Parameters!$B$9)*NORM.S.INV(RAND())</f>
        <v/>
      </c>
      <c r="AF6" s="19">
        <f>SQRT(Parameters!$B$5)*Factors!AF2+SQRT(Parameters!$B$6)*Factors!AF5+SQRT(Parameters!$B$7)*Factors!AF10+SQRT(Parameters!$B$9)*NORM.S.INV(RAND())</f>
        <v/>
      </c>
      <c r="AG6" s="19">
        <f>SQRT(Parameters!$B$5)*Factors!AG2+SQRT(Parameters!$B$6)*Factors!AG5+SQRT(Parameters!$B$7)*Factors!AG10+SQRT(Parameters!$B$9)*NORM.S.INV(RAND())</f>
        <v/>
      </c>
      <c r="AH6" s="19">
        <f>SQRT(Parameters!$B$5)*Factors!AH2+SQRT(Parameters!$B$6)*Factors!AH5+SQRT(Parameters!$B$7)*Factors!AH10+SQRT(Parameters!$B$9)*NORM.S.INV(RAND())</f>
        <v/>
      </c>
      <c r="AI6" s="19">
        <f>SQRT(Parameters!$B$5)*Factors!AI2+SQRT(Parameters!$B$6)*Factors!AI5+SQRT(Parameters!$B$7)*Factors!AI10+SQRT(Parameters!$B$9)*NORM.S.INV(RAND())</f>
        <v/>
      </c>
      <c r="AJ6" s="19">
        <f>SQRT(Parameters!$B$5)*Factors!AJ2+SQRT(Parameters!$B$6)*Factors!AJ5+SQRT(Parameters!$B$7)*Factors!AJ10+SQRT(Parameters!$B$9)*NORM.S.INV(RAND())</f>
        <v/>
      </c>
      <c r="AK6" s="19">
        <f>SQRT(Parameters!$B$5)*Factors!AK2+SQRT(Parameters!$B$6)*Factors!AK5+SQRT(Parameters!$B$7)*Factors!AK10+SQRT(Parameters!$B$9)*NORM.S.INV(RAND())</f>
        <v/>
      </c>
      <c r="AL6" s="19">
        <f>SQRT(Parameters!$B$5)*Factors!AL2+SQRT(Parameters!$B$6)*Factors!AL5+SQRT(Parameters!$B$7)*Factors!AL10+SQRT(Parameters!$B$9)*NORM.S.INV(RAND())</f>
        <v/>
      </c>
      <c r="AM6" s="19">
        <f>SQRT(Parameters!$B$5)*Factors!AM2+SQRT(Parameters!$B$6)*Factors!AM5+SQRT(Parameters!$B$7)*Factors!AM10+SQRT(Parameters!$B$9)*NORM.S.INV(RAND())</f>
        <v/>
      </c>
      <c r="AN6" s="19">
        <f>SQRT(Parameters!$B$5)*Factors!AN2+SQRT(Parameters!$B$6)*Factors!AN5+SQRT(Parameters!$B$7)*Factors!AN10+SQRT(Parameters!$B$9)*NORM.S.INV(RAND())</f>
        <v/>
      </c>
      <c r="AO6" s="19">
        <f>SQRT(Parameters!$B$5)*Factors!AO2+SQRT(Parameters!$B$6)*Factors!AO5+SQRT(Parameters!$B$7)*Factors!AO10+SQRT(Parameters!$B$9)*NORM.S.INV(RAND())</f>
        <v/>
      </c>
      <c r="AP6" s="19">
        <f>SQRT(Parameters!$B$5)*Factors!AP2+SQRT(Parameters!$B$6)*Factors!AP5+SQRT(Parameters!$B$7)*Factors!AP10+SQRT(Parameters!$B$9)*NORM.S.INV(RAND())</f>
        <v/>
      </c>
      <c r="AQ6" s="19">
        <f>SQRT(Parameters!$B$5)*Factors!AQ2+SQRT(Parameters!$B$6)*Factors!AQ5+SQRT(Parameters!$B$7)*Factors!AQ10+SQRT(Parameters!$B$9)*NORM.S.INV(RAND())</f>
        <v/>
      </c>
      <c r="AR6" s="19">
        <f>SQRT(Parameters!$B$5)*Factors!AR2+SQRT(Parameters!$B$6)*Factors!AR5+SQRT(Parameters!$B$7)*Factors!AR10+SQRT(Parameters!$B$9)*NORM.S.INV(RAND())</f>
        <v/>
      </c>
      <c r="AS6" s="19">
        <f>SQRT(Parameters!$B$5)*Factors!AS2+SQRT(Parameters!$B$6)*Factors!AS5+SQRT(Parameters!$B$7)*Factors!AS10+SQRT(Parameters!$B$9)*NORM.S.INV(RAND())</f>
        <v/>
      </c>
      <c r="AT6" s="19">
        <f>SQRT(Parameters!$B$5)*Factors!AT2+SQRT(Parameters!$B$6)*Factors!AT5+SQRT(Parameters!$B$7)*Factors!AT10+SQRT(Parameters!$B$9)*NORM.S.INV(RAND())</f>
        <v/>
      </c>
      <c r="AU6" s="19">
        <f>SQRT(Parameters!$B$5)*Factors!AU2+SQRT(Parameters!$B$6)*Factors!AU5+SQRT(Parameters!$B$7)*Factors!AU10+SQRT(Parameters!$B$9)*NORM.S.INV(RAND())</f>
        <v/>
      </c>
      <c r="AV6" s="19">
        <f>SQRT(Parameters!$B$5)*Factors!AV2+SQRT(Parameters!$B$6)*Factors!AV5+SQRT(Parameters!$B$7)*Factors!AV10+SQRT(Parameters!$B$9)*NORM.S.INV(RAND())</f>
        <v/>
      </c>
      <c r="AW6" s="19">
        <f>SQRT(Parameters!$B$5)*Factors!AW2+SQRT(Parameters!$B$6)*Factors!AW5+SQRT(Parameters!$B$7)*Factors!AW10+SQRT(Parameters!$B$9)*NORM.S.INV(RAND())</f>
        <v/>
      </c>
      <c r="AX6" s="19">
        <f>SQRT(Parameters!$B$5)*Factors!AX2+SQRT(Parameters!$B$6)*Factors!AX5+SQRT(Parameters!$B$7)*Factors!AX10+SQRT(Parameters!$B$9)*NORM.S.INV(RAND())</f>
        <v/>
      </c>
      <c r="AY6" s="19">
        <f>SQRT(Parameters!$B$5)*Factors!AY2+SQRT(Parameters!$B$6)*Factors!AY5+SQRT(Parameters!$B$7)*Factors!AY10+SQRT(Parameters!$B$9)*NORM.S.INV(RAND())</f>
        <v/>
      </c>
      <c r="AZ6" s="19">
        <f>SQRT(Parameters!$B$5)*Factors!AZ2+SQRT(Parameters!$B$6)*Factors!AZ5+SQRT(Parameters!$B$7)*Factors!AZ10+SQRT(Parameters!$B$9)*NORM.S.INV(RAND())</f>
        <v/>
      </c>
      <c r="BA6" s="19">
        <f>SQRT(Parameters!$B$5)*Factors!BA2+SQRT(Parameters!$B$6)*Factors!BA5+SQRT(Parameters!$B$7)*Factors!BA10+SQRT(Parameters!$B$9)*NORM.S.INV(RAND())</f>
        <v/>
      </c>
      <c r="BB6" s="19">
        <f>SQRT(Parameters!$B$5)*Factors!BB2+SQRT(Parameters!$B$6)*Factors!BB5+SQRT(Parameters!$B$7)*Factors!BB10+SQRT(Parameters!$B$9)*NORM.S.INV(RAND())</f>
        <v/>
      </c>
      <c r="BC6" s="19">
        <f>SQRT(Parameters!$B$5)*Factors!BC2+SQRT(Parameters!$B$6)*Factors!BC5+SQRT(Parameters!$B$7)*Factors!BC10+SQRT(Parameters!$B$9)*NORM.S.INV(RAND())</f>
        <v/>
      </c>
      <c r="BD6" s="19">
        <f>SQRT(Parameters!$B$5)*Factors!BD2+SQRT(Parameters!$B$6)*Factors!BD5+SQRT(Parameters!$B$7)*Factors!BD10+SQRT(Parameters!$B$9)*NORM.S.INV(RAND())</f>
        <v/>
      </c>
      <c r="BE6" s="19">
        <f>SQRT(Parameters!$B$5)*Factors!BE2+SQRT(Parameters!$B$6)*Factors!BE5+SQRT(Parameters!$B$7)*Factors!BE10+SQRT(Parameters!$B$9)*NORM.S.INV(RAND())</f>
        <v/>
      </c>
      <c r="BF6" s="19">
        <f>SQRT(Parameters!$B$5)*Factors!BF2+SQRT(Parameters!$B$6)*Factors!BF5+SQRT(Parameters!$B$7)*Factors!BF10+SQRT(Parameters!$B$9)*NORM.S.INV(RAND())</f>
        <v/>
      </c>
      <c r="BG6" s="19">
        <f>SQRT(Parameters!$B$5)*Factors!BG2+SQRT(Parameters!$B$6)*Factors!BG5+SQRT(Parameters!$B$7)*Factors!BG10+SQRT(Parameters!$B$9)*NORM.S.INV(RAND())</f>
        <v/>
      </c>
      <c r="BH6" s="19">
        <f>SQRT(Parameters!$B$5)*Factors!BH2+SQRT(Parameters!$B$6)*Factors!BH5+SQRT(Parameters!$B$7)*Factors!BH10+SQRT(Parameters!$B$9)*NORM.S.INV(RAND())</f>
        <v/>
      </c>
      <c r="BI6" s="19">
        <f>SQRT(Parameters!$B$5)*Factors!BI2+SQRT(Parameters!$B$6)*Factors!BI5+SQRT(Parameters!$B$7)*Factors!BI10+SQRT(Parameters!$B$9)*NORM.S.INV(RAND())</f>
        <v/>
      </c>
      <c r="BJ6" s="19">
        <f>SQRT(Parameters!$B$5)*Factors!BJ2+SQRT(Parameters!$B$6)*Factors!BJ5+SQRT(Parameters!$B$7)*Factors!BJ10+SQRT(Parameters!$B$9)*NORM.S.INV(RAND())</f>
        <v/>
      </c>
      <c r="BK6" s="19">
        <f>SQRT(Parameters!$B$5)*Factors!BK2+SQRT(Parameters!$B$6)*Factors!BK5+SQRT(Parameters!$B$7)*Factors!BK10+SQRT(Parameters!$B$9)*NORM.S.INV(RAND())</f>
        <v/>
      </c>
      <c r="BL6" s="19">
        <f>SQRT(Parameters!$B$5)*Factors!BL2+SQRT(Parameters!$B$6)*Factors!BL5+SQRT(Parameters!$B$7)*Factors!BL10+SQRT(Parameters!$B$9)*NORM.S.INV(RAND())</f>
        <v/>
      </c>
      <c r="BM6" s="19">
        <f>SQRT(Parameters!$B$5)*Factors!BM2+SQRT(Parameters!$B$6)*Factors!BM5+SQRT(Parameters!$B$7)*Factors!BM10+SQRT(Parameters!$B$9)*NORM.S.INV(RAND())</f>
        <v/>
      </c>
      <c r="BN6" s="19">
        <f>SQRT(Parameters!$B$5)*Factors!BN2+SQRT(Parameters!$B$6)*Factors!BN5+SQRT(Parameters!$B$7)*Factors!BN10+SQRT(Parameters!$B$9)*NORM.S.INV(RAND())</f>
        <v/>
      </c>
      <c r="BO6" s="19">
        <f>SQRT(Parameters!$B$5)*Factors!BO2+SQRT(Parameters!$B$6)*Factors!BO5+SQRT(Parameters!$B$7)*Factors!BO10+SQRT(Parameters!$B$9)*NORM.S.INV(RAND())</f>
        <v/>
      </c>
      <c r="BP6" s="19">
        <f>SQRT(Parameters!$B$5)*Factors!BP2+SQRT(Parameters!$B$6)*Factors!BP5+SQRT(Parameters!$B$7)*Factors!BP10+SQRT(Parameters!$B$9)*NORM.S.INV(RAND())</f>
        <v/>
      </c>
      <c r="BQ6" s="19">
        <f>SQRT(Parameters!$B$5)*Factors!BQ2+SQRT(Parameters!$B$6)*Factors!BQ5+SQRT(Parameters!$B$7)*Factors!BQ10+SQRT(Parameters!$B$9)*NORM.S.INV(RAND())</f>
        <v/>
      </c>
      <c r="BR6" s="19">
        <f>SQRT(Parameters!$B$5)*Factors!BR2+SQRT(Parameters!$B$6)*Factors!BR5+SQRT(Parameters!$B$7)*Factors!BR10+SQRT(Parameters!$B$9)*NORM.S.INV(RAND())</f>
        <v/>
      </c>
      <c r="BS6" s="19">
        <f>SQRT(Parameters!$B$5)*Factors!BS2+SQRT(Parameters!$B$6)*Factors!BS5+SQRT(Parameters!$B$7)*Factors!BS10+SQRT(Parameters!$B$9)*NORM.S.INV(RAND())</f>
        <v/>
      </c>
      <c r="BT6" s="19">
        <f>SQRT(Parameters!$B$5)*Factors!BT2+SQRT(Parameters!$B$6)*Factors!BT5+SQRT(Parameters!$B$7)*Factors!BT10+SQRT(Parameters!$B$9)*NORM.S.INV(RAND())</f>
        <v/>
      </c>
      <c r="BU6" s="19">
        <f>SQRT(Parameters!$B$5)*Factors!BU2+SQRT(Parameters!$B$6)*Factors!BU5+SQRT(Parameters!$B$7)*Factors!BU10+SQRT(Parameters!$B$9)*NORM.S.INV(RAND())</f>
        <v/>
      </c>
      <c r="BV6" s="19">
        <f>SQRT(Parameters!$B$5)*Factors!BV2+SQRT(Parameters!$B$6)*Factors!BV5+SQRT(Parameters!$B$7)*Factors!BV10+SQRT(Parameters!$B$9)*NORM.S.INV(RAND())</f>
        <v/>
      </c>
      <c r="BW6" s="19">
        <f>SQRT(Parameters!$B$5)*Factors!BW2+SQRT(Parameters!$B$6)*Factors!BW5+SQRT(Parameters!$B$7)*Factors!BW10+SQRT(Parameters!$B$9)*NORM.S.INV(RAND())</f>
        <v/>
      </c>
      <c r="BX6" s="19">
        <f>SQRT(Parameters!$B$5)*Factors!BX2+SQRT(Parameters!$B$6)*Factors!BX5+SQRT(Parameters!$B$7)*Factors!BX10+SQRT(Parameters!$B$9)*NORM.S.INV(RAND())</f>
        <v/>
      </c>
      <c r="BY6" s="19">
        <f>SQRT(Parameters!$B$5)*Factors!BY2+SQRT(Parameters!$B$6)*Factors!BY5+SQRT(Parameters!$B$7)*Factors!BY10+SQRT(Parameters!$B$9)*NORM.S.INV(RAND())</f>
        <v/>
      </c>
      <c r="BZ6" s="19">
        <f>SQRT(Parameters!$B$5)*Factors!BZ2+SQRT(Parameters!$B$6)*Factors!BZ5+SQRT(Parameters!$B$7)*Factors!BZ10+SQRT(Parameters!$B$9)*NORM.S.INV(RAND())</f>
        <v/>
      </c>
      <c r="CA6" s="19">
        <f>SQRT(Parameters!$B$5)*Factors!CA2+SQRT(Parameters!$B$6)*Factors!CA5+SQRT(Parameters!$B$7)*Factors!CA10+SQRT(Parameters!$B$9)*NORM.S.INV(RAND())</f>
        <v/>
      </c>
      <c r="CB6" s="19">
        <f>SQRT(Parameters!$B$5)*Factors!CB2+SQRT(Parameters!$B$6)*Factors!CB5+SQRT(Parameters!$B$7)*Factors!CB10+SQRT(Parameters!$B$9)*NORM.S.INV(RAND())</f>
        <v/>
      </c>
      <c r="CC6" s="19">
        <f>SQRT(Parameters!$B$5)*Factors!CC2+SQRT(Parameters!$B$6)*Factors!CC5+SQRT(Parameters!$B$7)*Factors!CC10+SQRT(Parameters!$B$9)*NORM.S.INV(RAND())</f>
        <v/>
      </c>
      <c r="CD6" s="19">
        <f>SQRT(Parameters!$B$5)*Factors!CD2+SQRT(Parameters!$B$6)*Factors!CD5+SQRT(Parameters!$B$7)*Factors!CD10+SQRT(Parameters!$B$9)*NORM.S.INV(RAND())</f>
        <v/>
      </c>
      <c r="CE6" s="19">
        <f>SQRT(Parameters!$B$5)*Factors!CE2+SQRT(Parameters!$B$6)*Factors!CE5+SQRT(Parameters!$B$7)*Factors!CE10+SQRT(Parameters!$B$9)*NORM.S.INV(RAND())</f>
        <v/>
      </c>
      <c r="CF6" s="19">
        <f>SQRT(Parameters!$B$5)*Factors!CF2+SQRT(Parameters!$B$6)*Factors!CF5+SQRT(Parameters!$B$7)*Factors!CF10+SQRT(Parameters!$B$9)*NORM.S.INV(RAND())</f>
        <v/>
      </c>
      <c r="CG6" s="19">
        <f>SQRT(Parameters!$B$5)*Factors!CG2+SQRT(Parameters!$B$6)*Factors!CG5+SQRT(Parameters!$B$7)*Factors!CG10+SQRT(Parameters!$B$9)*NORM.S.INV(RAND())</f>
        <v/>
      </c>
      <c r="CH6" s="19">
        <f>SQRT(Parameters!$B$5)*Factors!CH2+SQRT(Parameters!$B$6)*Factors!CH5+SQRT(Parameters!$B$7)*Factors!CH10+SQRT(Parameters!$B$9)*NORM.S.INV(RAND())</f>
        <v/>
      </c>
      <c r="CI6" s="19">
        <f>SQRT(Parameters!$B$5)*Factors!CI2+SQRT(Parameters!$B$6)*Factors!CI5+SQRT(Parameters!$B$7)*Factors!CI10+SQRT(Parameters!$B$9)*NORM.S.INV(RAND())</f>
        <v/>
      </c>
      <c r="CJ6" s="19">
        <f>SQRT(Parameters!$B$5)*Factors!CJ2+SQRT(Parameters!$B$6)*Factors!CJ5+SQRT(Parameters!$B$7)*Factors!CJ10+SQRT(Parameters!$B$9)*NORM.S.INV(RAND())</f>
        <v/>
      </c>
      <c r="CK6" s="19">
        <f>SQRT(Parameters!$B$5)*Factors!CK2+SQRT(Parameters!$B$6)*Factors!CK5+SQRT(Parameters!$B$7)*Factors!CK10+SQRT(Parameters!$B$9)*NORM.S.INV(RAND())</f>
        <v/>
      </c>
      <c r="CL6" s="19">
        <f>SQRT(Parameters!$B$5)*Factors!CL2+SQRT(Parameters!$B$6)*Factors!CL5+SQRT(Parameters!$B$7)*Factors!CL10+SQRT(Parameters!$B$9)*NORM.S.INV(RAND())</f>
        <v/>
      </c>
      <c r="CM6" s="19">
        <f>SQRT(Parameters!$B$5)*Factors!CM2+SQRT(Parameters!$B$6)*Factors!CM5+SQRT(Parameters!$B$7)*Factors!CM10+SQRT(Parameters!$B$9)*NORM.S.INV(RAND())</f>
        <v/>
      </c>
      <c r="CN6" s="19">
        <f>SQRT(Parameters!$B$5)*Factors!CN2+SQRT(Parameters!$B$6)*Factors!CN5+SQRT(Parameters!$B$7)*Factors!CN10+SQRT(Parameters!$B$9)*NORM.S.INV(RAND())</f>
        <v/>
      </c>
      <c r="CO6" s="19">
        <f>SQRT(Parameters!$B$5)*Factors!CO2+SQRT(Parameters!$B$6)*Factors!CO5+SQRT(Parameters!$B$7)*Factors!CO10+SQRT(Parameters!$B$9)*NORM.S.INV(RAND())</f>
        <v/>
      </c>
      <c r="CP6" s="19">
        <f>SQRT(Parameters!$B$5)*Factors!CP2+SQRT(Parameters!$B$6)*Factors!CP5+SQRT(Parameters!$B$7)*Factors!CP10+SQRT(Parameters!$B$9)*NORM.S.INV(RAND())</f>
        <v/>
      </c>
      <c r="CQ6" s="19">
        <f>SQRT(Parameters!$B$5)*Factors!CQ2+SQRT(Parameters!$B$6)*Factors!CQ5+SQRT(Parameters!$B$7)*Factors!CQ10+SQRT(Parameters!$B$9)*NORM.S.INV(RAND())</f>
        <v/>
      </c>
      <c r="CR6" s="19">
        <f>SQRT(Parameters!$B$5)*Factors!CR2+SQRT(Parameters!$B$6)*Factors!CR5+SQRT(Parameters!$B$7)*Factors!CR10+SQRT(Parameters!$B$9)*NORM.S.INV(RAND())</f>
        <v/>
      </c>
      <c r="CS6" s="19">
        <f>SQRT(Parameters!$B$5)*Factors!CS2+SQRT(Parameters!$B$6)*Factors!CS5+SQRT(Parameters!$B$7)*Factors!CS10+SQRT(Parameters!$B$9)*NORM.S.INV(RAND())</f>
        <v/>
      </c>
      <c r="CT6" s="19">
        <f>SQRT(Parameters!$B$5)*Factors!CT2+SQRT(Parameters!$B$6)*Factors!CT5+SQRT(Parameters!$B$7)*Factors!CT10+SQRT(Parameters!$B$9)*NORM.S.INV(RAND())</f>
        <v/>
      </c>
      <c r="CU6" s="19">
        <f>SQRT(Parameters!$B$5)*Factors!CU2+SQRT(Parameters!$B$6)*Factors!CU5+SQRT(Parameters!$B$7)*Factors!CU10+SQRT(Parameters!$B$9)*NORM.S.INV(RAND())</f>
        <v/>
      </c>
      <c r="CV6" s="19">
        <f>SQRT(Parameters!$B$5)*Factors!CV2+SQRT(Parameters!$B$6)*Factors!CV5+SQRT(Parameters!$B$7)*Factors!CV10+SQRT(Parameters!$B$9)*NORM.S.INV(RAND())</f>
        <v/>
      </c>
      <c r="CW6" s="19">
        <f>SQRT(Parameters!$B$5)*Factors!CW2+SQRT(Parameters!$B$6)*Factors!CW5+SQRT(Parameters!$B$7)*Factors!CW10+SQRT(Parameters!$B$9)*NORM.S.INV(RAND())</f>
        <v/>
      </c>
      <c r="CX6" s="19">
        <f>SQRT(Parameters!$B$5)*Factors!CX2+SQRT(Parameters!$B$6)*Factors!CX5+SQRT(Parameters!$B$7)*Factors!CX10+SQRT(Parameters!$B$9)*NORM.S.INV(RAND())</f>
        <v/>
      </c>
      <c r="CY6" s="19">
        <f>SQRT(Parameters!$B$5)*Factors!CY2+SQRT(Parameters!$B$6)*Factors!CY5+SQRT(Parameters!$B$7)*Factors!CY10+SQRT(Parameters!$B$9)*NORM.S.INV(RAND())</f>
        <v/>
      </c>
      <c r="CZ6" s="19">
        <f>SQRT(Parameters!$B$5)*Factors!CZ2+SQRT(Parameters!$B$6)*Factors!CZ5+SQRT(Parameters!$B$7)*Factors!CZ10+SQRT(Parameters!$B$9)*NORM.S.INV(RAND())</f>
        <v/>
      </c>
      <c r="DA6" s="19">
        <f>SQRT(Parameters!$B$5)*Factors!DA2+SQRT(Parameters!$B$6)*Factors!DA5+SQRT(Parameters!$B$7)*Factors!DA10+SQRT(Parameters!$B$9)*NORM.S.INV(RAND())</f>
        <v/>
      </c>
      <c r="DB6" s="19">
        <f>SQRT(Parameters!$B$5)*Factors!DB2+SQRT(Parameters!$B$6)*Factors!DB5+SQRT(Parameters!$B$7)*Factors!DB10+SQRT(Parameters!$B$9)*NORM.S.INV(RAND())</f>
        <v/>
      </c>
      <c r="DC6" s="19">
        <f>SQRT(Parameters!$B$5)*Factors!DC2+SQRT(Parameters!$B$6)*Factors!DC5+SQRT(Parameters!$B$7)*Factors!DC10+SQRT(Parameters!$B$9)*NORM.S.INV(RAND())</f>
        <v/>
      </c>
      <c r="DD6" s="19">
        <f>SQRT(Parameters!$B$5)*Factors!DD2+SQRT(Parameters!$B$6)*Factors!DD5+SQRT(Parameters!$B$7)*Factors!DD10+SQRT(Parameters!$B$9)*NORM.S.INV(RAND())</f>
        <v/>
      </c>
      <c r="DE6" s="19">
        <f>SQRT(Parameters!$B$5)*Factors!DE2+SQRT(Parameters!$B$6)*Factors!DE5+SQRT(Parameters!$B$7)*Factors!DE10+SQRT(Parameters!$B$9)*NORM.S.INV(RAND())</f>
        <v/>
      </c>
      <c r="DF6" s="19">
        <f>SQRT(Parameters!$B$5)*Factors!DF2+SQRT(Parameters!$B$6)*Factors!DF5+SQRT(Parameters!$B$7)*Factors!DF10+SQRT(Parameters!$B$9)*NORM.S.INV(RAND())</f>
        <v/>
      </c>
      <c r="DG6" s="19">
        <f>SQRT(Parameters!$B$5)*Factors!DG2+SQRT(Parameters!$B$6)*Factors!DG5+SQRT(Parameters!$B$7)*Factors!DG10+SQRT(Parameters!$B$9)*NORM.S.INV(RAND())</f>
        <v/>
      </c>
      <c r="DH6" s="19">
        <f>SQRT(Parameters!$B$5)*Factors!DH2+SQRT(Parameters!$B$6)*Factors!DH5+SQRT(Parameters!$B$7)*Factors!DH10+SQRT(Parameters!$B$9)*NORM.S.INV(RAND())</f>
        <v/>
      </c>
      <c r="DI6" s="19">
        <f>SQRT(Parameters!$B$5)*Factors!DI2+SQRT(Parameters!$B$6)*Factors!DI5+SQRT(Parameters!$B$7)*Factors!DI10+SQRT(Parameters!$B$9)*NORM.S.INV(RAND())</f>
        <v/>
      </c>
      <c r="DJ6" s="19">
        <f>SQRT(Parameters!$B$5)*Factors!DJ2+SQRT(Parameters!$B$6)*Factors!DJ5+SQRT(Parameters!$B$7)*Factors!DJ10+SQRT(Parameters!$B$9)*NORM.S.INV(RAND())</f>
        <v/>
      </c>
      <c r="DK6" s="19">
        <f>SQRT(Parameters!$B$5)*Factors!DK2+SQRT(Parameters!$B$6)*Factors!DK5+SQRT(Parameters!$B$7)*Factors!DK10+SQRT(Parameters!$B$9)*NORM.S.INV(RAND())</f>
        <v/>
      </c>
      <c r="DL6" s="19">
        <f>SQRT(Parameters!$B$5)*Factors!DL2+SQRT(Parameters!$B$6)*Factors!DL5+SQRT(Parameters!$B$7)*Factors!DL10+SQRT(Parameters!$B$9)*NORM.S.INV(RAND())</f>
        <v/>
      </c>
      <c r="DM6" s="19">
        <f>SQRT(Parameters!$B$5)*Factors!DM2+SQRT(Parameters!$B$6)*Factors!DM5+SQRT(Parameters!$B$7)*Factors!DM10+SQRT(Parameters!$B$9)*NORM.S.INV(RAND())</f>
        <v/>
      </c>
      <c r="DN6" s="19">
        <f>SQRT(Parameters!$B$5)*Factors!DN2+SQRT(Parameters!$B$6)*Factors!DN5+SQRT(Parameters!$B$7)*Factors!DN10+SQRT(Parameters!$B$9)*NORM.S.INV(RAND())</f>
        <v/>
      </c>
      <c r="DO6" s="19">
        <f>SQRT(Parameters!$B$5)*Factors!DO2+SQRT(Parameters!$B$6)*Factors!DO5+SQRT(Parameters!$B$7)*Factors!DO10+SQRT(Parameters!$B$9)*NORM.S.INV(RAND())</f>
        <v/>
      </c>
      <c r="DP6" s="19">
        <f>SQRT(Parameters!$B$5)*Factors!DP2+SQRT(Parameters!$B$6)*Factors!DP5+SQRT(Parameters!$B$7)*Factors!DP10+SQRT(Parameters!$B$9)*NORM.S.INV(RAND())</f>
        <v/>
      </c>
      <c r="DQ6" s="19">
        <f>SQRT(Parameters!$B$5)*Factors!DQ2+SQRT(Parameters!$B$6)*Factors!DQ5+SQRT(Parameters!$B$7)*Factors!DQ10+SQRT(Parameters!$B$9)*NORM.S.INV(RAND())</f>
        <v/>
      </c>
      <c r="DR6" s="19">
        <f>SQRT(Parameters!$B$5)*Factors!DR2+SQRT(Parameters!$B$6)*Factors!DR5+SQRT(Parameters!$B$7)*Factors!DR10+SQRT(Parameters!$B$9)*NORM.S.INV(RAND())</f>
        <v/>
      </c>
      <c r="DS6" s="19">
        <f>SQRT(Parameters!$B$5)*Factors!DS2+SQRT(Parameters!$B$6)*Factors!DS5+SQRT(Parameters!$B$7)*Factors!DS10+SQRT(Parameters!$B$9)*NORM.S.INV(RAND())</f>
        <v/>
      </c>
      <c r="DT6" s="19">
        <f>SQRT(Parameters!$B$5)*Factors!DT2+SQRT(Parameters!$B$6)*Factors!DT5+SQRT(Parameters!$B$7)*Factors!DT10+SQRT(Parameters!$B$9)*NORM.S.INV(RAND())</f>
        <v/>
      </c>
      <c r="DU6" s="19">
        <f>SQRT(Parameters!$B$5)*Factors!DU2+SQRT(Parameters!$B$6)*Factors!DU5+SQRT(Parameters!$B$7)*Factors!DU10+SQRT(Parameters!$B$9)*NORM.S.INV(RAND())</f>
        <v/>
      </c>
      <c r="DV6" s="19">
        <f>SQRT(Parameters!$B$5)*Factors!DV2+SQRT(Parameters!$B$6)*Factors!DV5+SQRT(Parameters!$B$7)*Factors!DV10+SQRT(Parameters!$B$9)*NORM.S.INV(RAND())</f>
        <v/>
      </c>
      <c r="DW6" s="19">
        <f>SQRT(Parameters!$B$5)*Factors!DW2+SQRT(Parameters!$B$6)*Factors!DW5+SQRT(Parameters!$B$7)*Factors!DW10+SQRT(Parameters!$B$9)*NORM.S.INV(RAND())</f>
        <v/>
      </c>
      <c r="DX6" s="19">
        <f>SQRT(Parameters!$B$5)*Factors!DX2+SQRT(Parameters!$B$6)*Factors!DX5+SQRT(Parameters!$B$7)*Factors!DX10+SQRT(Parameters!$B$9)*NORM.S.INV(RAND())</f>
        <v/>
      </c>
      <c r="DY6" s="19">
        <f>SQRT(Parameters!$B$5)*Factors!DY2+SQRT(Parameters!$B$6)*Factors!DY5+SQRT(Parameters!$B$7)*Factors!DY10+SQRT(Parameters!$B$9)*NORM.S.INV(RAND())</f>
        <v/>
      </c>
      <c r="DZ6" s="19">
        <f>SQRT(Parameters!$B$5)*Factors!DZ2+SQRT(Parameters!$B$6)*Factors!DZ5+SQRT(Parameters!$B$7)*Factors!DZ10+SQRT(Parameters!$B$9)*NORM.S.INV(RAND())</f>
        <v/>
      </c>
      <c r="EA6" s="19">
        <f>SQRT(Parameters!$B$5)*Factors!EA2+SQRT(Parameters!$B$6)*Factors!EA5+SQRT(Parameters!$B$7)*Factors!EA10+SQRT(Parameters!$B$9)*NORM.S.INV(RAND())</f>
        <v/>
      </c>
      <c r="EB6" s="19">
        <f>SQRT(Parameters!$B$5)*Factors!EB2+SQRT(Parameters!$B$6)*Factors!EB5+SQRT(Parameters!$B$7)*Factors!EB10+SQRT(Parameters!$B$9)*NORM.S.INV(RAND())</f>
        <v/>
      </c>
      <c r="EC6" s="19">
        <f>SQRT(Parameters!$B$5)*Factors!EC2+SQRT(Parameters!$B$6)*Factors!EC5+SQRT(Parameters!$B$7)*Factors!EC10+SQRT(Parameters!$B$9)*NORM.S.INV(RAND())</f>
        <v/>
      </c>
      <c r="ED6" s="19">
        <f>SQRT(Parameters!$B$5)*Factors!ED2+SQRT(Parameters!$B$6)*Factors!ED5+SQRT(Parameters!$B$7)*Factors!ED10+SQRT(Parameters!$B$9)*NORM.S.INV(RAND())</f>
        <v/>
      </c>
      <c r="EE6" s="19">
        <f>SQRT(Parameters!$B$5)*Factors!EE2+SQRT(Parameters!$B$6)*Factors!EE5+SQRT(Parameters!$B$7)*Factors!EE10+SQRT(Parameters!$B$9)*NORM.S.INV(RAND())</f>
        <v/>
      </c>
      <c r="EF6" s="19">
        <f>SQRT(Parameters!$B$5)*Factors!EF2+SQRT(Parameters!$B$6)*Factors!EF5+SQRT(Parameters!$B$7)*Factors!EF10+SQRT(Parameters!$B$9)*NORM.S.INV(RAND())</f>
        <v/>
      </c>
      <c r="EG6" s="19">
        <f>SQRT(Parameters!$B$5)*Factors!EG2+SQRT(Parameters!$B$6)*Factors!EG5+SQRT(Parameters!$B$7)*Factors!EG10+SQRT(Parameters!$B$9)*NORM.S.INV(RAND())</f>
        <v/>
      </c>
      <c r="EH6" s="19">
        <f>SQRT(Parameters!$B$5)*Factors!EH2+SQRT(Parameters!$B$6)*Factors!EH5+SQRT(Parameters!$B$7)*Factors!EH10+SQRT(Parameters!$B$9)*NORM.S.INV(RAND())</f>
        <v/>
      </c>
      <c r="EI6" s="19">
        <f>SQRT(Parameters!$B$5)*Factors!EI2+SQRT(Parameters!$B$6)*Factors!EI5+SQRT(Parameters!$B$7)*Factors!EI10+SQRT(Parameters!$B$9)*NORM.S.INV(RAND())</f>
        <v/>
      </c>
      <c r="EJ6" s="19">
        <f>SQRT(Parameters!$B$5)*Factors!EJ2+SQRT(Parameters!$B$6)*Factors!EJ5+SQRT(Parameters!$B$7)*Factors!EJ10+SQRT(Parameters!$B$9)*NORM.S.INV(RAND())</f>
        <v/>
      </c>
      <c r="EK6" s="19">
        <f>SQRT(Parameters!$B$5)*Factors!EK2+SQRT(Parameters!$B$6)*Factors!EK5+SQRT(Parameters!$B$7)*Factors!EK10+SQRT(Parameters!$B$9)*NORM.S.INV(RAND())</f>
        <v/>
      </c>
      <c r="EL6" s="19">
        <f>SQRT(Parameters!$B$5)*Factors!EL2+SQRT(Parameters!$B$6)*Factors!EL5+SQRT(Parameters!$B$7)*Factors!EL10+SQRT(Parameters!$B$9)*NORM.S.INV(RAND())</f>
        <v/>
      </c>
      <c r="EM6" s="19">
        <f>SQRT(Parameters!$B$5)*Factors!EM2+SQRT(Parameters!$B$6)*Factors!EM5+SQRT(Parameters!$B$7)*Factors!EM10+SQRT(Parameters!$B$9)*NORM.S.INV(RAND())</f>
        <v/>
      </c>
      <c r="EN6" s="19">
        <f>SQRT(Parameters!$B$5)*Factors!EN2+SQRT(Parameters!$B$6)*Factors!EN5+SQRT(Parameters!$B$7)*Factors!EN10+SQRT(Parameters!$B$9)*NORM.S.INV(RAND())</f>
        <v/>
      </c>
      <c r="EO6" s="19">
        <f>SQRT(Parameters!$B$5)*Factors!EO2+SQRT(Parameters!$B$6)*Factors!EO5+SQRT(Parameters!$B$7)*Factors!EO10+SQRT(Parameters!$B$9)*NORM.S.INV(RAND())</f>
        <v/>
      </c>
      <c r="EP6" s="19">
        <f>SQRT(Parameters!$B$5)*Factors!EP2+SQRT(Parameters!$B$6)*Factors!EP5+SQRT(Parameters!$B$7)*Factors!EP10+SQRT(Parameters!$B$9)*NORM.S.INV(RAND())</f>
        <v/>
      </c>
      <c r="EQ6" s="19">
        <f>SQRT(Parameters!$B$5)*Factors!EQ2+SQRT(Parameters!$B$6)*Factors!EQ5+SQRT(Parameters!$B$7)*Factors!EQ10+SQRT(Parameters!$B$9)*NORM.S.INV(RAND())</f>
        <v/>
      </c>
      <c r="ER6" s="19">
        <f>SQRT(Parameters!$B$5)*Factors!ER2+SQRT(Parameters!$B$6)*Factors!ER5+SQRT(Parameters!$B$7)*Factors!ER10+SQRT(Parameters!$B$9)*NORM.S.INV(RAND())</f>
        <v/>
      </c>
      <c r="ES6" s="19">
        <f>SQRT(Parameters!$B$5)*Factors!ES2+SQRT(Parameters!$B$6)*Factors!ES5+SQRT(Parameters!$B$7)*Factors!ES10+SQRT(Parameters!$B$9)*NORM.S.INV(RAND())</f>
        <v/>
      </c>
      <c r="ET6" s="19">
        <f>SQRT(Parameters!$B$5)*Factors!ET2+SQRT(Parameters!$B$6)*Factors!ET5+SQRT(Parameters!$B$7)*Factors!ET10+SQRT(Parameters!$B$9)*NORM.S.INV(RAND())</f>
        <v/>
      </c>
      <c r="EU6" s="19">
        <f>SQRT(Parameters!$B$5)*Factors!EU2+SQRT(Parameters!$B$6)*Factors!EU5+SQRT(Parameters!$B$7)*Factors!EU10+SQRT(Parameters!$B$9)*NORM.S.INV(RAND())</f>
        <v/>
      </c>
      <c r="EV6" s="19">
        <f>SQRT(Parameters!$B$5)*Factors!EV2+SQRT(Parameters!$B$6)*Factors!EV5+SQRT(Parameters!$B$7)*Factors!EV10+SQRT(Parameters!$B$9)*NORM.S.INV(RAND())</f>
        <v/>
      </c>
      <c r="EW6" s="19">
        <f>SQRT(Parameters!$B$5)*Factors!EW2+SQRT(Parameters!$B$6)*Factors!EW5+SQRT(Parameters!$B$7)*Factors!EW10+SQRT(Parameters!$B$9)*NORM.S.INV(RAND())</f>
        <v/>
      </c>
      <c r="EX6" s="19">
        <f>SQRT(Parameters!$B$5)*Factors!EX2+SQRT(Parameters!$B$6)*Factors!EX5+SQRT(Parameters!$B$7)*Factors!EX10+SQRT(Parameters!$B$9)*NORM.S.INV(RAND())</f>
        <v/>
      </c>
      <c r="EY6" s="19">
        <f>SQRT(Parameters!$B$5)*Factors!EY2+SQRT(Parameters!$B$6)*Factors!EY5+SQRT(Parameters!$B$7)*Factors!EY10+SQRT(Parameters!$B$9)*NORM.S.INV(RAND())</f>
        <v/>
      </c>
      <c r="EZ6" s="19">
        <f>SQRT(Parameters!$B$5)*Factors!EZ2+SQRT(Parameters!$B$6)*Factors!EZ5+SQRT(Parameters!$B$7)*Factors!EZ10+SQRT(Parameters!$B$9)*NORM.S.INV(RAND())</f>
        <v/>
      </c>
      <c r="FA6" s="19">
        <f>SQRT(Parameters!$B$5)*Factors!FA2+SQRT(Parameters!$B$6)*Factors!FA5+SQRT(Parameters!$B$7)*Factors!FA10+SQRT(Parameters!$B$9)*NORM.S.INV(RAND())</f>
        <v/>
      </c>
      <c r="FB6" s="19">
        <f>SQRT(Parameters!$B$5)*Factors!FB2+SQRT(Parameters!$B$6)*Factors!FB5+SQRT(Parameters!$B$7)*Factors!FB10+SQRT(Parameters!$B$9)*NORM.S.INV(RAND())</f>
        <v/>
      </c>
      <c r="FC6" s="19">
        <f>SQRT(Parameters!$B$5)*Factors!FC2+SQRT(Parameters!$B$6)*Factors!FC5+SQRT(Parameters!$B$7)*Factors!FC10+SQRT(Parameters!$B$9)*NORM.S.INV(RAND())</f>
        <v/>
      </c>
      <c r="FD6" s="19">
        <f>SQRT(Parameters!$B$5)*Factors!FD2+SQRT(Parameters!$B$6)*Factors!FD5+SQRT(Parameters!$B$7)*Factors!FD10+SQRT(Parameters!$B$9)*NORM.S.INV(RAND())</f>
        <v/>
      </c>
      <c r="FE6" s="19">
        <f>SQRT(Parameters!$B$5)*Factors!FE2+SQRT(Parameters!$B$6)*Factors!FE5+SQRT(Parameters!$B$7)*Factors!FE10+SQRT(Parameters!$B$9)*NORM.S.INV(RAND())</f>
        <v/>
      </c>
      <c r="FF6" s="19">
        <f>SQRT(Parameters!$B$5)*Factors!FF2+SQRT(Parameters!$B$6)*Factors!FF5+SQRT(Parameters!$B$7)*Factors!FF10+SQRT(Parameters!$B$9)*NORM.S.INV(RAND())</f>
        <v/>
      </c>
      <c r="FG6" s="19">
        <f>SQRT(Parameters!$B$5)*Factors!FG2+SQRT(Parameters!$B$6)*Factors!FG5+SQRT(Parameters!$B$7)*Factors!FG10+SQRT(Parameters!$B$9)*NORM.S.INV(RAND())</f>
        <v/>
      </c>
      <c r="FH6" s="19">
        <f>SQRT(Parameters!$B$5)*Factors!FH2+SQRT(Parameters!$B$6)*Factors!FH5+SQRT(Parameters!$B$7)*Factors!FH10+SQRT(Parameters!$B$9)*NORM.S.INV(RAND())</f>
        <v/>
      </c>
      <c r="FI6" s="19">
        <f>SQRT(Parameters!$B$5)*Factors!FI2+SQRT(Parameters!$B$6)*Factors!FI5+SQRT(Parameters!$B$7)*Factors!FI10+SQRT(Parameters!$B$9)*NORM.S.INV(RAND())</f>
        <v/>
      </c>
      <c r="FJ6" s="19">
        <f>SQRT(Parameters!$B$5)*Factors!FJ2+SQRT(Parameters!$B$6)*Factors!FJ5+SQRT(Parameters!$B$7)*Factors!FJ10+SQRT(Parameters!$B$9)*NORM.S.INV(RAND())</f>
        <v/>
      </c>
      <c r="FK6" s="19">
        <f>SQRT(Parameters!$B$5)*Factors!FK2+SQRT(Parameters!$B$6)*Factors!FK5+SQRT(Parameters!$B$7)*Factors!FK10+SQRT(Parameters!$B$9)*NORM.S.INV(RAND())</f>
        <v/>
      </c>
      <c r="FL6" s="19">
        <f>SQRT(Parameters!$B$5)*Factors!FL2+SQRT(Parameters!$B$6)*Factors!FL5+SQRT(Parameters!$B$7)*Factors!FL10+SQRT(Parameters!$B$9)*NORM.S.INV(RAND())</f>
        <v/>
      </c>
      <c r="FM6" s="19">
        <f>SQRT(Parameters!$B$5)*Factors!FM2+SQRT(Parameters!$B$6)*Factors!FM5+SQRT(Parameters!$B$7)*Factors!FM10+SQRT(Parameters!$B$9)*NORM.S.INV(RAND())</f>
        <v/>
      </c>
      <c r="FN6" s="19">
        <f>SQRT(Parameters!$B$5)*Factors!FN2+SQRT(Parameters!$B$6)*Factors!FN5+SQRT(Parameters!$B$7)*Factors!FN10+SQRT(Parameters!$B$9)*NORM.S.INV(RAND())</f>
        <v/>
      </c>
      <c r="FO6" s="19">
        <f>SQRT(Parameters!$B$5)*Factors!FO2+SQRT(Parameters!$B$6)*Factors!FO5+SQRT(Parameters!$B$7)*Factors!FO10+SQRT(Parameters!$B$9)*NORM.S.INV(RAND())</f>
        <v/>
      </c>
      <c r="FP6" s="19">
        <f>SQRT(Parameters!$B$5)*Factors!FP2+SQRT(Parameters!$B$6)*Factors!FP5+SQRT(Parameters!$B$7)*Factors!FP10+SQRT(Parameters!$B$9)*NORM.S.INV(RAND())</f>
        <v/>
      </c>
      <c r="FQ6" s="19">
        <f>SQRT(Parameters!$B$5)*Factors!FQ2+SQRT(Parameters!$B$6)*Factors!FQ5+SQRT(Parameters!$B$7)*Factors!FQ10+SQRT(Parameters!$B$9)*NORM.S.INV(RAND())</f>
        <v/>
      </c>
      <c r="FR6" s="19">
        <f>SQRT(Parameters!$B$5)*Factors!FR2+SQRT(Parameters!$B$6)*Factors!FR5+SQRT(Parameters!$B$7)*Factors!FR10+SQRT(Parameters!$B$9)*NORM.S.INV(RAND())</f>
        <v/>
      </c>
      <c r="FS6" s="19">
        <f>SQRT(Parameters!$B$5)*Factors!FS2+SQRT(Parameters!$B$6)*Factors!FS5+SQRT(Parameters!$B$7)*Factors!FS10+SQRT(Parameters!$B$9)*NORM.S.INV(RAND())</f>
        <v/>
      </c>
      <c r="FT6" s="19">
        <f>SQRT(Parameters!$B$5)*Factors!FT2+SQRT(Parameters!$B$6)*Factors!FT5+SQRT(Parameters!$B$7)*Factors!FT10+SQRT(Parameters!$B$9)*NORM.S.INV(RAND())</f>
        <v/>
      </c>
      <c r="FU6" s="19">
        <f>SQRT(Parameters!$B$5)*Factors!FU2+SQRT(Parameters!$B$6)*Factors!FU5+SQRT(Parameters!$B$7)*Factors!FU10+SQRT(Parameters!$B$9)*NORM.S.INV(RAND())</f>
        <v/>
      </c>
      <c r="FV6" s="19">
        <f>SQRT(Parameters!$B$5)*Factors!FV2+SQRT(Parameters!$B$6)*Factors!FV5+SQRT(Parameters!$B$7)*Factors!FV10+SQRT(Parameters!$B$9)*NORM.S.INV(RAND())</f>
        <v/>
      </c>
      <c r="FW6" s="19">
        <f>SQRT(Parameters!$B$5)*Factors!FW2+SQRT(Parameters!$B$6)*Factors!FW5+SQRT(Parameters!$B$7)*Factors!FW10+SQRT(Parameters!$B$9)*NORM.S.INV(RAND())</f>
        <v/>
      </c>
      <c r="FX6" s="19">
        <f>SQRT(Parameters!$B$5)*Factors!FX2+SQRT(Parameters!$B$6)*Factors!FX5+SQRT(Parameters!$B$7)*Factors!FX10+SQRT(Parameters!$B$9)*NORM.S.INV(RAND())</f>
        <v/>
      </c>
      <c r="FY6" s="19">
        <f>SQRT(Parameters!$B$5)*Factors!FY2+SQRT(Parameters!$B$6)*Factors!FY5+SQRT(Parameters!$B$7)*Factors!FY10+SQRT(Parameters!$B$9)*NORM.S.INV(RAND())</f>
        <v/>
      </c>
      <c r="FZ6" s="19">
        <f>SQRT(Parameters!$B$5)*Factors!FZ2+SQRT(Parameters!$B$6)*Factors!FZ5+SQRT(Parameters!$B$7)*Factors!FZ10+SQRT(Parameters!$B$9)*NORM.S.INV(RAND())</f>
        <v/>
      </c>
      <c r="GA6" s="19">
        <f>SQRT(Parameters!$B$5)*Factors!GA2+SQRT(Parameters!$B$6)*Factors!GA5+SQRT(Parameters!$B$7)*Factors!GA10+SQRT(Parameters!$B$9)*NORM.S.INV(RAND())</f>
        <v/>
      </c>
      <c r="GB6" s="19">
        <f>SQRT(Parameters!$B$5)*Factors!GB2+SQRT(Parameters!$B$6)*Factors!GB5+SQRT(Parameters!$B$7)*Factors!GB10+SQRT(Parameters!$B$9)*NORM.S.INV(RAND())</f>
        <v/>
      </c>
      <c r="GC6" s="19">
        <f>SQRT(Parameters!$B$5)*Factors!GC2+SQRT(Parameters!$B$6)*Factors!GC5+SQRT(Parameters!$B$7)*Factors!GC10+SQRT(Parameters!$B$9)*NORM.S.INV(RAND())</f>
        <v/>
      </c>
      <c r="GD6" s="19">
        <f>SQRT(Parameters!$B$5)*Factors!GD2+SQRT(Parameters!$B$6)*Factors!GD5+SQRT(Parameters!$B$7)*Factors!GD10+SQRT(Parameters!$B$9)*NORM.S.INV(RAND())</f>
        <v/>
      </c>
      <c r="GE6" s="19">
        <f>SQRT(Parameters!$B$5)*Factors!GE2+SQRT(Parameters!$B$6)*Factors!GE5+SQRT(Parameters!$B$7)*Factors!GE10+SQRT(Parameters!$B$9)*NORM.S.INV(RAND())</f>
        <v/>
      </c>
      <c r="GF6" s="19">
        <f>SQRT(Parameters!$B$5)*Factors!GF2+SQRT(Parameters!$B$6)*Factors!GF5+SQRT(Parameters!$B$7)*Factors!GF10+SQRT(Parameters!$B$9)*NORM.S.INV(RAND())</f>
        <v/>
      </c>
      <c r="GG6" s="19">
        <f>SQRT(Parameters!$B$5)*Factors!GG2+SQRT(Parameters!$B$6)*Factors!GG5+SQRT(Parameters!$B$7)*Factors!GG10+SQRT(Parameters!$B$9)*NORM.S.INV(RAND())</f>
        <v/>
      </c>
      <c r="GH6" s="19">
        <f>SQRT(Parameters!$B$5)*Factors!GH2+SQRT(Parameters!$B$6)*Factors!GH5+SQRT(Parameters!$B$7)*Factors!GH10+SQRT(Parameters!$B$9)*NORM.S.INV(RAND())</f>
        <v/>
      </c>
      <c r="GI6" s="19">
        <f>SQRT(Parameters!$B$5)*Factors!GI2+SQRT(Parameters!$B$6)*Factors!GI5+SQRT(Parameters!$B$7)*Factors!GI10+SQRT(Parameters!$B$9)*NORM.S.INV(RAND())</f>
        <v/>
      </c>
      <c r="GJ6" s="19">
        <f>SQRT(Parameters!$B$5)*Factors!GJ2+SQRT(Parameters!$B$6)*Factors!GJ5+SQRT(Parameters!$B$7)*Factors!GJ10+SQRT(Parameters!$B$9)*NORM.S.INV(RAND())</f>
        <v/>
      </c>
      <c r="GK6" s="19">
        <f>SQRT(Parameters!$B$5)*Factors!GK2+SQRT(Parameters!$B$6)*Factors!GK5+SQRT(Parameters!$B$7)*Factors!GK10+SQRT(Parameters!$B$9)*NORM.S.INV(RAND())</f>
        <v/>
      </c>
      <c r="GL6" s="19">
        <f>SQRT(Parameters!$B$5)*Factors!GL2+SQRT(Parameters!$B$6)*Factors!GL5+SQRT(Parameters!$B$7)*Factors!GL10+SQRT(Parameters!$B$9)*NORM.S.INV(RAND())</f>
        <v/>
      </c>
      <c r="GM6" s="19">
        <f>SQRT(Parameters!$B$5)*Factors!GM2+SQRT(Parameters!$B$6)*Factors!GM5+SQRT(Parameters!$B$7)*Factors!GM10+SQRT(Parameters!$B$9)*NORM.S.INV(RAND())</f>
        <v/>
      </c>
      <c r="GN6" s="19">
        <f>SQRT(Parameters!$B$5)*Factors!GN2+SQRT(Parameters!$B$6)*Factors!GN5+SQRT(Parameters!$B$7)*Factors!GN10+SQRT(Parameters!$B$9)*NORM.S.INV(RAND())</f>
        <v/>
      </c>
      <c r="GO6" s="19">
        <f>SQRT(Parameters!$B$5)*Factors!GO2+SQRT(Parameters!$B$6)*Factors!GO5+SQRT(Parameters!$B$7)*Factors!GO10+SQRT(Parameters!$B$9)*NORM.S.INV(RAND())</f>
        <v/>
      </c>
      <c r="GP6" s="19">
        <f>SQRT(Parameters!$B$5)*Factors!GP2+SQRT(Parameters!$B$6)*Factors!GP5+SQRT(Parameters!$B$7)*Factors!GP10+SQRT(Parameters!$B$9)*NORM.S.INV(RAND())</f>
        <v/>
      </c>
      <c r="GQ6" s="19">
        <f>SQRT(Parameters!$B$5)*Factors!GQ2+SQRT(Parameters!$B$6)*Factors!GQ5+SQRT(Parameters!$B$7)*Factors!GQ10+SQRT(Parameters!$B$9)*NORM.S.INV(RAND())</f>
        <v/>
      </c>
      <c r="GR6" s="19">
        <f>SQRT(Parameters!$B$5)*Factors!GR2+SQRT(Parameters!$B$6)*Factors!GR5+SQRT(Parameters!$B$7)*Factors!GR10+SQRT(Parameters!$B$9)*NORM.S.INV(RAND())</f>
        <v/>
      </c>
      <c r="GS6" s="19">
        <f>SQRT(Parameters!$B$5)*Factors!GS2+SQRT(Parameters!$B$6)*Factors!GS5+SQRT(Parameters!$B$7)*Factors!GS10+SQRT(Parameters!$B$9)*NORM.S.INV(RAND())</f>
        <v/>
      </c>
      <c r="GT6" s="19">
        <f>SQRT(Parameters!$B$5)*Factors!GT2+SQRT(Parameters!$B$6)*Factors!GT5+SQRT(Parameters!$B$7)*Factors!GT10+SQRT(Parameters!$B$9)*NORM.S.INV(RAND())</f>
        <v/>
      </c>
      <c r="GU6" s="19">
        <f>SQRT(Parameters!$B$5)*Factors!GU2+SQRT(Parameters!$B$6)*Factors!GU5+SQRT(Parameters!$B$7)*Factors!GU10+SQRT(Parameters!$B$9)*NORM.S.INV(RAND())</f>
        <v/>
      </c>
      <c r="GV6" s="19">
        <f>SQRT(Parameters!$B$5)*Factors!GV2+SQRT(Parameters!$B$6)*Factors!GV5+SQRT(Parameters!$B$7)*Factors!GV10+SQRT(Parameters!$B$9)*NORM.S.INV(RAND())</f>
        <v/>
      </c>
      <c r="GW6" s="19">
        <f>SQRT(Parameters!$B$5)*Factors!GW2+SQRT(Parameters!$B$6)*Factors!GW5+SQRT(Parameters!$B$7)*Factors!GW10+SQRT(Parameters!$B$9)*NORM.S.INV(RAND())</f>
        <v/>
      </c>
      <c r="GX6" s="19">
        <f>SQRT(Parameters!$B$5)*Factors!GX2+SQRT(Parameters!$B$6)*Factors!GX5+SQRT(Parameters!$B$7)*Factors!GX10+SQRT(Parameters!$B$9)*NORM.S.INV(RAND())</f>
        <v/>
      </c>
      <c r="GY6" s="19">
        <f>SQRT(Parameters!$B$5)*Factors!GY2+SQRT(Parameters!$B$6)*Factors!GY5+SQRT(Parameters!$B$7)*Factors!GY10+SQRT(Parameters!$B$9)*NORM.S.INV(RAND())</f>
        <v/>
      </c>
      <c r="GZ6" s="19">
        <f>SQRT(Parameters!$B$5)*Factors!GZ2+SQRT(Parameters!$B$6)*Factors!GZ5+SQRT(Parameters!$B$7)*Factors!GZ10+SQRT(Parameters!$B$9)*NORM.S.INV(RAND())</f>
        <v/>
      </c>
      <c r="HA6" s="19">
        <f>SQRT(Parameters!$B$5)*Factors!HA2+SQRT(Parameters!$B$6)*Factors!HA5+SQRT(Parameters!$B$7)*Factors!HA10+SQRT(Parameters!$B$9)*NORM.S.INV(RAND())</f>
        <v/>
      </c>
      <c r="HB6" s="19">
        <f>SQRT(Parameters!$B$5)*Factors!HB2+SQRT(Parameters!$B$6)*Factors!HB5+SQRT(Parameters!$B$7)*Factors!HB10+SQRT(Parameters!$B$9)*NORM.S.INV(RAND())</f>
        <v/>
      </c>
      <c r="HC6" s="19">
        <f>SQRT(Parameters!$B$5)*Factors!HC2+SQRT(Parameters!$B$6)*Factors!HC5+SQRT(Parameters!$B$7)*Factors!HC10+SQRT(Parameters!$B$9)*NORM.S.INV(RAND())</f>
        <v/>
      </c>
      <c r="HD6" s="19">
        <f>SQRT(Parameters!$B$5)*Factors!HD2+SQRT(Parameters!$B$6)*Factors!HD5+SQRT(Parameters!$B$7)*Factors!HD10+SQRT(Parameters!$B$9)*NORM.S.INV(RAND())</f>
        <v/>
      </c>
      <c r="HE6" s="19">
        <f>SQRT(Parameters!$B$5)*Factors!HE2+SQRT(Parameters!$B$6)*Factors!HE5+SQRT(Parameters!$B$7)*Factors!HE10+SQRT(Parameters!$B$9)*NORM.S.INV(RAND())</f>
        <v/>
      </c>
      <c r="HF6" s="19">
        <f>SQRT(Parameters!$B$5)*Factors!HF2+SQRT(Parameters!$B$6)*Factors!HF5+SQRT(Parameters!$B$7)*Factors!HF10+SQRT(Parameters!$B$9)*NORM.S.INV(RAND())</f>
        <v/>
      </c>
      <c r="HG6" s="19">
        <f>SQRT(Parameters!$B$5)*Factors!HG2+SQRT(Parameters!$B$6)*Factors!HG5+SQRT(Parameters!$B$7)*Factors!HG10+SQRT(Parameters!$B$9)*NORM.S.INV(RAND())</f>
        <v/>
      </c>
      <c r="HH6" s="19">
        <f>SQRT(Parameters!$B$5)*Factors!HH2+SQRT(Parameters!$B$6)*Factors!HH5+SQRT(Parameters!$B$7)*Factors!HH10+SQRT(Parameters!$B$9)*NORM.S.INV(RAND())</f>
        <v/>
      </c>
      <c r="HI6" s="19">
        <f>SQRT(Parameters!$B$5)*Factors!HI2+SQRT(Parameters!$B$6)*Factors!HI5+SQRT(Parameters!$B$7)*Factors!HI10+SQRT(Parameters!$B$9)*NORM.S.INV(RAND())</f>
        <v/>
      </c>
      <c r="HJ6" s="19">
        <f>SQRT(Parameters!$B$5)*Factors!HJ2+SQRT(Parameters!$B$6)*Factors!HJ5+SQRT(Parameters!$B$7)*Factors!HJ10+SQRT(Parameters!$B$9)*NORM.S.INV(RAND())</f>
        <v/>
      </c>
      <c r="HK6" s="19">
        <f>SQRT(Parameters!$B$5)*Factors!HK2+SQRT(Parameters!$B$6)*Factors!HK5+SQRT(Parameters!$B$7)*Factors!HK10+SQRT(Parameters!$B$9)*NORM.S.INV(RAND())</f>
        <v/>
      </c>
      <c r="HL6" s="19">
        <f>SQRT(Parameters!$B$5)*Factors!HL2+SQRT(Parameters!$B$6)*Factors!HL5+SQRT(Parameters!$B$7)*Factors!HL10+SQRT(Parameters!$B$9)*NORM.S.INV(RAND())</f>
        <v/>
      </c>
      <c r="HM6" s="19">
        <f>SQRT(Parameters!$B$5)*Factors!HM2+SQRT(Parameters!$B$6)*Factors!HM5+SQRT(Parameters!$B$7)*Factors!HM10+SQRT(Parameters!$B$9)*NORM.S.INV(RAND())</f>
        <v/>
      </c>
      <c r="HN6" s="19">
        <f>SQRT(Parameters!$B$5)*Factors!HN2+SQRT(Parameters!$B$6)*Factors!HN5+SQRT(Parameters!$B$7)*Factors!HN10+SQRT(Parameters!$B$9)*NORM.S.INV(RAND())</f>
        <v/>
      </c>
      <c r="HO6" s="19">
        <f>SQRT(Parameters!$B$5)*Factors!HO2+SQRT(Parameters!$B$6)*Factors!HO5+SQRT(Parameters!$B$7)*Factors!HO10+SQRT(Parameters!$B$9)*NORM.S.INV(RAND())</f>
        <v/>
      </c>
      <c r="HP6" s="19">
        <f>SQRT(Parameters!$B$5)*Factors!HP2+SQRT(Parameters!$B$6)*Factors!HP5+SQRT(Parameters!$B$7)*Factors!HP10+SQRT(Parameters!$B$9)*NORM.S.INV(RAND())</f>
        <v/>
      </c>
      <c r="HQ6" s="19">
        <f>SQRT(Parameters!$B$5)*Factors!HQ2+SQRT(Parameters!$B$6)*Factors!HQ5+SQRT(Parameters!$B$7)*Factors!HQ10+SQRT(Parameters!$B$9)*NORM.S.INV(RAND())</f>
        <v/>
      </c>
      <c r="HR6" s="19">
        <f>SQRT(Parameters!$B$5)*Factors!HR2+SQRT(Parameters!$B$6)*Factors!HR5+SQRT(Parameters!$B$7)*Factors!HR10+SQRT(Parameters!$B$9)*NORM.S.INV(RAND())</f>
        <v/>
      </c>
      <c r="HS6" s="19">
        <f>SQRT(Parameters!$B$5)*Factors!HS2+SQRT(Parameters!$B$6)*Factors!HS5+SQRT(Parameters!$B$7)*Factors!HS10+SQRT(Parameters!$B$9)*NORM.S.INV(RAND())</f>
        <v/>
      </c>
      <c r="HT6" s="19">
        <f>SQRT(Parameters!$B$5)*Factors!HT2+SQRT(Parameters!$B$6)*Factors!HT5+SQRT(Parameters!$B$7)*Factors!HT10+SQRT(Parameters!$B$9)*NORM.S.INV(RAND())</f>
        <v/>
      </c>
      <c r="HU6" s="19">
        <f>SQRT(Parameters!$B$5)*Factors!HU2+SQRT(Parameters!$B$6)*Factors!HU5+SQRT(Parameters!$B$7)*Factors!HU10+SQRT(Parameters!$B$9)*NORM.S.INV(RAND())</f>
        <v/>
      </c>
      <c r="HV6" s="19">
        <f>SQRT(Parameters!$B$5)*Factors!HV2+SQRT(Parameters!$B$6)*Factors!HV5+SQRT(Parameters!$B$7)*Factors!HV10+SQRT(Parameters!$B$9)*NORM.S.INV(RAND())</f>
        <v/>
      </c>
      <c r="HW6" s="19">
        <f>SQRT(Parameters!$B$5)*Factors!HW2+SQRT(Parameters!$B$6)*Factors!HW5+SQRT(Parameters!$B$7)*Factors!HW10+SQRT(Parameters!$B$9)*NORM.S.INV(RAND())</f>
        <v/>
      </c>
      <c r="HX6" s="19">
        <f>SQRT(Parameters!$B$5)*Factors!HX2+SQRT(Parameters!$B$6)*Factors!HX5+SQRT(Parameters!$B$7)*Factors!HX10+SQRT(Parameters!$B$9)*NORM.S.INV(RAND())</f>
        <v/>
      </c>
      <c r="HY6" s="19">
        <f>SQRT(Parameters!$B$5)*Factors!HY2+SQRT(Parameters!$B$6)*Factors!HY5+SQRT(Parameters!$B$7)*Factors!HY10+SQRT(Parameters!$B$9)*NORM.S.INV(RAND())</f>
        <v/>
      </c>
      <c r="HZ6" s="19">
        <f>SQRT(Parameters!$B$5)*Factors!HZ2+SQRT(Parameters!$B$6)*Factors!HZ5+SQRT(Parameters!$B$7)*Factors!HZ10+SQRT(Parameters!$B$9)*NORM.S.INV(RAND())</f>
        <v/>
      </c>
      <c r="IA6" s="19">
        <f>SQRT(Parameters!$B$5)*Factors!IA2+SQRT(Parameters!$B$6)*Factors!IA5+SQRT(Parameters!$B$7)*Factors!IA10+SQRT(Parameters!$B$9)*NORM.S.INV(RAND())</f>
        <v/>
      </c>
      <c r="IB6" s="19">
        <f>SQRT(Parameters!$B$5)*Factors!IB2+SQRT(Parameters!$B$6)*Factors!IB5+SQRT(Parameters!$B$7)*Factors!IB10+SQRT(Parameters!$B$9)*NORM.S.INV(RAND())</f>
        <v/>
      </c>
      <c r="IC6" s="19">
        <f>SQRT(Parameters!$B$5)*Factors!IC2+SQRT(Parameters!$B$6)*Factors!IC5+SQRT(Parameters!$B$7)*Factors!IC10+SQRT(Parameters!$B$9)*NORM.S.INV(RAND())</f>
        <v/>
      </c>
      <c r="ID6" s="19">
        <f>SQRT(Parameters!$B$5)*Factors!ID2+SQRT(Parameters!$B$6)*Factors!ID5+SQRT(Parameters!$B$7)*Factors!ID10+SQRT(Parameters!$B$9)*NORM.S.INV(RAND())</f>
        <v/>
      </c>
      <c r="IE6" s="19">
        <f>SQRT(Parameters!$B$5)*Factors!IE2+SQRT(Parameters!$B$6)*Factors!IE5+SQRT(Parameters!$B$7)*Factors!IE10+SQRT(Parameters!$B$9)*NORM.S.INV(RAND())</f>
        <v/>
      </c>
      <c r="IF6" s="19">
        <f>SQRT(Parameters!$B$5)*Factors!IF2+SQRT(Parameters!$B$6)*Factors!IF5+SQRT(Parameters!$B$7)*Factors!IF10+SQRT(Parameters!$B$9)*NORM.S.INV(RAND())</f>
        <v/>
      </c>
      <c r="IG6" s="19">
        <f>SQRT(Parameters!$B$5)*Factors!IG2+SQRT(Parameters!$B$6)*Factors!IG5+SQRT(Parameters!$B$7)*Factors!IG10+SQRT(Parameters!$B$9)*NORM.S.INV(RAND())</f>
        <v/>
      </c>
      <c r="IH6" s="19">
        <f>SQRT(Parameters!$B$5)*Factors!IH2+SQRT(Parameters!$B$6)*Factors!IH5+SQRT(Parameters!$B$7)*Factors!IH10+SQRT(Parameters!$B$9)*NORM.S.INV(RAND())</f>
        <v/>
      </c>
      <c r="II6" s="19">
        <f>SQRT(Parameters!$B$5)*Factors!II2+SQRT(Parameters!$B$6)*Factors!II5+SQRT(Parameters!$B$7)*Factors!II10+SQRT(Parameters!$B$9)*NORM.S.INV(RAND())</f>
        <v/>
      </c>
      <c r="IJ6" s="19">
        <f>SQRT(Parameters!$B$5)*Factors!IJ2+SQRT(Parameters!$B$6)*Factors!IJ5+SQRT(Parameters!$B$7)*Factors!IJ10+SQRT(Parameters!$B$9)*NORM.S.INV(RAND())</f>
        <v/>
      </c>
      <c r="IK6" s="19">
        <f>SQRT(Parameters!$B$5)*Factors!IK2+SQRT(Parameters!$B$6)*Factors!IK5+SQRT(Parameters!$B$7)*Factors!IK10+SQRT(Parameters!$B$9)*NORM.S.INV(RAND())</f>
        <v/>
      </c>
      <c r="IL6" s="19">
        <f>SQRT(Parameters!$B$5)*Factors!IL2+SQRT(Parameters!$B$6)*Factors!IL5+SQRT(Parameters!$B$7)*Factors!IL10+SQRT(Parameters!$B$9)*NORM.S.INV(RAND())</f>
        <v/>
      </c>
      <c r="IM6" s="19">
        <f>SQRT(Parameters!$B$5)*Factors!IM2+SQRT(Parameters!$B$6)*Factors!IM5+SQRT(Parameters!$B$7)*Factors!IM10+SQRT(Parameters!$B$9)*NORM.S.INV(RAND())</f>
        <v/>
      </c>
      <c r="IN6" s="19">
        <f>SQRT(Parameters!$B$5)*Factors!IN2+SQRT(Parameters!$B$6)*Factors!IN5+SQRT(Parameters!$B$7)*Factors!IN10+SQRT(Parameters!$B$9)*NORM.S.INV(RAND())</f>
        <v/>
      </c>
      <c r="IO6" s="19">
        <f>SQRT(Parameters!$B$5)*Factors!IO2+SQRT(Parameters!$B$6)*Factors!IO5+SQRT(Parameters!$B$7)*Factors!IO10+SQRT(Parameters!$B$9)*NORM.S.INV(RAND())</f>
        <v/>
      </c>
      <c r="IP6" s="19">
        <f>SQRT(Parameters!$B$5)*Factors!IP2+SQRT(Parameters!$B$6)*Factors!IP5+SQRT(Parameters!$B$7)*Factors!IP10+SQRT(Parameters!$B$9)*NORM.S.INV(RAND())</f>
        <v/>
      </c>
      <c r="IQ6" s="19">
        <f>SQRT(Parameters!$B$5)*Factors!IQ2+SQRT(Parameters!$B$6)*Factors!IQ5+SQRT(Parameters!$B$7)*Factors!IQ10+SQRT(Parameters!$B$9)*NORM.S.INV(RAND())</f>
        <v/>
      </c>
      <c r="IR6" s="19">
        <f>SQRT(Parameters!$B$5)*Factors!IR2+SQRT(Parameters!$B$6)*Factors!IR5+SQRT(Parameters!$B$7)*Factors!IR10+SQRT(Parameters!$B$9)*NORM.S.INV(RAND())</f>
        <v/>
      </c>
      <c r="IS6" s="19">
        <f>SQRT(Parameters!$B$5)*Factors!IS2+SQRT(Parameters!$B$6)*Factors!IS5+SQRT(Parameters!$B$7)*Factors!IS10+SQRT(Parameters!$B$9)*NORM.S.INV(RAND())</f>
        <v/>
      </c>
      <c r="IT6" s="19">
        <f>SQRT(Parameters!$B$5)*Factors!IT2+SQRT(Parameters!$B$6)*Factors!IT5+SQRT(Parameters!$B$7)*Factors!IT10+SQRT(Parameters!$B$9)*NORM.S.INV(RAND())</f>
        <v/>
      </c>
      <c r="IU6" s="19">
        <f>SQRT(Parameters!$B$5)*Factors!IU2+SQRT(Parameters!$B$6)*Factors!IU5+SQRT(Parameters!$B$7)*Factors!IU10+SQRT(Parameters!$B$9)*NORM.S.INV(RAND())</f>
        <v/>
      </c>
      <c r="IV6" s="19">
        <f>SQRT(Parameters!$B$5)*Factors!IV2+SQRT(Parameters!$B$6)*Factors!IV5+SQRT(Parameters!$B$7)*Factors!IV10+SQRT(Parameters!$B$9)*NORM.S.INV(RAND())</f>
        <v/>
      </c>
      <c r="IW6" s="19">
        <f>SQRT(Parameters!$B$5)*Factors!IW2+SQRT(Parameters!$B$6)*Factors!IW5+SQRT(Parameters!$B$7)*Factors!IW10+SQRT(Parameters!$B$9)*NORM.S.INV(RAND())</f>
        <v/>
      </c>
      <c r="IX6" s="19">
        <f>SQRT(Parameters!$B$5)*Factors!IX2+SQRT(Parameters!$B$6)*Factors!IX5+SQRT(Parameters!$B$7)*Factors!IX10+SQRT(Parameters!$B$9)*NORM.S.INV(RAND())</f>
        <v/>
      </c>
      <c r="IY6" s="19">
        <f>SQRT(Parameters!$B$5)*Factors!IY2+SQRT(Parameters!$B$6)*Factors!IY5+SQRT(Parameters!$B$7)*Factors!IY10+SQRT(Parameters!$B$9)*NORM.S.INV(RAND())</f>
        <v/>
      </c>
      <c r="IZ6" s="19">
        <f>SQRT(Parameters!$B$5)*Factors!IZ2+SQRT(Parameters!$B$6)*Factors!IZ5+SQRT(Parameters!$B$7)*Factors!IZ10+SQRT(Parameters!$B$9)*NORM.S.INV(RAND())</f>
        <v/>
      </c>
      <c r="JA6" s="19">
        <f>SQRT(Parameters!$B$5)*Factors!JA2+SQRT(Parameters!$B$6)*Factors!JA5+SQRT(Parameters!$B$7)*Factors!JA10+SQRT(Parameters!$B$9)*NORM.S.INV(RAND())</f>
        <v/>
      </c>
      <c r="JB6" s="19">
        <f>SQRT(Parameters!$B$5)*Factors!JB2+SQRT(Parameters!$B$6)*Factors!JB5+SQRT(Parameters!$B$7)*Factors!JB10+SQRT(Parameters!$B$9)*NORM.S.INV(RAND())</f>
        <v/>
      </c>
      <c r="JC6" s="19">
        <f>SQRT(Parameters!$B$5)*Factors!JC2+SQRT(Parameters!$B$6)*Factors!JC5+SQRT(Parameters!$B$7)*Factors!JC10+SQRT(Parameters!$B$9)*NORM.S.INV(RAND())</f>
        <v/>
      </c>
      <c r="JD6" s="19">
        <f>SQRT(Parameters!$B$5)*Factors!JD2+SQRT(Parameters!$B$6)*Factors!JD5+SQRT(Parameters!$B$7)*Factors!JD10+SQRT(Parameters!$B$9)*NORM.S.INV(RAND())</f>
        <v/>
      </c>
      <c r="JE6" s="19">
        <f>SQRT(Parameters!$B$5)*Factors!JE2+SQRT(Parameters!$B$6)*Factors!JE5+SQRT(Parameters!$B$7)*Factors!JE10+SQRT(Parameters!$B$9)*NORM.S.INV(RAND())</f>
        <v/>
      </c>
      <c r="JF6" s="19">
        <f>SQRT(Parameters!$B$5)*Factors!JF2+SQRT(Parameters!$B$6)*Factors!JF5+SQRT(Parameters!$B$7)*Factors!JF10+SQRT(Parameters!$B$9)*NORM.S.INV(RAND())</f>
        <v/>
      </c>
      <c r="JG6" s="19">
        <f>SQRT(Parameters!$B$5)*Factors!JG2+SQRT(Parameters!$B$6)*Factors!JG5+SQRT(Parameters!$B$7)*Factors!JG10+SQRT(Parameters!$B$9)*NORM.S.INV(RAND())</f>
        <v/>
      </c>
      <c r="JH6" s="19">
        <f>SQRT(Parameters!$B$5)*Factors!JH2+SQRT(Parameters!$B$6)*Factors!JH5+SQRT(Parameters!$B$7)*Factors!JH10+SQRT(Parameters!$B$9)*NORM.S.INV(RAND())</f>
        <v/>
      </c>
      <c r="JI6" s="19">
        <f>SQRT(Parameters!$B$5)*Factors!JI2+SQRT(Parameters!$B$6)*Factors!JI5+SQRT(Parameters!$B$7)*Factors!JI10+SQRT(Parameters!$B$9)*NORM.S.INV(RAND())</f>
        <v/>
      </c>
      <c r="JJ6" s="19">
        <f>SQRT(Parameters!$B$5)*Factors!JJ2+SQRT(Parameters!$B$6)*Factors!JJ5+SQRT(Parameters!$B$7)*Factors!JJ10+SQRT(Parameters!$B$9)*NORM.S.INV(RAND())</f>
        <v/>
      </c>
      <c r="JK6" s="19">
        <f>SQRT(Parameters!$B$5)*Factors!JK2+SQRT(Parameters!$B$6)*Factors!JK5+SQRT(Parameters!$B$7)*Factors!JK10+SQRT(Parameters!$B$9)*NORM.S.INV(RAND())</f>
        <v/>
      </c>
      <c r="JL6" s="19">
        <f>SQRT(Parameters!$B$5)*Factors!JL2+SQRT(Parameters!$B$6)*Factors!JL5+SQRT(Parameters!$B$7)*Factors!JL10+SQRT(Parameters!$B$9)*NORM.S.INV(RAND())</f>
        <v/>
      </c>
      <c r="JM6" s="19">
        <f>SQRT(Parameters!$B$5)*Factors!JM2+SQRT(Parameters!$B$6)*Factors!JM5+SQRT(Parameters!$B$7)*Factors!JM10+SQRT(Parameters!$B$9)*NORM.S.INV(RAND())</f>
        <v/>
      </c>
      <c r="JN6" s="19">
        <f>SQRT(Parameters!$B$5)*Factors!JN2+SQRT(Parameters!$B$6)*Factors!JN5+SQRT(Parameters!$B$7)*Factors!JN10+SQRT(Parameters!$B$9)*NORM.S.INV(RAND())</f>
        <v/>
      </c>
      <c r="JO6" s="19">
        <f>SQRT(Parameters!$B$5)*Factors!JO2+SQRT(Parameters!$B$6)*Factors!JO5+SQRT(Parameters!$B$7)*Factors!JO10+SQRT(Parameters!$B$9)*NORM.S.INV(RAND())</f>
        <v/>
      </c>
      <c r="JP6" s="19">
        <f>SQRT(Parameters!$B$5)*Factors!JP2+SQRT(Parameters!$B$6)*Factors!JP5+SQRT(Parameters!$B$7)*Factors!JP10+SQRT(Parameters!$B$9)*NORM.S.INV(RAND())</f>
        <v/>
      </c>
      <c r="JQ6" s="19">
        <f>SQRT(Parameters!$B$5)*Factors!JQ2+SQRT(Parameters!$B$6)*Factors!JQ5+SQRT(Parameters!$B$7)*Factors!JQ10+SQRT(Parameters!$B$9)*NORM.S.INV(RAND())</f>
        <v/>
      </c>
      <c r="JR6" s="19">
        <f>SQRT(Parameters!$B$5)*Factors!JR2+SQRT(Parameters!$B$6)*Factors!JR5+SQRT(Parameters!$B$7)*Factors!JR10+SQRT(Parameters!$B$9)*NORM.S.INV(RAND())</f>
        <v/>
      </c>
      <c r="JS6" s="19">
        <f>SQRT(Parameters!$B$5)*Factors!JS2+SQRT(Parameters!$B$6)*Factors!JS5+SQRT(Parameters!$B$7)*Factors!JS10+SQRT(Parameters!$B$9)*NORM.S.INV(RAND())</f>
        <v/>
      </c>
      <c r="JT6" s="19">
        <f>SQRT(Parameters!$B$5)*Factors!JT2+SQRT(Parameters!$B$6)*Factors!JT5+SQRT(Parameters!$B$7)*Factors!JT10+SQRT(Parameters!$B$9)*NORM.S.INV(RAND())</f>
        <v/>
      </c>
      <c r="JU6" s="19">
        <f>SQRT(Parameters!$B$5)*Factors!JU2+SQRT(Parameters!$B$6)*Factors!JU5+SQRT(Parameters!$B$7)*Factors!JU10+SQRT(Parameters!$B$9)*NORM.S.INV(RAND())</f>
        <v/>
      </c>
      <c r="JV6" s="19">
        <f>SQRT(Parameters!$B$5)*Factors!JV2+SQRT(Parameters!$B$6)*Factors!JV5+SQRT(Parameters!$B$7)*Factors!JV10+SQRT(Parameters!$B$9)*NORM.S.INV(RAND())</f>
        <v/>
      </c>
      <c r="JW6" s="19">
        <f>SQRT(Parameters!$B$5)*Factors!JW2+SQRT(Parameters!$B$6)*Factors!JW5+SQRT(Parameters!$B$7)*Factors!JW10+SQRT(Parameters!$B$9)*NORM.S.INV(RAND())</f>
        <v/>
      </c>
      <c r="JX6" s="19">
        <f>SQRT(Parameters!$B$5)*Factors!JX2+SQRT(Parameters!$B$6)*Factors!JX5+SQRT(Parameters!$B$7)*Factors!JX10+SQRT(Parameters!$B$9)*NORM.S.INV(RAND())</f>
        <v/>
      </c>
      <c r="JY6" s="19">
        <f>SQRT(Parameters!$B$5)*Factors!JY2+SQRT(Parameters!$B$6)*Factors!JY5+SQRT(Parameters!$B$7)*Factors!JY10+SQRT(Parameters!$B$9)*NORM.S.INV(RAND())</f>
        <v/>
      </c>
      <c r="JZ6" s="19">
        <f>SQRT(Parameters!$B$5)*Factors!JZ2+SQRT(Parameters!$B$6)*Factors!JZ5+SQRT(Parameters!$B$7)*Factors!JZ10+SQRT(Parameters!$B$9)*NORM.S.INV(RAND())</f>
        <v/>
      </c>
      <c r="KA6" s="19">
        <f>SQRT(Parameters!$B$5)*Factors!KA2+SQRT(Parameters!$B$6)*Factors!KA5+SQRT(Parameters!$B$7)*Factors!KA10+SQRT(Parameters!$B$9)*NORM.S.INV(RAND())</f>
        <v/>
      </c>
      <c r="KB6" s="19">
        <f>SQRT(Parameters!$B$5)*Factors!KB2+SQRT(Parameters!$B$6)*Factors!KB5+SQRT(Parameters!$B$7)*Factors!KB10+SQRT(Parameters!$B$9)*NORM.S.INV(RAND())</f>
        <v/>
      </c>
      <c r="KC6" s="19">
        <f>SQRT(Parameters!$B$5)*Factors!KC2+SQRT(Parameters!$B$6)*Factors!KC5+SQRT(Parameters!$B$7)*Factors!KC10+SQRT(Parameters!$B$9)*NORM.S.INV(RAND())</f>
        <v/>
      </c>
      <c r="KD6" s="19">
        <f>SQRT(Parameters!$B$5)*Factors!KD2+SQRT(Parameters!$B$6)*Factors!KD5+SQRT(Parameters!$B$7)*Factors!KD10+SQRT(Parameters!$B$9)*NORM.S.INV(RAND())</f>
        <v/>
      </c>
      <c r="KE6" s="19">
        <f>SQRT(Parameters!$B$5)*Factors!KE2+SQRT(Parameters!$B$6)*Factors!KE5+SQRT(Parameters!$B$7)*Factors!KE10+SQRT(Parameters!$B$9)*NORM.S.INV(RAND())</f>
        <v/>
      </c>
      <c r="KF6" s="19">
        <f>SQRT(Parameters!$B$5)*Factors!KF2+SQRT(Parameters!$B$6)*Factors!KF5+SQRT(Parameters!$B$7)*Factors!KF10+SQRT(Parameters!$B$9)*NORM.S.INV(RAND())</f>
        <v/>
      </c>
      <c r="KG6" s="19">
        <f>SQRT(Parameters!$B$5)*Factors!KG2+SQRT(Parameters!$B$6)*Factors!KG5+SQRT(Parameters!$B$7)*Factors!KG10+SQRT(Parameters!$B$9)*NORM.S.INV(RAND())</f>
        <v/>
      </c>
      <c r="KH6" s="19">
        <f>SQRT(Parameters!$B$5)*Factors!KH2+SQRT(Parameters!$B$6)*Factors!KH5+SQRT(Parameters!$B$7)*Factors!KH10+SQRT(Parameters!$B$9)*NORM.S.INV(RAND())</f>
        <v/>
      </c>
      <c r="KI6" s="19">
        <f>SQRT(Parameters!$B$5)*Factors!KI2+SQRT(Parameters!$B$6)*Factors!KI5+SQRT(Parameters!$B$7)*Factors!KI10+SQRT(Parameters!$B$9)*NORM.S.INV(RAND())</f>
        <v/>
      </c>
      <c r="KJ6" s="19">
        <f>SQRT(Parameters!$B$5)*Factors!KJ2+SQRT(Parameters!$B$6)*Factors!KJ5+SQRT(Parameters!$B$7)*Factors!KJ10+SQRT(Parameters!$B$9)*NORM.S.INV(RAND())</f>
        <v/>
      </c>
      <c r="KK6" s="19">
        <f>SQRT(Parameters!$B$5)*Factors!KK2+SQRT(Parameters!$B$6)*Factors!KK5+SQRT(Parameters!$B$7)*Factors!KK10+SQRT(Parameters!$B$9)*NORM.S.INV(RAND())</f>
        <v/>
      </c>
      <c r="KL6" s="19">
        <f>SQRT(Parameters!$B$5)*Factors!KL2+SQRT(Parameters!$B$6)*Factors!KL5+SQRT(Parameters!$B$7)*Factors!KL10+SQRT(Parameters!$B$9)*NORM.S.INV(RAND())</f>
        <v/>
      </c>
      <c r="KM6" s="19">
        <f>SQRT(Parameters!$B$5)*Factors!KM2+SQRT(Parameters!$B$6)*Factors!KM5+SQRT(Parameters!$B$7)*Factors!KM10+SQRT(Parameters!$B$9)*NORM.S.INV(RAND())</f>
        <v/>
      </c>
      <c r="KN6" s="19">
        <f>SQRT(Parameters!$B$5)*Factors!KN2+SQRT(Parameters!$B$6)*Factors!KN5+SQRT(Parameters!$B$7)*Factors!KN10+SQRT(Parameters!$B$9)*NORM.S.INV(RAND())</f>
        <v/>
      </c>
      <c r="KO6" s="19">
        <f>SQRT(Parameters!$B$5)*Factors!KO2+SQRT(Parameters!$B$6)*Factors!KO5+SQRT(Parameters!$B$7)*Factors!KO10+SQRT(Parameters!$B$9)*NORM.S.INV(RAND())</f>
        <v/>
      </c>
      <c r="KP6" s="19">
        <f>SQRT(Parameters!$B$5)*Factors!KP2+SQRT(Parameters!$B$6)*Factors!KP5+SQRT(Parameters!$B$7)*Factors!KP10+SQRT(Parameters!$B$9)*NORM.S.INV(RAND())</f>
        <v/>
      </c>
      <c r="KQ6" s="19">
        <f>SQRT(Parameters!$B$5)*Factors!KQ2+SQRT(Parameters!$B$6)*Factors!KQ5+SQRT(Parameters!$B$7)*Factors!KQ10+SQRT(Parameters!$B$9)*NORM.S.INV(RAND())</f>
        <v/>
      </c>
      <c r="KR6" s="19">
        <f>SQRT(Parameters!$B$5)*Factors!KR2+SQRT(Parameters!$B$6)*Factors!KR5+SQRT(Parameters!$B$7)*Factors!KR10+SQRT(Parameters!$B$9)*NORM.S.INV(RAND())</f>
        <v/>
      </c>
      <c r="KS6" s="19">
        <f>SQRT(Parameters!$B$5)*Factors!KS2+SQRT(Parameters!$B$6)*Factors!KS5+SQRT(Parameters!$B$7)*Factors!KS10+SQRT(Parameters!$B$9)*NORM.S.INV(RAND())</f>
        <v/>
      </c>
      <c r="KT6" s="19">
        <f>SQRT(Parameters!$B$5)*Factors!KT2+SQRT(Parameters!$B$6)*Factors!KT5+SQRT(Parameters!$B$7)*Factors!KT10+SQRT(Parameters!$B$9)*NORM.S.INV(RAND())</f>
        <v/>
      </c>
      <c r="KU6" s="19">
        <f>SQRT(Parameters!$B$5)*Factors!KU2+SQRT(Parameters!$B$6)*Factors!KU5+SQRT(Parameters!$B$7)*Factors!KU10+SQRT(Parameters!$B$9)*NORM.S.INV(RAND())</f>
        <v/>
      </c>
      <c r="KV6" s="19">
        <f>SQRT(Parameters!$B$5)*Factors!KV2+SQRT(Parameters!$B$6)*Factors!KV5+SQRT(Parameters!$B$7)*Factors!KV10+SQRT(Parameters!$B$9)*NORM.S.INV(RAND())</f>
        <v/>
      </c>
      <c r="KW6" s="19">
        <f>SQRT(Parameters!$B$5)*Factors!KW2+SQRT(Parameters!$B$6)*Factors!KW5+SQRT(Parameters!$B$7)*Factors!KW10+SQRT(Parameters!$B$9)*NORM.S.INV(RAND())</f>
        <v/>
      </c>
      <c r="KX6" s="19">
        <f>SQRT(Parameters!$B$5)*Factors!KX2+SQRT(Parameters!$B$6)*Factors!KX5+SQRT(Parameters!$B$7)*Factors!KX10+SQRT(Parameters!$B$9)*NORM.S.INV(RAND())</f>
        <v/>
      </c>
      <c r="KY6" s="19">
        <f>SQRT(Parameters!$B$5)*Factors!KY2+SQRT(Parameters!$B$6)*Factors!KY5+SQRT(Parameters!$B$7)*Factors!KY10+SQRT(Parameters!$B$9)*NORM.S.INV(RAND())</f>
        <v/>
      </c>
      <c r="KZ6" s="19">
        <f>SQRT(Parameters!$B$5)*Factors!KZ2+SQRT(Parameters!$B$6)*Factors!KZ5+SQRT(Parameters!$B$7)*Factors!KZ10+SQRT(Parameters!$B$9)*NORM.S.INV(RAND())</f>
        <v/>
      </c>
      <c r="LA6" s="19">
        <f>SQRT(Parameters!$B$5)*Factors!LA2+SQRT(Parameters!$B$6)*Factors!LA5+SQRT(Parameters!$B$7)*Factors!LA10+SQRT(Parameters!$B$9)*NORM.S.INV(RAND())</f>
        <v/>
      </c>
      <c r="LB6" s="19">
        <f>SQRT(Parameters!$B$5)*Factors!LB2+SQRT(Parameters!$B$6)*Factors!LB5+SQRT(Parameters!$B$7)*Factors!LB10+SQRT(Parameters!$B$9)*NORM.S.INV(RAND())</f>
        <v/>
      </c>
      <c r="LC6" s="19">
        <f>SQRT(Parameters!$B$5)*Factors!LC2+SQRT(Parameters!$B$6)*Factors!LC5+SQRT(Parameters!$B$7)*Factors!LC10+SQRT(Parameters!$B$9)*NORM.S.INV(RAND())</f>
        <v/>
      </c>
      <c r="LD6" s="19">
        <f>SQRT(Parameters!$B$5)*Factors!LD2+SQRT(Parameters!$B$6)*Factors!LD5+SQRT(Parameters!$B$7)*Factors!LD10+SQRT(Parameters!$B$9)*NORM.S.INV(RAND())</f>
        <v/>
      </c>
      <c r="LE6" s="19">
        <f>SQRT(Parameters!$B$5)*Factors!LE2+SQRT(Parameters!$B$6)*Factors!LE5+SQRT(Parameters!$B$7)*Factors!LE10+SQRT(Parameters!$B$9)*NORM.S.INV(RAND())</f>
        <v/>
      </c>
      <c r="LF6" s="19">
        <f>SQRT(Parameters!$B$5)*Factors!LF2+SQRT(Parameters!$B$6)*Factors!LF5+SQRT(Parameters!$B$7)*Factors!LF10+SQRT(Parameters!$B$9)*NORM.S.INV(RAND())</f>
        <v/>
      </c>
      <c r="LG6" s="19">
        <f>SQRT(Parameters!$B$5)*Factors!LG2+SQRT(Parameters!$B$6)*Factors!LG5+SQRT(Parameters!$B$7)*Factors!LG10+SQRT(Parameters!$B$9)*NORM.S.INV(RAND())</f>
        <v/>
      </c>
      <c r="LH6" s="19">
        <f>SQRT(Parameters!$B$5)*Factors!LH2+SQRT(Parameters!$B$6)*Factors!LH5+SQRT(Parameters!$B$7)*Factors!LH10+SQRT(Parameters!$B$9)*NORM.S.INV(RAND())</f>
        <v/>
      </c>
      <c r="LI6" s="19">
        <f>SQRT(Parameters!$B$5)*Factors!LI2+SQRT(Parameters!$B$6)*Factors!LI5+SQRT(Parameters!$B$7)*Factors!LI10+SQRT(Parameters!$B$9)*NORM.S.INV(RAND())</f>
        <v/>
      </c>
      <c r="LJ6" s="19">
        <f>SQRT(Parameters!$B$5)*Factors!LJ2+SQRT(Parameters!$B$6)*Factors!LJ5+SQRT(Parameters!$B$7)*Factors!LJ10+SQRT(Parameters!$B$9)*NORM.S.INV(RAND())</f>
        <v/>
      </c>
      <c r="LK6" s="19">
        <f>SQRT(Parameters!$B$5)*Factors!LK2+SQRT(Parameters!$B$6)*Factors!LK5+SQRT(Parameters!$B$7)*Factors!LK10+SQRT(Parameters!$B$9)*NORM.S.INV(RAND())</f>
        <v/>
      </c>
      <c r="LL6" s="19">
        <f>SQRT(Parameters!$B$5)*Factors!LL2+SQRT(Parameters!$B$6)*Factors!LL5+SQRT(Parameters!$B$7)*Factors!LL10+SQRT(Parameters!$B$9)*NORM.S.INV(RAND())</f>
        <v/>
      </c>
      <c r="LM6" s="19">
        <f>SQRT(Parameters!$B$5)*Factors!LM2+SQRT(Parameters!$B$6)*Factors!LM5+SQRT(Parameters!$B$7)*Factors!LM10+SQRT(Parameters!$B$9)*NORM.S.INV(RAND())</f>
        <v/>
      </c>
      <c r="LN6" s="19">
        <f>SQRT(Parameters!$B$5)*Factors!LN2+SQRT(Parameters!$B$6)*Factors!LN5+SQRT(Parameters!$B$7)*Factors!LN10+SQRT(Parameters!$B$9)*NORM.S.INV(RAND())</f>
        <v/>
      </c>
      <c r="LO6" s="19">
        <f>SQRT(Parameters!$B$5)*Factors!LO2+SQRT(Parameters!$B$6)*Factors!LO5+SQRT(Parameters!$B$7)*Factors!LO10+SQRT(Parameters!$B$9)*NORM.S.INV(RAND())</f>
        <v/>
      </c>
      <c r="LP6" s="19">
        <f>SQRT(Parameters!$B$5)*Factors!LP2+SQRT(Parameters!$B$6)*Factors!LP5+SQRT(Parameters!$B$7)*Factors!LP10+SQRT(Parameters!$B$9)*NORM.S.INV(RAND())</f>
        <v/>
      </c>
      <c r="LQ6" s="19">
        <f>SQRT(Parameters!$B$5)*Factors!LQ2+SQRT(Parameters!$B$6)*Factors!LQ5+SQRT(Parameters!$B$7)*Factors!LQ10+SQRT(Parameters!$B$9)*NORM.S.INV(RAND())</f>
        <v/>
      </c>
      <c r="LR6" s="19">
        <f>SQRT(Parameters!$B$5)*Factors!LR2+SQRT(Parameters!$B$6)*Factors!LR5+SQRT(Parameters!$B$7)*Factors!LR10+SQRT(Parameters!$B$9)*NORM.S.INV(RAND())</f>
        <v/>
      </c>
      <c r="LS6" s="19">
        <f>SQRT(Parameters!$B$5)*Factors!LS2+SQRT(Parameters!$B$6)*Factors!LS5+SQRT(Parameters!$B$7)*Factors!LS10+SQRT(Parameters!$B$9)*NORM.S.INV(RAND())</f>
        <v/>
      </c>
      <c r="LT6" s="19">
        <f>SQRT(Parameters!$B$5)*Factors!LT2+SQRT(Parameters!$B$6)*Factors!LT5+SQRT(Parameters!$B$7)*Factors!LT10+SQRT(Parameters!$B$9)*NORM.S.INV(RAND())</f>
        <v/>
      </c>
      <c r="LU6" s="19">
        <f>SQRT(Parameters!$B$5)*Factors!LU2+SQRT(Parameters!$B$6)*Factors!LU5+SQRT(Parameters!$B$7)*Factors!LU10+SQRT(Parameters!$B$9)*NORM.S.INV(RAND())</f>
        <v/>
      </c>
      <c r="LV6" s="19">
        <f>SQRT(Parameters!$B$5)*Factors!LV2+SQRT(Parameters!$B$6)*Factors!LV5+SQRT(Parameters!$B$7)*Factors!LV10+SQRT(Parameters!$B$9)*NORM.S.INV(RAND())</f>
        <v/>
      </c>
      <c r="LW6" s="19">
        <f>SQRT(Parameters!$B$5)*Factors!LW2+SQRT(Parameters!$B$6)*Factors!LW5+SQRT(Parameters!$B$7)*Factors!LW10+SQRT(Parameters!$B$9)*NORM.S.INV(RAND())</f>
        <v/>
      </c>
      <c r="LX6" s="19">
        <f>SQRT(Parameters!$B$5)*Factors!LX2+SQRT(Parameters!$B$6)*Factors!LX5+SQRT(Parameters!$B$7)*Factors!LX10+SQRT(Parameters!$B$9)*NORM.S.INV(RAND())</f>
        <v/>
      </c>
      <c r="LY6" s="19">
        <f>SQRT(Parameters!$B$5)*Factors!LY2+SQRT(Parameters!$B$6)*Factors!LY5+SQRT(Parameters!$B$7)*Factors!LY10+SQRT(Parameters!$B$9)*NORM.S.INV(RAND())</f>
        <v/>
      </c>
      <c r="LZ6" s="19">
        <f>SQRT(Parameters!$B$5)*Factors!LZ2+SQRT(Parameters!$B$6)*Factors!LZ5+SQRT(Parameters!$B$7)*Factors!LZ10+SQRT(Parameters!$B$9)*NORM.S.INV(RAND())</f>
        <v/>
      </c>
      <c r="MA6" s="19">
        <f>SQRT(Parameters!$B$5)*Factors!MA2+SQRT(Parameters!$B$6)*Factors!MA5+SQRT(Parameters!$B$7)*Factors!MA10+SQRT(Parameters!$B$9)*NORM.S.INV(RAND())</f>
        <v/>
      </c>
      <c r="MB6" s="19">
        <f>SQRT(Parameters!$B$5)*Factors!MB2+SQRT(Parameters!$B$6)*Factors!MB5+SQRT(Parameters!$B$7)*Factors!MB10+SQRT(Parameters!$B$9)*NORM.S.INV(RAND())</f>
        <v/>
      </c>
      <c r="MC6" s="19">
        <f>SQRT(Parameters!$B$5)*Factors!MC2+SQRT(Parameters!$B$6)*Factors!MC5+SQRT(Parameters!$B$7)*Factors!MC10+SQRT(Parameters!$B$9)*NORM.S.INV(RAND())</f>
        <v/>
      </c>
      <c r="MD6" s="19">
        <f>SQRT(Parameters!$B$5)*Factors!MD2+SQRT(Parameters!$B$6)*Factors!MD5+SQRT(Parameters!$B$7)*Factors!MD10+SQRT(Parameters!$B$9)*NORM.S.INV(RAND())</f>
        <v/>
      </c>
      <c r="ME6" s="19">
        <f>SQRT(Parameters!$B$5)*Factors!ME2+SQRT(Parameters!$B$6)*Factors!ME5+SQRT(Parameters!$B$7)*Factors!ME10+SQRT(Parameters!$B$9)*NORM.S.INV(RAND())</f>
        <v/>
      </c>
      <c r="MF6" s="19">
        <f>SQRT(Parameters!$B$5)*Factors!MF2+SQRT(Parameters!$B$6)*Factors!MF5+SQRT(Parameters!$B$7)*Factors!MF10+SQRT(Parameters!$B$9)*NORM.S.INV(RAND())</f>
        <v/>
      </c>
      <c r="MG6" s="19">
        <f>SQRT(Parameters!$B$5)*Factors!MG2+SQRT(Parameters!$B$6)*Factors!MG5+SQRT(Parameters!$B$7)*Factors!MG10+SQRT(Parameters!$B$9)*NORM.S.INV(RAND())</f>
        <v/>
      </c>
      <c r="MH6" s="19">
        <f>SQRT(Parameters!$B$5)*Factors!MH2+SQRT(Parameters!$B$6)*Factors!MH5+SQRT(Parameters!$B$7)*Factors!MH10+SQRT(Parameters!$B$9)*NORM.S.INV(RAND())</f>
        <v/>
      </c>
      <c r="MI6" s="19">
        <f>SQRT(Parameters!$B$5)*Factors!MI2+SQRT(Parameters!$B$6)*Factors!MI5+SQRT(Parameters!$B$7)*Factors!MI10+SQRT(Parameters!$B$9)*NORM.S.INV(RAND())</f>
        <v/>
      </c>
      <c r="MJ6" s="19">
        <f>SQRT(Parameters!$B$5)*Factors!MJ2+SQRT(Parameters!$B$6)*Factors!MJ5+SQRT(Parameters!$B$7)*Factors!MJ10+SQRT(Parameters!$B$9)*NORM.S.INV(RAND())</f>
        <v/>
      </c>
      <c r="MK6" s="19">
        <f>SQRT(Parameters!$B$5)*Factors!MK2+SQRT(Parameters!$B$6)*Factors!MK5+SQRT(Parameters!$B$7)*Factors!MK10+SQRT(Parameters!$B$9)*NORM.S.INV(RAND())</f>
        <v/>
      </c>
      <c r="ML6" s="19">
        <f>SQRT(Parameters!$B$5)*Factors!ML2+SQRT(Parameters!$B$6)*Factors!ML5+SQRT(Parameters!$B$7)*Factors!ML10+SQRT(Parameters!$B$9)*NORM.S.INV(RAND())</f>
        <v/>
      </c>
      <c r="MM6" s="19">
        <f>SQRT(Parameters!$B$5)*Factors!MM2+SQRT(Parameters!$B$6)*Factors!MM5+SQRT(Parameters!$B$7)*Factors!MM10+SQRT(Parameters!$B$9)*NORM.S.INV(RAND())</f>
        <v/>
      </c>
      <c r="MN6" s="19">
        <f>SQRT(Parameters!$B$5)*Factors!MN2+SQRT(Parameters!$B$6)*Factors!MN5+SQRT(Parameters!$B$7)*Factors!MN10+SQRT(Parameters!$B$9)*NORM.S.INV(RAND())</f>
        <v/>
      </c>
      <c r="MO6" s="19">
        <f>SQRT(Parameters!$B$5)*Factors!MO2+SQRT(Parameters!$B$6)*Factors!MO5+SQRT(Parameters!$B$7)*Factors!MO10+SQRT(Parameters!$B$9)*NORM.S.INV(RAND())</f>
        <v/>
      </c>
      <c r="MP6" s="19">
        <f>SQRT(Parameters!$B$5)*Factors!MP2+SQRT(Parameters!$B$6)*Factors!MP5+SQRT(Parameters!$B$7)*Factors!MP10+SQRT(Parameters!$B$9)*NORM.S.INV(RAND())</f>
        <v/>
      </c>
      <c r="MQ6" s="19">
        <f>SQRT(Parameters!$B$5)*Factors!MQ2+SQRT(Parameters!$B$6)*Factors!MQ5+SQRT(Parameters!$B$7)*Factors!MQ10+SQRT(Parameters!$B$9)*NORM.S.INV(RAND())</f>
        <v/>
      </c>
      <c r="MR6" s="19">
        <f>SQRT(Parameters!$B$5)*Factors!MR2+SQRT(Parameters!$B$6)*Factors!MR5+SQRT(Parameters!$B$7)*Factors!MR10+SQRT(Parameters!$B$9)*NORM.S.INV(RAND())</f>
        <v/>
      </c>
      <c r="MS6" s="19">
        <f>SQRT(Parameters!$B$5)*Factors!MS2+SQRT(Parameters!$B$6)*Factors!MS5+SQRT(Parameters!$B$7)*Factors!MS10+SQRT(Parameters!$B$9)*NORM.S.INV(RAND())</f>
        <v/>
      </c>
      <c r="MT6" s="19">
        <f>SQRT(Parameters!$B$5)*Factors!MT2+SQRT(Parameters!$B$6)*Factors!MT5+SQRT(Parameters!$B$7)*Factors!MT10+SQRT(Parameters!$B$9)*NORM.S.INV(RAND())</f>
        <v/>
      </c>
      <c r="MU6" s="19">
        <f>SQRT(Parameters!$B$5)*Factors!MU2+SQRT(Parameters!$B$6)*Factors!MU5+SQRT(Parameters!$B$7)*Factors!MU10+SQRT(Parameters!$B$9)*NORM.S.INV(RAND())</f>
        <v/>
      </c>
      <c r="MV6" s="19">
        <f>SQRT(Parameters!$B$5)*Factors!MV2+SQRT(Parameters!$B$6)*Factors!MV5+SQRT(Parameters!$B$7)*Factors!MV10+SQRT(Parameters!$B$9)*NORM.S.INV(RAND())</f>
        <v/>
      </c>
      <c r="MW6" s="19">
        <f>SQRT(Parameters!$B$5)*Factors!MW2+SQRT(Parameters!$B$6)*Factors!MW5+SQRT(Parameters!$B$7)*Factors!MW10+SQRT(Parameters!$B$9)*NORM.S.INV(RAND())</f>
        <v/>
      </c>
      <c r="MX6" s="19">
        <f>SQRT(Parameters!$B$5)*Factors!MX2+SQRT(Parameters!$B$6)*Factors!MX5+SQRT(Parameters!$B$7)*Factors!MX10+SQRT(Parameters!$B$9)*NORM.S.INV(RAND())</f>
        <v/>
      </c>
      <c r="MY6" s="19">
        <f>SQRT(Parameters!$B$5)*Factors!MY2+SQRT(Parameters!$B$6)*Factors!MY5+SQRT(Parameters!$B$7)*Factors!MY10+SQRT(Parameters!$B$9)*NORM.S.INV(RAND())</f>
        <v/>
      </c>
      <c r="MZ6" s="19">
        <f>SQRT(Parameters!$B$5)*Factors!MZ2+SQRT(Parameters!$B$6)*Factors!MZ5+SQRT(Parameters!$B$7)*Factors!MZ10+SQRT(Parameters!$B$9)*NORM.S.INV(RAND())</f>
        <v/>
      </c>
      <c r="NA6" s="19">
        <f>SQRT(Parameters!$B$5)*Factors!NA2+SQRT(Parameters!$B$6)*Factors!NA5+SQRT(Parameters!$B$7)*Factors!NA10+SQRT(Parameters!$B$9)*NORM.S.INV(RAND())</f>
        <v/>
      </c>
      <c r="NB6" s="19">
        <f>SQRT(Parameters!$B$5)*Factors!NB2+SQRT(Parameters!$B$6)*Factors!NB5+SQRT(Parameters!$B$7)*Factors!NB10+SQRT(Parameters!$B$9)*NORM.S.INV(RAND())</f>
        <v/>
      </c>
      <c r="NC6" s="19">
        <f>SQRT(Parameters!$B$5)*Factors!NC2+SQRT(Parameters!$B$6)*Factors!NC5+SQRT(Parameters!$B$7)*Factors!NC10+SQRT(Parameters!$B$9)*NORM.S.INV(RAND())</f>
        <v/>
      </c>
      <c r="ND6" s="19">
        <f>SQRT(Parameters!$B$5)*Factors!ND2+SQRT(Parameters!$B$6)*Factors!ND5+SQRT(Parameters!$B$7)*Factors!ND10+SQRT(Parameters!$B$9)*NORM.S.INV(RAND())</f>
        <v/>
      </c>
      <c r="NE6" s="19">
        <f>SQRT(Parameters!$B$5)*Factors!NE2+SQRT(Parameters!$B$6)*Factors!NE5+SQRT(Parameters!$B$7)*Factors!NE10+SQRT(Parameters!$B$9)*NORM.S.INV(RAND())</f>
        <v/>
      </c>
      <c r="NF6" s="19">
        <f>SQRT(Parameters!$B$5)*Factors!NF2+SQRT(Parameters!$B$6)*Factors!NF5+SQRT(Parameters!$B$7)*Factors!NF10+SQRT(Parameters!$B$9)*NORM.S.INV(RAND())</f>
        <v/>
      </c>
      <c r="NG6" s="19">
        <f>SQRT(Parameters!$B$5)*Factors!NG2+SQRT(Parameters!$B$6)*Factors!NG5+SQRT(Parameters!$B$7)*Factors!NG10+SQRT(Parameters!$B$9)*NORM.S.INV(RAND())</f>
        <v/>
      </c>
      <c r="NH6" s="19">
        <f>SQRT(Parameters!$B$5)*Factors!NH2+SQRT(Parameters!$B$6)*Factors!NH5+SQRT(Parameters!$B$7)*Factors!NH10+SQRT(Parameters!$B$9)*NORM.S.INV(RAND())</f>
        <v/>
      </c>
      <c r="NI6" s="19">
        <f>SQRT(Parameters!$B$5)*Factors!NI2+SQRT(Parameters!$B$6)*Factors!NI5+SQRT(Parameters!$B$7)*Factors!NI10+SQRT(Parameters!$B$9)*NORM.S.INV(RAND())</f>
        <v/>
      </c>
      <c r="NJ6" s="19">
        <f>SQRT(Parameters!$B$5)*Factors!NJ2+SQRT(Parameters!$B$6)*Factors!NJ5+SQRT(Parameters!$B$7)*Factors!NJ10+SQRT(Parameters!$B$9)*NORM.S.INV(RAND())</f>
        <v/>
      </c>
      <c r="NK6" s="19">
        <f>SQRT(Parameters!$B$5)*Factors!NK2+SQRT(Parameters!$B$6)*Factors!NK5+SQRT(Parameters!$B$7)*Factors!NK10+SQRT(Parameters!$B$9)*NORM.S.INV(RAND())</f>
        <v/>
      </c>
      <c r="NL6" s="19">
        <f>SQRT(Parameters!$B$5)*Factors!NL2+SQRT(Parameters!$B$6)*Factors!NL5+SQRT(Parameters!$B$7)*Factors!NL10+SQRT(Parameters!$B$9)*NORM.S.INV(RAND())</f>
        <v/>
      </c>
      <c r="NM6" s="19">
        <f>SQRT(Parameters!$B$5)*Factors!NM2+SQRT(Parameters!$B$6)*Factors!NM5+SQRT(Parameters!$B$7)*Factors!NM10+SQRT(Parameters!$B$9)*NORM.S.INV(RAND())</f>
        <v/>
      </c>
      <c r="NN6" s="19">
        <f>SQRT(Parameters!$B$5)*Factors!NN2+SQRT(Parameters!$B$6)*Factors!NN5+SQRT(Parameters!$B$7)*Factors!NN10+SQRT(Parameters!$B$9)*NORM.S.INV(RAND())</f>
        <v/>
      </c>
      <c r="NO6" s="19">
        <f>SQRT(Parameters!$B$5)*Factors!NO2+SQRT(Parameters!$B$6)*Factors!NO5+SQRT(Parameters!$B$7)*Factors!NO10+SQRT(Parameters!$B$9)*NORM.S.INV(RAND())</f>
        <v/>
      </c>
      <c r="NP6" s="19">
        <f>SQRT(Parameters!$B$5)*Factors!NP2+SQRT(Parameters!$B$6)*Factors!NP5+SQRT(Parameters!$B$7)*Factors!NP10+SQRT(Parameters!$B$9)*NORM.S.INV(RAND())</f>
        <v/>
      </c>
      <c r="NQ6" s="19">
        <f>SQRT(Parameters!$B$5)*Factors!NQ2+SQRT(Parameters!$B$6)*Factors!NQ5+SQRT(Parameters!$B$7)*Factors!NQ10+SQRT(Parameters!$B$9)*NORM.S.INV(RAND())</f>
        <v/>
      </c>
      <c r="NR6" s="19">
        <f>SQRT(Parameters!$B$5)*Factors!NR2+SQRT(Parameters!$B$6)*Factors!NR5+SQRT(Parameters!$B$7)*Factors!NR10+SQRT(Parameters!$B$9)*NORM.S.INV(RAND())</f>
        <v/>
      </c>
      <c r="NS6" s="19">
        <f>SQRT(Parameters!$B$5)*Factors!NS2+SQRT(Parameters!$B$6)*Factors!NS5+SQRT(Parameters!$B$7)*Factors!NS10+SQRT(Parameters!$B$9)*NORM.S.INV(RAND())</f>
        <v/>
      </c>
      <c r="NT6" s="19">
        <f>SQRT(Parameters!$B$5)*Factors!NT2+SQRT(Parameters!$B$6)*Factors!NT5+SQRT(Parameters!$B$7)*Factors!NT10+SQRT(Parameters!$B$9)*NORM.S.INV(RAND())</f>
        <v/>
      </c>
      <c r="NU6" s="19">
        <f>SQRT(Parameters!$B$5)*Factors!NU2+SQRT(Parameters!$B$6)*Factors!NU5+SQRT(Parameters!$B$7)*Factors!NU10+SQRT(Parameters!$B$9)*NORM.S.INV(RAND())</f>
        <v/>
      </c>
      <c r="NV6" s="19">
        <f>SQRT(Parameters!$B$5)*Factors!NV2+SQRT(Parameters!$B$6)*Factors!NV5+SQRT(Parameters!$B$7)*Factors!NV10+SQRT(Parameters!$B$9)*NORM.S.INV(RAND())</f>
        <v/>
      </c>
      <c r="NW6" s="19">
        <f>SQRT(Parameters!$B$5)*Factors!NW2+SQRT(Parameters!$B$6)*Factors!NW5+SQRT(Parameters!$B$7)*Factors!NW10+SQRT(Parameters!$B$9)*NORM.S.INV(RAND())</f>
        <v/>
      </c>
      <c r="NX6" s="19">
        <f>SQRT(Parameters!$B$5)*Factors!NX2+SQRT(Parameters!$B$6)*Factors!NX5+SQRT(Parameters!$B$7)*Factors!NX10+SQRT(Parameters!$B$9)*NORM.S.INV(RAND())</f>
        <v/>
      </c>
      <c r="NY6" s="19">
        <f>SQRT(Parameters!$B$5)*Factors!NY2+SQRT(Parameters!$B$6)*Factors!NY5+SQRT(Parameters!$B$7)*Factors!NY10+SQRT(Parameters!$B$9)*NORM.S.INV(RAND())</f>
        <v/>
      </c>
      <c r="NZ6" s="19">
        <f>SQRT(Parameters!$B$5)*Factors!NZ2+SQRT(Parameters!$B$6)*Factors!NZ5+SQRT(Parameters!$B$7)*Factors!NZ10+SQRT(Parameters!$B$9)*NORM.S.INV(RAND())</f>
        <v/>
      </c>
      <c r="OA6" s="19">
        <f>SQRT(Parameters!$B$5)*Factors!OA2+SQRT(Parameters!$B$6)*Factors!OA5+SQRT(Parameters!$B$7)*Factors!OA10+SQRT(Parameters!$B$9)*NORM.S.INV(RAND())</f>
        <v/>
      </c>
      <c r="OB6" s="19">
        <f>SQRT(Parameters!$B$5)*Factors!OB2+SQRT(Parameters!$B$6)*Factors!OB5+SQRT(Parameters!$B$7)*Factors!OB10+SQRT(Parameters!$B$9)*NORM.S.INV(RAND())</f>
        <v/>
      </c>
      <c r="OC6" s="19">
        <f>SQRT(Parameters!$B$5)*Factors!OC2+SQRT(Parameters!$B$6)*Factors!OC5+SQRT(Parameters!$B$7)*Factors!OC10+SQRT(Parameters!$B$9)*NORM.S.INV(RAND())</f>
        <v/>
      </c>
      <c r="OD6" s="19">
        <f>SQRT(Parameters!$B$5)*Factors!OD2+SQRT(Parameters!$B$6)*Factors!OD5+SQRT(Parameters!$B$7)*Factors!OD10+SQRT(Parameters!$B$9)*NORM.S.INV(RAND())</f>
        <v/>
      </c>
      <c r="OE6" s="19">
        <f>SQRT(Parameters!$B$5)*Factors!OE2+SQRT(Parameters!$B$6)*Factors!OE5+SQRT(Parameters!$B$7)*Factors!OE10+SQRT(Parameters!$B$9)*NORM.S.INV(RAND())</f>
        <v/>
      </c>
      <c r="OF6" s="19">
        <f>SQRT(Parameters!$B$5)*Factors!OF2+SQRT(Parameters!$B$6)*Factors!OF5+SQRT(Parameters!$B$7)*Factors!OF10+SQRT(Parameters!$B$9)*NORM.S.INV(RAND())</f>
        <v/>
      </c>
      <c r="OG6" s="19">
        <f>SQRT(Parameters!$B$5)*Factors!OG2+SQRT(Parameters!$B$6)*Factors!OG5+SQRT(Parameters!$B$7)*Factors!OG10+SQRT(Parameters!$B$9)*NORM.S.INV(RAND())</f>
        <v/>
      </c>
      <c r="OH6" s="19">
        <f>SQRT(Parameters!$B$5)*Factors!OH2+SQRT(Parameters!$B$6)*Factors!OH5+SQRT(Parameters!$B$7)*Factors!OH10+SQRT(Parameters!$B$9)*NORM.S.INV(RAND())</f>
        <v/>
      </c>
      <c r="OI6" s="19">
        <f>SQRT(Parameters!$B$5)*Factors!OI2+SQRT(Parameters!$B$6)*Factors!OI5+SQRT(Parameters!$B$7)*Factors!OI10+SQRT(Parameters!$B$9)*NORM.S.INV(RAND())</f>
        <v/>
      </c>
      <c r="OJ6" s="19">
        <f>SQRT(Parameters!$B$5)*Factors!OJ2+SQRT(Parameters!$B$6)*Factors!OJ5+SQRT(Parameters!$B$7)*Factors!OJ10+SQRT(Parameters!$B$9)*NORM.S.INV(RAND())</f>
        <v/>
      </c>
      <c r="OK6" s="19">
        <f>SQRT(Parameters!$B$5)*Factors!OK2+SQRT(Parameters!$B$6)*Factors!OK5+SQRT(Parameters!$B$7)*Factors!OK10+SQRT(Parameters!$B$9)*NORM.S.INV(RAND())</f>
        <v/>
      </c>
      <c r="OL6" s="19">
        <f>SQRT(Parameters!$B$5)*Factors!OL2+SQRT(Parameters!$B$6)*Factors!OL5+SQRT(Parameters!$B$7)*Factors!OL10+SQRT(Parameters!$B$9)*NORM.S.INV(RAND())</f>
        <v/>
      </c>
      <c r="OM6" s="19">
        <f>SQRT(Parameters!$B$5)*Factors!OM2+SQRT(Parameters!$B$6)*Factors!OM5+SQRT(Parameters!$B$7)*Factors!OM10+SQRT(Parameters!$B$9)*NORM.S.INV(RAND())</f>
        <v/>
      </c>
      <c r="ON6" s="19">
        <f>SQRT(Parameters!$B$5)*Factors!ON2+SQRT(Parameters!$B$6)*Factors!ON5+SQRT(Parameters!$B$7)*Factors!ON10+SQRT(Parameters!$B$9)*NORM.S.INV(RAND())</f>
        <v/>
      </c>
      <c r="OO6" s="19">
        <f>SQRT(Parameters!$B$5)*Factors!OO2+SQRT(Parameters!$B$6)*Factors!OO5+SQRT(Parameters!$B$7)*Factors!OO10+SQRT(Parameters!$B$9)*NORM.S.INV(RAND())</f>
        <v/>
      </c>
      <c r="OP6" s="19">
        <f>SQRT(Parameters!$B$5)*Factors!OP2+SQRT(Parameters!$B$6)*Factors!OP5+SQRT(Parameters!$B$7)*Factors!OP10+SQRT(Parameters!$B$9)*NORM.S.INV(RAND())</f>
        <v/>
      </c>
      <c r="OQ6" s="19">
        <f>SQRT(Parameters!$B$5)*Factors!OQ2+SQRT(Parameters!$B$6)*Factors!OQ5+SQRT(Parameters!$B$7)*Factors!OQ10+SQRT(Parameters!$B$9)*NORM.S.INV(RAND())</f>
        <v/>
      </c>
      <c r="OR6" s="19">
        <f>SQRT(Parameters!$B$5)*Factors!OR2+SQRT(Parameters!$B$6)*Factors!OR5+SQRT(Parameters!$B$7)*Factors!OR10+SQRT(Parameters!$B$9)*NORM.S.INV(RAND())</f>
        <v/>
      </c>
      <c r="OS6" s="19">
        <f>SQRT(Parameters!$B$5)*Factors!OS2+SQRT(Parameters!$B$6)*Factors!OS5+SQRT(Parameters!$B$7)*Factors!OS10+SQRT(Parameters!$B$9)*NORM.S.INV(RAND())</f>
        <v/>
      </c>
      <c r="OT6" s="19">
        <f>SQRT(Parameters!$B$5)*Factors!OT2+SQRT(Parameters!$B$6)*Factors!OT5+SQRT(Parameters!$B$7)*Factors!OT10+SQRT(Parameters!$B$9)*NORM.S.INV(RAND())</f>
        <v/>
      </c>
      <c r="OU6" s="19">
        <f>SQRT(Parameters!$B$5)*Factors!OU2+SQRT(Parameters!$B$6)*Factors!OU5+SQRT(Parameters!$B$7)*Factors!OU10+SQRT(Parameters!$B$9)*NORM.S.INV(RAND())</f>
        <v/>
      </c>
      <c r="OV6" s="19">
        <f>SQRT(Parameters!$B$5)*Factors!OV2+SQRT(Parameters!$B$6)*Factors!OV5+SQRT(Parameters!$B$7)*Factors!OV10+SQRT(Parameters!$B$9)*NORM.S.INV(RAND())</f>
        <v/>
      </c>
      <c r="OW6" s="19">
        <f>SQRT(Parameters!$B$5)*Factors!OW2+SQRT(Parameters!$B$6)*Factors!OW5+SQRT(Parameters!$B$7)*Factors!OW10+SQRT(Parameters!$B$9)*NORM.S.INV(RAND())</f>
        <v/>
      </c>
      <c r="OX6" s="19">
        <f>SQRT(Parameters!$B$5)*Factors!OX2+SQRT(Parameters!$B$6)*Factors!OX5+SQRT(Parameters!$B$7)*Factors!OX10+SQRT(Parameters!$B$9)*NORM.S.INV(RAND())</f>
        <v/>
      </c>
      <c r="OY6" s="19">
        <f>SQRT(Parameters!$B$5)*Factors!OY2+SQRT(Parameters!$B$6)*Factors!OY5+SQRT(Parameters!$B$7)*Factors!OY10+SQRT(Parameters!$B$9)*NORM.S.INV(RAND())</f>
        <v/>
      </c>
      <c r="OZ6" s="19">
        <f>SQRT(Parameters!$B$5)*Factors!OZ2+SQRT(Parameters!$B$6)*Factors!OZ5+SQRT(Parameters!$B$7)*Factors!OZ10+SQRT(Parameters!$B$9)*NORM.S.INV(RAND())</f>
        <v/>
      </c>
      <c r="PA6" s="19">
        <f>SQRT(Parameters!$B$5)*Factors!PA2+SQRT(Parameters!$B$6)*Factors!PA5+SQRT(Parameters!$B$7)*Factors!PA10+SQRT(Parameters!$B$9)*NORM.S.INV(RAND())</f>
        <v/>
      </c>
      <c r="PB6" s="19">
        <f>SQRT(Parameters!$B$5)*Factors!PB2+SQRT(Parameters!$B$6)*Factors!PB5+SQRT(Parameters!$B$7)*Factors!PB10+SQRT(Parameters!$B$9)*NORM.S.INV(RAND())</f>
        <v/>
      </c>
      <c r="PC6" s="19">
        <f>SQRT(Parameters!$B$5)*Factors!PC2+SQRT(Parameters!$B$6)*Factors!PC5+SQRT(Parameters!$B$7)*Factors!PC10+SQRT(Parameters!$B$9)*NORM.S.INV(RAND())</f>
        <v/>
      </c>
      <c r="PD6" s="19">
        <f>SQRT(Parameters!$B$5)*Factors!PD2+SQRT(Parameters!$B$6)*Factors!PD5+SQRT(Parameters!$B$7)*Factors!PD10+SQRT(Parameters!$B$9)*NORM.S.INV(RAND())</f>
        <v/>
      </c>
      <c r="PE6" s="19">
        <f>SQRT(Parameters!$B$5)*Factors!PE2+SQRT(Parameters!$B$6)*Factors!PE5+SQRT(Parameters!$B$7)*Factors!PE10+SQRT(Parameters!$B$9)*NORM.S.INV(RAND())</f>
        <v/>
      </c>
      <c r="PF6" s="19">
        <f>SQRT(Parameters!$B$5)*Factors!PF2+SQRT(Parameters!$B$6)*Factors!PF5+SQRT(Parameters!$B$7)*Factors!PF10+SQRT(Parameters!$B$9)*NORM.S.INV(RAND())</f>
        <v/>
      </c>
      <c r="PG6" s="19">
        <f>SQRT(Parameters!$B$5)*Factors!PG2+SQRT(Parameters!$B$6)*Factors!PG5+SQRT(Parameters!$B$7)*Factors!PG10+SQRT(Parameters!$B$9)*NORM.S.INV(RAND())</f>
        <v/>
      </c>
      <c r="PH6" s="19">
        <f>SQRT(Parameters!$B$5)*Factors!PH2+SQRT(Parameters!$B$6)*Factors!PH5+SQRT(Parameters!$B$7)*Factors!PH10+SQRT(Parameters!$B$9)*NORM.S.INV(RAND())</f>
        <v/>
      </c>
      <c r="PI6" s="19">
        <f>SQRT(Parameters!$B$5)*Factors!PI2+SQRT(Parameters!$B$6)*Factors!PI5+SQRT(Parameters!$B$7)*Factors!PI10+SQRT(Parameters!$B$9)*NORM.S.INV(RAND())</f>
        <v/>
      </c>
      <c r="PJ6" s="19">
        <f>SQRT(Parameters!$B$5)*Factors!PJ2+SQRT(Parameters!$B$6)*Factors!PJ5+SQRT(Parameters!$B$7)*Factors!PJ10+SQRT(Parameters!$B$9)*NORM.S.INV(RAND())</f>
        <v/>
      </c>
      <c r="PK6" s="19">
        <f>SQRT(Parameters!$B$5)*Factors!PK2+SQRT(Parameters!$B$6)*Factors!PK5+SQRT(Parameters!$B$7)*Factors!PK10+SQRT(Parameters!$B$9)*NORM.S.INV(RAND())</f>
        <v/>
      </c>
      <c r="PL6" s="19">
        <f>SQRT(Parameters!$B$5)*Factors!PL2+SQRT(Parameters!$B$6)*Factors!PL5+SQRT(Parameters!$B$7)*Factors!PL10+SQRT(Parameters!$B$9)*NORM.S.INV(RAND())</f>
        <v/>
      </c>
      <c r="PM6" s="19">
        <f>SQRT(Parameters!$B$5)*Factors!PM2+SQRT(Parameters!$B$6)*Factors!PM5+SQRT(Parameters!$B$7)*Factors!PM10+SQRT(Parameters!$B$9)*NORM.S.INV(RAND())</f>
        <v/>
      </c>
      <c r="PN6" s="19">
        <f>SQRT(Parameters!$B$5)*Factors!PN2+SQRT(Parameters!$B$6)*Factors!PN5+SQRT(Parameters!$B$7)*Factors!PN10+SQRT(Parameters!$B$9)*NORM.S.INV(RAND())</f>
        <v/>
      </c>
      <c r="PO6" s="19">
        <f>SQRT(Parameters!$B$5)*Factors!PO2+SQRT(Parameters!$B$6)*Factors!PO5+SQRT(Parameters!$B$7)*Factors!PO10+SQRT(Parameters!$B$9)*NORM.S.INV(RAND())</f>
        <v/>
      </c>
      <c r="PP6" s="19">
        <f>SQRT(Parameters!$B$5)*Factors!PP2+SQRT(Parameters!$B$6)*Factors!PP5+SQRT(Parameters!$B$7)*Factors!PP10+SQRT(Parameters!$B$9)*NORM.S.INV(RAND())</f>
        <v/>
      </c>
      <c r="PQ6" s="19">
        <f>SQRT(Parameters!$B$5)*Factors!PQ2+SQRT(Parameters!$B$6)*Factors!PQ5+SQRT(Parameters!$B$7)*Factors!PQ10+SQRT(Parameters!$B$9)*NORM.S.INV(RAND())</f>
        <v/>
      </c>
      <c r="PR6" s="19">
        <f>SQRT(Parameters!$B$5)*Factors!PR2+SQRT(Parameters!$B$6)*Factors!PR5+SQRT(Parameters!$B$7)*Factors!PR10+SQRT(Parameters!$B$9)*NORM.S.INV(RAND())</f>
        <v/>
      </c>
      <c r="PS6" s="19">
        <f>SQRT(Parameters!$B$5)*Factors!PS2+SQRT(Parameters!$B$6)*Factors!PS5+SQRT(Parameters!$B$7)*Factors!PS10+SQRT(Parameters!$B$9)*NORM.S.INV(RAND())</f>
        <v/>
      </c>
      <c r="PT6" s="19">
        <f>SQRT(Parameters!$B$5)*Factors!PT2+SQRT(Parameters!$B$6)*Factors!PT5+SQRT(Parameters!$B$7)*Factors!PT10+SQRT(Parameters!$B$9)*NORM.S.INV(RAND())</f>
        <v/>
      </c>
      <c r="PU6" s="19">
        <f>SQRT(Parameters!$B$5)*Factors!PU2+SQRT(Parameters!$B$6)*Factors!PU5+SQRT(Parameters!$B$7)*Factors!PU10+SQRT(Parameters!$B$9)*NORM.S.INV(RAND())</f>
        <v/>
      </c>
      <c r="PV6" s="19">
        <f>SQRT(Parameters!$B$5)*Factors!PV2+SQRT(Parameters!$B$6)*Factors!PV5+SQRT(Parameters!$B$7)*Factors!PV10+SQRT(Parameters!$B$9)*NORM.S.INV(RAND())</f>
        <v/>
      </c>
      <c r="PW6" s="19">
        <f>SQRT(Parameters!$B$5)*Factors!PW2+SQRT(Parameters!$B$6)*Factors!PW5+SQRT(Parameters!$B$7)*Factors!PW10+SQRT(Parameters!$B$9)*NORM.S.INV(RAND())</f>
        <v/>
      </c>
      <c r="PX6" s="19">
        <f>SQRT(Parameters!$B$5)*Factors!PX2+SQRT(Parameters!$B$6)*Factors!PX5+SQRT(Parameters!$B$7)*Factors!PX10+SQRT(Parameters!$B$9)*NORM.S.INV(RAND())</f>
        <v/>
      </c>
      <c r="PY6" s="19">
        <f>SQRT(Parameters!$B$5)*Factors!PY2+SQRT(Parameters!$B$6)*Factors!PY5+SQRT(Parameters!$B$7)*Factors!PY10+SQRT(Parameters!$B$9)*NORM.S.INV(RAND())</f>
        <v/>
      </c>
      <c r="PZ6" s="19">
        <f>SQRT(Parameters!$B$5)*Factors!PZ2+SQRT(Parameters!$B$6)*Factors!PZ5+SQRT(Parameters!$B$7)*Factors!PZ10+SQRT(Parameters!$B$9)*NORM.S.INV(RAND())</f>
        <v/>
      </c>
      <c r="QA6" s="19">
        <f>SQRT(Parameters!$B$5)*Factors!QA2+SQRT(Parameters!$B$6)*Factors!QA5+SQRT(Parameters!$B$7)*Factors!QA10+SQRT(Parameters!$B$9)*NORM.S.INV(RAND())</f>
        <v/>
      </c>
      <c r="QB6" s="19">
        <f>SQRT(Parameters!$B$5)*Factors!QB2+SQRT(Parameters!$B$6)*Factors!QB5+SQRT(Parameters!$B$7)*Factors!QB10+SQRT(Parameters!$B$9)*NORM.S.INV(RAND())</f>
        <v/>
      </c>
      <c r="QC6" s="19">
        <f>SQRT(Parameters!$B$5)*Factors!QC2+SQRT(Parameters!$B$6)*Factors!QC5+SQRT(Parameters!$B$7)*Factors!QC10+SQRT(Parameters!$B$9)*NORM.S.INV(RAND())</f>
        <v/>
      </c>
      <c r="QD6" s="19">
        <f>SQRT(Parameters!$B$5)*Factors!QD2+SQRT(Parameters!$B$6)*Factors!QD5+SQRT(Parameters!$B$7)*Factors!QD10+SQRT(Parameters!$B$9)*NORM.S.INV(RAND())</f>
        <v/>
      </c>
      <c r="QE6" s="19">
        <f>SQRT(Parameters!$B$5)*Factors!QE2+SQRT(Parameters!$B$6)*Factors!QE5+SQRT(Parameters!$B$7)*Factors!QE10+SQRT(Parameters!$B$9)*NORM.S.INV(RAND())</f>
        <v/>
      </c>
      <c r="QF6" s="19">
        <f>SQRT(Parameters!$B$5)*Factors!QF2+SQRT(Parameters!$B$6)*Factors!QF5+SQRT(Parameters!$B$7)*Factors!QF10+SQRT(Parameters!$B$9)*NORM.S.INV(RAND())</f>
        <v/>
      </c>
      <c r="QG6" s="19">
        <f>SQRT(Parameters!$B$5)*Factors!QG2+SQRT(Parameters!$B$6)*Factors!QG5+SQRT(Parameters!$B$7)*Factors!QG10+SQRT(Parameters!$B$9)*NORM.S.INV(RAND())</f>
        <v/>
      </c>
      <c r="QH6" s="19">
        <f>SQRT(Parameters!$B$5)*Factors!QH2+SQRT(Parameters!$B$6)*Factors!QH5+SQRT(Parameters!$B$7)*Factors!QH10+SQRT(Parameters!$B$9)*NORM.S.INV(RAND())</f>
        <v/>
      </c>
      <c r="QI6" s="19">
        <f>SQRT(Parameters!$B$5)*Factors!QI2+SQRT(Parameters!$B$6)*Factors!QI5+SQRT(Parameters!$B$7)*Factors!QI10+SQRT(Parameters!$B$9)*NORM.S.INV(RAND())</f>
        <v/>
      </c>
      <c r="QJ6" s="19">
        <f>SQRT(Parameters!$B$5)*Factors!QJ2+SQRT(Parameters!$B$6)*Factors!QJ5+SQRT(Parameters!$B$7)*Factors!QJ10+SQRT(Parameters!$B$9)*NORM.S.INV(RAND())</f>
        <v/>
      </c>
      <c r="QK6" s="19">
        <f>SQRT(Parameters!$B$5)*Factors!QK2+SQRT(Parameters!$B$6)*Factors!QK5+SQRT(Parameters!$B$7)*Factors!QK10+SQRT(Parameters!$B$9)*NORM.S.INV(RAND())</f>
        <v/>
      </c>
      <c r="QL6" s="19">
        <f>SQRT(Parameters!$B$5)*Factors!QL2+SQRT(Parameters!$B$6)*Factors!QL5+SQRT(Parameters!$B$7)*Factors!QL10+SQRT(Parameters!$B$9)*NORM.S.INV(RAND())</f>
        <v/>
      </c>
      <c r="QM6" s="19">
        <f>SQRT(Parameters!$B$5)*Factors!QM2+SQRT(Parameters!$B$6)*Factors!QM5+SQRT(Parameters!$B$7)*Factors!QM10+SQRT(Parameters!$B$9)*NORM.S.INV(RAND())</f>
        <v/>
      </c>
      <c r="QN6" s="19">
        <f>SQRT(Parameters!$B$5)*Factors!QN2+SQRT(Parameters!$B$6)*Factors!QN5+SQRT(Parameters!$B$7)*Factors!QN10+SQRT(Parameters!$B$9)*NORM.S.INV(RAND())</f>
        <v/>
      </c>
      <c r="QO6" s="19">
        <f>SQRT(Parameters!$B$5)*Factors!QO2+SQRT(Parameters!$B$6)*Factors!QO5+SQRT(Parameters!$B$7)*Factors!QO10+SQRT(Parameters!$B$9)*NORM.S.INV(RAND())</f>
        <v/>
      </c>
      <c r="QP6" s="19">
        <f>SQRT(Parameters!$B$5)*Factors!QP2+SQRT(Parameters!$B$6)*Factors!QP5+SQRT(Parameters!$B$7)*Factors!QP10+SQRT(Parameters!$B$9)*NORM.S.INV(RAND())</f>
        <v/>
      </c>
      <c r="QQ6" s="19">
        <f>SQRT(Parameters!$B$5)*Factors!QQ2+SQRT(Parameters!$B$6)*Factors!QQ5+SQRT(Parameters!$B$7)*Factors!QQ10+SQRT(Parameters!$B$9)*NORM.S.INV(RAND())</f>
        <v/>
      </c>
      <c r="QR6" s="19">
        <f>SQRT(Parameters!$B$5)*Factors!QR2+SQRT(Parameters!$B$6)*Factors!QR5+SQRT(Parameters!$B$7)*Factors!QR10+SQRT(Parameters!$B$9)*NORM.S.INV(RAND())</f>
        <v/>
      </c>
      <c r="QS6" s="19">
        <f>SQRT(Parameters!$B$5)*Factors!QS2+SQRT(Parameters!$B$6)*Factors!QS5+SQRT(Parameters!$B$7)*Factors!QS10+SQRT(Parameters!$B$9)*NORM.S.INV(RAND())</f>
        <v/>
      </c>
      <c r="QT6" s="19">
        <f>SQRT(Parameters!$B$5)*Factors!QT2+SQRT(Parameters!$B$6)*Factors!QT5+SQRT(Parameters!$B$7)*Factors!QT10+SQRT(Parameters!$B$9)*NORM.S.INV(RAND())</f>
        <v/>
      </c>
      <c r="QU6" s="19">
        <f>SQRT(Parameters!$B$5)*Factors!QU2+SQRT(Parameters!$B$6)*Factors!QU5+SQRT(Parameters!$B$7)*Factors!QU10+SQRT(Parameters!$B$9)*NORM.S.INV(RAND())</f>
        <v/>
      </c>
      <c r="QV6" s="19">
        <f>SQRT(Parameters!$B$5)*Factors!QV2+SQRT(Parameters!$B$6)*Factors!QV5+SQRT(Parameters!$B$7)*Factors!QV10+SQRT(Parameters!$B$9)*NORM.S.INV(RAND())</f>
        <v/>
      </c>
      <c r="QW6" s="19">
        <f>SQRT(Parameters!$B$5)*Factors!QW2+SQRT(Parameters!$B$6)*Factors!QW5+SQRT(Parameters!$B$7)*Factors!QW10+SQRT(Parameters!$B$9)*NORM.S.INV(RAND())</f>
        <v/>
      </c>
      <c r="QX6" s="19">
        <f>SQRT(Parameters!$B$5)*Factors!QX2+SQRT(Parameters!$B$6)*Factors!QX5+SQRT(Parameters!$B$7)*Factors!QX10+SQRT(Parameters!$B$9)*NORM.S.INV(RAND())</f>
        <v/>
      </c>
      <c r="QY6" s="19">
        <f>SQRT(Parameters!$B$5)*Factors!QY2+SQRT(Parameters!$B$6)*Factors!QY5+SQRT(Parameters!$B$7)*Factors!QY10+SQRT(Parameters!$B$9)*NORM.S.INV(RAND())</f>
        <v/>
      </c>
      <c r="QZ6" s="19">
        <f>SQRT(Parameters!$B$5)*Factors!QZ2+SQRT(Parameters!$B$6)*Factors!QZ5+SQRT(Parameters!$B$7)*Factors!QZ10+SQRT(Parameters!$B$9)*NORM.S.INV(RAND())</f>
        <v/>
      </c>
      <c r="RA6" s="19">
        <f>SQRT(Parameters!$B$5)*Factors!RA2+SQRT(Parameters!$B$6)*Factors!RA5+SQRT(Parameters!$B$7)*Factors!RA10+SQRT(Parameters!$B$9)*NORM.S.INV(RAND())</f>
        <v/>
      </c>
      <c r="RB6" s="19">
        <f>SQRT(Parameters!$B$5)*Factors!RB2+SQRT(Parameters!$B$6)*Factors!RB5+SQRT(Parameters!$B$7)*Factors!RB10+SQRT(Parameters!$B$9)*NORM.S.INV(RAND())</f>
        <v/>
      </c>
      <c r="RC6" s="19">
        <f>SQRT(Parameters!$B$5)*Factors!RC2+SQRT(Parameters!$B$6)*Factors!RC5+SQRT(Parameters!$B$7)*Factors!RC10+SQRT(Parameters!$B$9)*NORM.S.INV(RAND())</f>
        <v/>
      </c>
      <c r="RD6" s="19">
        <f>SQRT(Parameters!$B$5)*Factors!RD2+SQRT(Parameters!$B$6)*Factors!RD5+SQRT(Parameters!$B$7)*Factors!RD10+SQRT(Parameters!$B$9)*NORM.S.INV(RAND())</f>
        <v/>
      </c>
      <c r="RE6" s="19">
        <f>SQRT(Parameters!$B$5)*Factors!RE2+SQRT(Parameters!$B$6)*Factors!RE5+SQRT(Parameters!$B$7)*Factors!RE10+SQRT(Parameters!$B$9)*NORM.S.INV(RAND())</f>
        <v/>
      </c>
      <c r="RF6" s="19">
        <f>SQRT(Parameters!$B$5)*Factors!RF2+SQRT(Parameters!$B$6)*Factors!RF5+SQRT(Parameters!$B$7)*Factors!RF10+SQRT(Parameters!$B$9)*NORM.S.INV(RAND())</f>
        <v/>
      </c>
      <c r="RG6" s="19">
        <f>SQRT(Parameters!$B$5)*Factors!RG2+SQRT(Parameters!$B$6)*Factors!RG5+SQRT(Parameters!$B$7)*Factors!RG10+SQRT(Parameters!$B$9)*NORM.S.INV(RAND())</f>
        <v/>
      </c>
      <c r="RH6" s="19">
        <f>SQRT(Parameters!$B$5)*Factors!RH2+SQRT(Parameters!$B$6)*Factors!RH5+SQRT(Parameters!$B$7)*Factors!RH10+SQRT(Parameters!$B$9)*NORM.S.INV(RAND())</f>
        <v/>
      </c>
      <c r="RI6" s="19">
        <f>SQRT(Parameters!$B$5)*Factors!RI2+SQRT(Parameters!$B$6)*Factors!RI5+SQRT(Parameters!$B$7)*Factors!RI10+SQRT(Parameters!$B$9)*NORM.S.INV(RAND())</f>
        <v/>
      </c>
      <c r="RJ6" s="19">
        <f>SQRT(Parameters!$B$5)*Factors!RJ2+SQRT(Parameters!$B$6)*Factors!RJ5+SQRT(Parameters!$B$7)*Factors!RJ10+SQRT(Parameters!$B$9)*NORM.S.INV(RAND())</f>
        <v/>
      </c>
      <c r="RK6" s="19">
        <f>SQRT(Parameters!$B$5)*Factors!RK2+SQRT(Parameters!$B$6)*Factors!RK5+SQRT(Parameters!$B$7)*Factors!RK10+SQRT(Parameters!$B$9)*NORM.S.INV(RAND())</f>
        <v/>
      </c>
      <c r="RL6" s="19">
        <f>SQRT(Parameters!$B$5)*Factors!RL2+SQRT(Parameters!$B$6)*Factors!RL5+SQRT(Parameters!$B$7)*Factors!RL10+SQRT(Parameters!$B$9)*NORM.S.INV(RAND())</f>
        <v/>
      </c>
      <c r="RM6" s="19">
        <f>SQRT(Parameters!$B$5)*Factors!RM2+SQRT(Parameters!$B$6)*Factors!RM5+SQRT(Parameters!$B$7)*Factors!RM10+SQRT(Parameters!$B$9)*NORM.S.INV(RAND())</f>
        <v/>
      </c>
      <c r="RN6" s="19">
        <f>SQRT(Parameters!$B$5)*Factors!RN2+SQRT(Parameters!$B$6)*Factors!RN5+SQRT(Parameters!$B$7)*Factors!RN10+SQRT(Parameters!$B$9)*NORM.S.INV(RAND())</f>
        <v/>
      </c>
      <c r="RO6" s="19">
        <f>SQRT(Parameters!$B$5)*Factors!RO2+SQRT(Parameters!$B$6)*Factors!RO5+SQRT(Parameters!$B$7)*Factors!RO10+SQRT(Parameters!$B$9)*NORM.S.INV(RAND())</f>
        <v/>
      </c>
      <c r="RP6" s="19">
        <f>SQRT(Parameters!$B$5)*Factors!RP2+SQRT(Parameters!$B$6)*Factors!RP5+SQRT(Parameters!$B$7)*Factors!RP10+SQRT(Parameters!$B$9)*NORM.S.INV(RAND())</f>
        <v/>
      </c>
      <c r="RQ6" s="19">
        <f>SQRT(Parameters!$B$5)*Factors!RQ2+SQRT(Parameters!$B$6)*Factors!RQ5+SQRT(Parameters!$B$7)*Factors!RQ10+SQRT(Parameters!$B$9)*NORM.S.INV(RAND())</f>
        <v/>
      </c>
      <c r="RR6" s="19">
        <f>SQRT(Parameters!$B$5)*Factors!RR2+SQRT(Parameters!$B$6)*Factors!RR5+SQRT(Parameters!$B$7)*Factors!RR10+SQRT(Parameters!$B$9)*NORM.S.INV(RAND())</f>
        <v/>
      </c>
      <c r="RS6" s="19">
        <f>SQRT(Parameters!$B$5)*Factors!RS2+SQRT(Parameters!$B$6)*Factors!RS5+SQRT(Parameters!$B$7)*Factors!RS10+SQRT(Parameters!$B$9)*NORM.S.INV(RAND())</f>
        <v/>
      </c>
      <c r="RT6" s="19">
        <f>SQRT(Parameters!$B$5)*Factors!RT2+SQRT(Parameters!$B$6)*Factors!RT5+SQRT(Parameters!$B$7)*Factors!RT10+SQRT(Parameters!$B$9)*NORM.S.INV(RAND())</f>
        <v/>
      </c>
      <c r="RU6" s="19">
        <f>SQRT(Parameters!$B$5)*Factors!RU2+SQRT(Parameters!$B$6)*Factors!RU5+SQRT(Parameters!$B$7)*Factors!RU10+SQRT(Parameters!$B$9)*NORM.S.INV(RAND())</f>
        <v/>
      </c>
      <c r="RV6" s="19">
        <f>SQRT(Parameters!$B$5)*Factors!RV2+SQRT(Parameters!$B$6)*Factors!RV5+SQRT(Parameters!$B$7)*Factors!RV10+SQRT(Parameters!$B$9)*NORM.S.INV(RAND())</f>
        <v/>
      </c>
      <c r="RW6" s="19">
        <f>SQRT(Parameters!$B$5)*Factors!RW2+SQRT(Parameters!$B$6)*Factors!RW5+SQRT(Parameters!$B$7)*Factors!RW10+SQRT(Parameters!$B$9)*NORM.S.INV(RAND())</f>
        <v/>
      </c>
      <c r="RX6" s="19">
        <f>SQRT(Parameters!$B$5)*Factors!RX2+SQRT(Parameters!$B$6)*Factors!RX5+SQRT(Parameters!$B$7)*Factors!RX10+SQRT(Parameters!$B$9)*NORM.S.INV(RAND())</f>
        <v/>
      </c>
      <c r="RY6" s="19">
        <f>SQRT(Parameters!$B$5)*Factors!RY2+SQRT(Parameters!$B$6)*Factors!RY5+SQRT(Parameters!$B$7)*Factors!RY10+SQRT(Parameters!$B$9)*NORM.S.INV(RAND())</f>
        <v/>
      </c>
      <c r="RZ6" s="19">
        <f>SQRT(Parameters!$B$5)*Factors!RZ2+SQRT(Parameters!$B$6)*Factors!RZ5+SQRT(Parameters!$B$7)*Factors!RZ10+SQRT(Parameters!$B$9)*NORM.S.INV(RAND())</f>
        <v/>
      </c>
      <c r="SA6" s="19">
        <f>SQRT(Parameters!$B$5)*Factors!SA2+SQRT(Parameters!$B$6)*Factors!SA5+SQRT(Parameters!$B$7)*Factors!SA10+SQRT(Parameters!$B$9)*NORM.S.INV(RAND())</f>
        <v/>
      </c>
      <c r="SB6" s="19">
        <f>SQRT(Parameters!$B$5)*Factors!SB2+SQRT(Parameters!$B$6)*Factors!SB5+SQRT(Parameters!$B$7)*Factors!SB10+SQRT(Parameters!$B$9)*NORM.S.INV(RAND())</f>
        <v/>
      </c>
      <c r="SC6" s="19">
        <f>SQRT(Parameters!$B$5)*Factors!SC2+SQRT(Parameters!$B$6)*Factors!SC5+SQRT(Parameters!$B$7)*Factors!SC10+SQRT(Parameters!$B$9)*NORM.S.INV(RAND())</f>
        <v/>
      </c>
      <c r="SD6" s="19">
        <f>SQRT(Parameters!$B$5)*Factors!SD2+SQRT(Parameters!$B$6)*Factors!SD5+SQRT(Parameters!$B$7)*Factors!SD10+SQRT(Parameters!$B$9)*NORM.S.INV(RAND())</f>
        <v/>
      </c>
      <c r="SE6" s="19">
        <f>SQRT(Parameters!$B$5)*Factors!SE2+SQRT(Parameters!$B$6)*Factors!SE5+SQRT(Parameters!$B$7)*Factors!SE10+SQRT(Parameters!$B$9)*NORM.S.INV(RAND())</f>
        <v/>
      </c>
      <c r="SF6" s="19">
        <f>SQRT(Parameters!$B$5)*Factors!SF2+SQRT(Parameters!$B$6)*Factors!SF5+SQRT(Parameters!$B$7)*Factors!SF10+SQRT(Parameters!$B$9)*NORM.S.INV(RAND())</f>
        <v/>
      </c>
      <c r="SG6" s="19">
        <f>SQRT(Parameters!$B$5)*Factors!SG2+SQRT(Parameters!$B$6)*Factors!SG5+SQRT(Parameters!$B$7)*Factors!SG10+SQRT(Parameters!$B$9)*NORM.S.INV(RAND())</f>
        <v/>
      </c>
    </row>
    <row r="7">
      <c r="A7" s="17" t="inlineStr">
        <is>
          <t>OBL-006</t>
        </is>
      </c>
      <c r="B7" s="19">
        <f>SQRT(Parameters!$B$5)*Factors!B3+SQRT(Parameters!$B$6)*Factors!B6+SQRT(Parameters!$B$7)*Factors!B9+SQRT(Parameters!$B$9)*NORM.S.INV(RAND())</f>
        <v/>
      </c>
      <c r="C7" s="19">
        <f>SQRT(Parameters!$B$5)*Factors!C3+SQRT(Parameters!$B$6)*Factors!C6+SQRT(Parameters!$B$7)*Factors!C9+SQRT(Parameters!$B$9)*NORM.S.INV(RAND())</f>
        <v/>
      </c>
      <c r="D7" s="19">
        <f>SQRT(Parameters!$B$5)*Factors!D3+SQRT(Parameters!$B$6)*Factors!D6+SQRT(Parameters!$B$7)*Factors!D9+SQRT(Parameters!$B$9)*NORM.S.INV(RAND())</f>
        <v/>
      </c>
      <c r="E7" s="19">
        <f>SQRT(Parameters!$B$5)*Factors!E3+SQRT(Parameters!$B$6)*Factors!E6+SQRT(Parameters!$B$7)*Factors!E9+SQRT(Parameters!$B$9)*NORM.S.INV(RAND())</f>
        <v/>
      </c>
      <c r="F7" s="19">
        <f>SQRT(Parameters!$B$5)*Factors!F3+SQRT(Parameters!$B$6)*Factors!F6+SQRT(Parameters!$B$7)*Factors!F9+SQRT(Parameters!$B$9)*NORM.S.INV(RAND())</f>
        <v/>
      </c>
      <c r="G7" s="19">
        <f>SQRT(Parameters!$B$5)*Factors!G3+SQRT(Parameters!$B$6)*Factors!G6+SQRT(Parameters!$B$7)*Factors!G9+SQRT(Parameters!$B$9)*NORM.S.INV(RAND())</f>
        <v/>
      </c>
      <c r="H7" s="19">
        <f>SQRT(Parameters!$B$5)*Factors!H3+SQRT(Parameters!$B$6)*Factors!H6+SQRT(Parameters!$B$7)*Factors!H9+SQRT(Parameters!$B$9)*NORM.S.INV(RAND())</f>
        <v/>
      </c>
      <c r="I7" s="19">
        <f>SQRT(Parameters!$B$5)*Factors!I3+SQRT(Parameters!$B$6)*Factors!I6+SQRT(Parameters!$B$7)*Factors!I9+SQRT(Parameters!$B$9)*NORM.S.INV(RAND())</f>
        <v/>
      </c>
      <c r="J7" s="19">
        <f>SQRT(Parameters!$B$5)*Factors!J3+SQRT(Parameters!$B$6)*Factors!J6+SQRT(Parameters!$B$7)*Factors!J9+SQRT(Parameters!$B$9)*NORM.S.INV(RAND())</f>
        <v/>
      </c>
      <c r="K7" s="19">
        <f>SQRT(Parameters!$B$5)*Factors!K3+SQRT(Parameters!$B$6)*Factors!K6+SQRT(Parameters!$B$7)*Factors!K9+SQRT(Parameters!$B$9)*NORM.S.INV(RAND())</f>
        <v/>
      </c>
      <c r="L7" s="19">
        <f>SQRT(Parameters!$B$5)*Factors!L3+SQRT(Parameters!$B$6)*Factors!L6+SQRT(Parameters!$B$7)*Factors!L9+SQRT(Parameters!$B$9)*NORM.S.INV(RAND())</f>
        <v/>
      </c>
      <c r="M7" s="19">
        <f>SQRT(Parameters!$B$5)*Factors!M3+SQRT(Parameters!$B$6)*Factors!M6+SQRT(Parameters!$B$7)*Factors!M9+SQRT(Parameters!$B$9)*NORM.S.INV(RAND())</f>
        <v/>
      </c>
      <c r="N7" s="19">
        <f>SQRT(Parameters!$B$5)*Factors!N3+SQRT(Parameters!$B$6)*Factors!N6+SQRT(Parameters!$B$7)*Factors!N9+SQRT(Parameters!$B$9)*NORM.S.INV(RAND())</f>
        <v/>
      </c>
      <c r="O7" s="19">
        <f>SQRT(Parameters!$B$5)*Factors!O3+SQRT(Parameters!$B$6)*Factors!O6+SQRT(Parameters!$B$7)*Factors!O9+SQRT(Parameters!$B$9)*NORM.S.INV(RAND())</f>
        <v/>
      </c>
      <c r="P7" s="19">
        <f>SQRT(Parameters!$B$5)*Factors!P3+SQRT(Parameters!$B$6)*Factors!P6+SQRT(Parameters!$B$7)*Factors!P9+SQRT(Parameters!$B$9)*NORM.S.INV(RAND())</f>
        <v/>
      </c>
      <c r="Q7" s="19">
        <f>SQRT(Parameters!$B$5)*Factors!Q3+SQRT(Parameters!$B$6)*Factors!Q6+SQRT(Parameters!$B$7)*Factors!Q9+SQRT(Parameters!$B$9)*NORM.S.INV(RAND())</f>
        <v/>
      </c>
      <c r="R7" s="19">
        <f>SQRT(Parameters!$B$5)*Factors!R3+SQRT(Parameters!$B$6)*Factors!R6+SQRT(Parameters!$B$7)*Factors!R9+SQRT(Parameters!$B$9)*NORM.S.INV(RAND())</f>
        <v/>
      </c>
      <c r="S7" s="19">
        <f>SQRT(Parameters!$B$5)*Factors!S3+SQRT(Parameters!$B$6)*Factors!S6+SQRT(Parameters!$B$7)*Factors!S9+SQRT(Parameters!$B$9)*NORM.S.INV(RAND())</f>
        <v/>
      </c>
      <c r="T7" s="19">
        <f>SQRT(Parameters!$B$5)*Factors!T3+SQRT(Parameters!$B$6)*Factors!T6+SQRT(Parameters!$B$7)*Factors!T9+SQRT(Parameters!$B$9)*NORM.S.INV(RAND())</f>
        <v/>
      </c>
      <c r="U7" s="19">
        <f>SQRT(Parameters!$B$5)*Factors!U3+SQRT(Parameters!$B$6)*Factors!U6+SQRT(Parameters!$B$7)*Factors!U9+SQRT(Parameters!$B$9)*NORM.S.INV(RAND())</f>
        <v/>
      </c>
      <c r="V7" s="19">
        <f>SQRT(Parameters!$B$5)*Factors!V3+SQRT(Parameters!$B$6)*Factors!V6+SQRT(Parameters!$B$7)*Factors!V9+SQRT(Parameters!$B$9)*NORM.S.INV(RAND())</f>
        <v/>
      </c>
      <c r="W7" s="19">
        <f>SQRT(Parameters!$B$5)*Factors!W3+SQRT(Parameters!$B$6)*Factors!W6+SQRT(Parameters!$B$7)*Factors!W9+SQRT(Parameters!$B$9)*NORM.S.INV(RAND())</f>
        <v/>
      </c>
      <c r="X7" s="19">
        <f>SQRT(Parameters!$B$5)*Factors!X3+SQRT(Parameters!$B$6)*Factors!X6+SQRT(Parameters!$B$7)*Factors!X9+SQRT(Parameters!$B$9)*NORM.S.INV(RAND())</f>
        <v/>
      </c>
      <c r="Y7" s="19">
        <f>SQRT(Parameters!$B$5)*Factors!Y3+SQRT(Parameters!$B$6)*Factors!Y6+SQRT(Parameters!$B$7)*Factors!Y9+SQRT(Parameters!$B$9)*NORM.S.INV(RAND())</f>
        <v/>
      </c>
      <c r="Z7" s="19">
        <f>SQRT(Parameters!$B$5)*Factors!Z3+SQRT(Parameters!$B$6)*Factors!Z6+SQRT(Parameters!$B$7)*Factors!Z9+SQRT(Parameters!$B$9)*NORM.S.INV(RAND())</f>
        <v/>
      </c>
      <c r="AA7" s="19">
        <f>SQRT(Parameters!$B$5)*Factors!AA3+SQRT(Parameters!$B$6)*Factors!AA6+SQRT(Parameters!$B$7)*Factors!AA9+SQRT(Parameters!$B$9)*NORM.S.INV(RAND())</f>
        <v/>
      </c>
      <c r="AB7" s="19">
        <f>SQRT(Parameters!$B$5)*Factors!AB3+SQRT(Parameters!$B$6)*Factors!AB6+SQRT(Parameters!$B$7)*Factors!AB9+SQRT(Parameters!$B$9)*NORM.S.INV(RAND())</f>
        <v/>
      </c>
      <c r="AC7" s="19">
        <f>SQRT(Parameters!$B$5)*Factors!AC3+SQRT(Parameters!$B$6)*Factors!AC6+SQRT(Parameters!$B$7)*Factors!AC9+SQRT(Parameters!$B$9)*NORM.S.INV(RAND())</f>
        <v/>
      </c>
      <c r="AD7" s="19">
        <f>SQRT(Parameters!$B$5)*Factors!AD3+SQRT(Parameters!$B$6)*Factors!AD6+SQRT(Parameters!$B$7)*Factors!AD9+SQRT(Parameters!$B$9)*NORM.S.INV(RAND())</f>
        <v/>
      </c>
      <c r="AE7" s="19">
        <f>SQRT(Parameters!$B$5)*Factors!AE3+SQRT(Parameters!$B$6)*Factors!AE6+SQRT(Parameters!$B$7)*Factors!AE9+SQRT(Parameters!$B$9)*NORM.S.INV(RAND())</f>
        <v/>
      </c>
      <c r="AF7" s="19">
        <f>SQRT(Parameters!$B$5)*Factors!AF3+SQRT(Parameters!$B$6)*Factors!AF6+SQRT(Parameters!$B$7)*Factors!AF9+SQRT(Parameters!$B$9)*NORM.S.INV(RAND())</f>
        <v/>
      </c>
      <c r="AG7" s="19">
        <f>SQRT(Parameters!$B$5)*Factors!AG3+SQRT(Parameters!$B$6)*Factors!AG6+SQRT(Parameters!$B$7)*Factors!AG9+SQRT(Parameters!$B$9)*NORM.S.INV(RAND())</f>
        <v/>
      </c>
      <c r="AH7" s="19">
        <f>SQRT(Parameters!$B$5)*Factors!AH3+SQRT(Parameters!$B$6)*Factors!AH6+SQRT(Parameters!$B$7)*Factors!AH9+SQRT(Parameters!$B$9)*NORM.S.INV(RAND())</f>
        <v/>
      </c>
      <c r="AI7" s="19">
        <f>SQRT(Parameters!$B$5)*Factors!AI3+SQRT(Parameters!$B$6)*Factors!AI6+SQRT(Parameters!$B$7)*Factors!AI9+SQRT(Parameters!$B$9)*NORM.S.INV(RAND())</f>
        <v/>
      </c>
      <c r="AJ7" s="19">
        <f>SQRT(Parameters!$B$5)*Factors!AJ3+SQRT(Parameters!$B$6)*Factors!AJ6+SQRT(Parameters!$B$7)*Factors!AJ9+SQRT(Parameters!$B$9)*NORM.S.INV(RAND())</f>
        <v/>
      </c>
      <c r="AK7" s="19">
        <f>SQRT(Parameters!$B$5)*Factors!AK3+SQRT(Parameters!$B$6)*Factors!AK6+SQRT(Parameters!$B$7)*Factors!AK9+SQRT(Parameters!$B$9)*NORM.S.INV(RAND())</f>
        <v/>
      </c>
      <c r="AL7" s="19">
        <f>SQRT(Parameters!$B$5)*Factors!AL3+SQRT(Parameters!$B$6)*Factors!AL6+SQRT(Parameters!$B$7)*Factors!AL9+SQRT(Parameters!$B$9)*NORM.S.INV(RAND())</f>
        <v/>
      </c>
      <c r="AM7" s="19">
        <f>SQRT(Parameters!$B$5)*Factors!AM3+SQRT(Parameters!$B$6)*Factors!AM6+SQRT(Parameters!$B$7)*Factors!AM9+SQRT(Parameters!$B$9)*NORM.S.INV(RAND())</f>
        <v/>
      </c>
      <c r="AN7" s="19">
        <f>SQRT(Parameters!$B$5)*Factors!AN3+SQRT(Parameters!$B$6)*Factors!AN6+SQRT(Parameters!$B$7)*Factors!AN9+SQRT(Parameters!$B$9)*NORM.S.INV(RAND())</f>
        <v/>
      </c>
      <c r="AO7" s="19">
        <f>SQRT(Parameters!$B$5)*Factors!AO3+SQRT(Parameters!$B$6)*Factors!AO6+SQRT(Parameters!$B$7)*Factors!AO9+SQRT(Parameters!$B$9)*NORM.S.INV(RAND())</f>
        <v/>
      </c>
      <c r="AP7" s="19">
        <f>SQRT(Parameters!$B$5)*Factors!AP3+SQRT(Parameters!$B$6)*Factors!AP6+SQRT(Parameters!$B$7)*Factors!AP9+SQRT(Parameters!$B$9)*NORM.S.INV(RAND())</f>
        <v/>
      </c>
      <c r="AQ7" s="19">
        <f>SQRT(Parameters!$B$5)*Factors!AQ3+SQRT(Parameters!$B$6)*Factors!AQ6+SQRT(Parameters!$B$7)*Factors!AQ9+SQRT(Parameters!$B$9)*NORM.S.INV(RAND())</f>
        <v/>
      </c>
      <c r="AR7" s="19">
        <f>SQRT(Parameters!$B$5)*Factors!AR3+SQRT(Parameters!$B$6)*Factors!AR6+SQRT(Parameters!$B$7)*Factors!AR9+SQRT(Parameters!$B$9)*NORM.S.INV(RAND())</f>
        <v/>
      </c>
      <c r="AS7" s="19">
        <f>SQRT(Parameters!$B$5)*Factors!AS3+SQRT(Parameters!$B$6)*Factors!AS6+SQRT(Parameters!$B$7)*Factors!AS9+SQRT(Parameters!$B$9)*NORM.S.INV(RAND())</f>
        <v/>
      </c>
      <c r="AT7" s="19">
        <f>SQRT(Parameters!$B$5)*Factors!AT3+SQRT(Parameters!$B$6)*Factors!AT6+SQRT(Parameters!$B$7)*Factors!AT9+SQRT(Parameters!$B$9)*NORM.S.INV(RAND())</f>
        <v/>
      </c>
      <c r="AU7" s="19">
        <f>SQRT(Parameters!$B$5)*Factors!AU3+SQRT(Parameters!$B$6)*Factors!AU6+SQRT(Parameters!$B$7)*Factors!AU9+SQRT(Parameters!$B$9)*NORM.S.INV(RAND())</f>
        <v/>
      </c>
      <c r="AV7" s="19">
        <f>SQRT(Parameters!$B$5)*Factors!AV3+SQRT(Parameters!$B$6)*Factors!AV6+SQRT(Parameters!$B$7)*Factors!AV9+SQRT(Parameters!$B$9)*NORM.S.INV(RAND())</f>
        <v/>
      </c>
      <c r="AW7" s="19">
        <f>SQRT(Parameters!$B$5)*Factors!AW3+SQRT(Parameters!$B$6)*Factors!AW6+SQRT(Parameters!$B$7)*Factors!AW9+SQRT(Parameters!$B$9)*NORM.S.INV(RAND())</f>
        <v/>
      </c>
      <c r="AX7" s="19">
        <f>SQRT(Parameters!$B$5)*Factors!AX3+SQRT(Parameters!$B$6)*Factors!AX6+SQRT(Parameters!$B$7)*Factors!AX9+SQRT(Parameters!$B$9)*NORM.S.INV(RAND())</f>
        <v/>
      </c>
      <c r="AY7" s="19">
        <f>SQRT(Parameters!$B$5)*Factors!AY3+SQRT(Parameters!$B$6)*Factors!AY6+SQRT(Parameters!$B$7)*Factors!AY9+SQRT(Parameters!$B$9)*NORM.S.INV(RAND())</f>
        <v/>
      </c>
      <c r="AZ7" s="19">
        <f>SQRT(Parameters!$B$5)*Factors!AZ3+SQRT(Parameters!$B$6)*Factors!AZ6+SQRT(Parameters!$B$7)*Factors!AZ9+SQRT(Parameters!$B$9)*NORM.S.INV(RAND())</f>
        <v/>
      </c>
      <c r="BA7" s="19">
        <f>SQRT(Parameters!$B$5)*Factors!BA3+SQRT(Parameters!$B$6)*Factors!BA6+SQRT(Parameters!$B$7)*Factors!BA9+SQRT(Parameters!$B$9)*NORM.S.INV(RAND())</f>
        <v/>
      </c>
      <c r="BB7" s="19">
        <f>SQRT(Parameters!$B$5)*Factors!BB3+SQRT(Parameters!$B$6)*Factors!BB6+SQRT(Parameters!$B$7)*Factors!BB9+SQRT(Parameters!$B$9)*NORM.S.INV(RAND())</f>
        <v/>
      </c>
      <c r="BC7" s="19">
        <f>SQRT(Parameters!$B$5)*Factors!BC3+SQRT(Parameters!$B$6)*Factors!BC6+SQRT(Parameters!$B$7)*Factors!BC9+SQRT(Parameters!$B$9)*NORM.S.INV(RAND())</f>
        <v/>
      </c>
      <c r="BD7" s="19">
        <f>SQRT(Parameters!$B$5)*Factors!BD3+SQRT(Parameters!$B$6)*Factors!BD6+SQRT(Parameters!$B$7)*Factors!BD9+SQRT(Parameters!$B$9)*NORM.S.INV(RAND())</f>
        <v/>
      </c>
      <c r="BE7" s="19">
        <f>SQRT(Parameters!$B$5)*Factors!BE3+SQRT(Parameters!$B$6)*Factors!BE6+SQRT(Parameters!$B$7)*Factors!BE9+SQRT(Parameters!$B$9)*NORM.S.INV(RAND())</f>
        <v/>
      </c>
      <c r="BF7" s="19">
        <f>SQRT(Parameters!$B$5)*Factors!BF3+SQRT(Parameters!$B$6)*Factors!BF6+SQRT(Parameters!$B$7)*Factors!BF9+SQRT(Parameters!$B$9)*NORM.S.INV(RAND())</f>
        <v/>
      </c>
      <c r="BG7" s="19">
        <f>SQRT(Parameters!$B$5)*Factors!BG3+SQRT(Parameters!$B$6)*Factors!BG6+SQRT(Parameters!$B$7)*Factors!BG9+SQRT(Parameters!$B$9)*NORM.S.INV(RAND())</f>
        <v/>
      </c>
      <c r="BH7" s="19">
        <f>SQRT(Parameters!$B$5)*Factors!BH3+SQRT(Parameters!$B$6)*Factors!BH6+SQRT(Parameters!$B$7)*Factors!BH9+SQRT(Parameters!$B$9)*NORM.S.INV(RAND())</f>
        <v/>
      </c>
      <c r="BI7" s="19">
        <f>SQRT(Parameters!$B$5)*Factors!BI3+SQRT(Parameters!$B$6)*Factors!BI6+SQRT(Parameters!$B$7)*Factors!BI9+SQRT(Parameters!$B$9)*NORM.S.INV(RAND())</f>
        <v/>
      </c>
      <c r="BJ7" s="19">
        <f>SQRT(Parameters!$B$5)*Factors!BJ3+SQRT(Parameters!$B$6)*Factors!BJ6+SQRT(Parameters!$B$7)*Factors!BJ9+SQRT(Parameters!$B$9)*NORM.S.INV(RAND())</f>
        <v/>
      </c>
      <c r="BK7" s="19">
        <f>SQRT(Parameters!$B$5)*Factors!BK3+SQRT(Parameters!$B$6)*Factors!BK6+SQRT(Parameters!$B$7)*Factors!BK9+SQRT(Parameters!$B$9)*NORM.S.INV(RAND())</f>
        <v/>
      </c>
      <c r="BL7" s="19">
        <f>SQRT(Parameters!$B$5)*Factors!BL3+SQRT(Parameters!$B$6)*Factors!BL6+SQRT(Parameters!$B$7)*Factors!BL9+SQRT(Parameters!$B$9)*NORM.S.INV(RAND())</f>
        <v/>
      </c>
      <c r="BM7" s="19">
        <f>SQRT(Parameters!$B$5)*Factors!BM3+SQRT(Parameters!$B$6)*Factors!BM6+SQRT(Parameters!$B$7)*Factors!BM9+SQRT(Parameters!$B$9)*NORM.S.INV(RAND())</f>
        <v/>
      </c>
      <c r="BN7" s="19">
        <f>SQRT(Parameters!$B$5)*Factors!BN3+SQRT(Parameters!$B$6)*Factors!BN6+SQRT(Parameters!$B$7)*Factors!BN9+SQRT(Parameters!$B$9)*NORM.S.INV(RAND())</f>
        <v/>
      </c>
      <c r="BO7" s="19">
        <f>SQRT(Parameters!$B$5)*Factors!BO3+SQRT(Parameters!$B$6)*Factors!BO6+SQRT(Parameters!$B$7)*Factors!BO9+SQRT(Parameters!$B$9)*NORM.S.INV(RAND())</f>
        <v/>
      </c>
      <c r="BP7" s="19">
        <f>SQRT(Parameters!$B$5)*Factors!BP3+SQRT(Parameters!$B$6)*Factors!BP6+SQRT(Parameters!$B$7)*Factors!BP9+SQRT(Parameters!$B$9)*NORM.S.INV(RAND())</f>
        <v/>
      </c>
      <c r="BQ7" s="19">
        <f>SQRT(Parameters!$B$5)*Factors!BQ3+SQRT(Parameters!$B$6)*Factors!BQ6+SQRT(Parameters!$B$7)*Factors!BQ9+SQRT(Parameters!$B$9)*NORM.S.INV(RAND())</f>
        <v/>
      </c>
      <c r="BR7" s="19">
        <f>SQRT(Parameters!$B$5)*Factors!BR3+SQRT(Parameters!$B$6)*Factors!BR6+SQRT(Parameters!$B$7)*Factors!BR9+SQRT(Parameters!$B$9)*NORM.S.INV(RAND())</f>
        <v/>
      </c>
      <c r="BS7" s="19">
        <f>SQRT(Parameters!$B$5)*Factors!BS3+SQRT(Parameters!$B$6)*Factors!BS6+SQRT(Parameters!$B$7)*Factors!BS9+SQRT(Parameters!$B$9)*NORM.S.INV(RAND())</f>
        <v/>
      </c>
      <c r="BT7" s="19">
        <f>SQRT(Parameters!$B$5)*Factors!BT3+SQRT(Parameters!$B$6)*Factors!BT6+SQRT(Parameters!$B$7)*Factors!BT9+SQRT(Parameters!$B$9)*NORM.S.INV(RAND())</f>
        <v/>
      </c>
      <c r="BU7" s="19">
        <f>SQRT(Parameters!$B$5)*Factors!BU3+SQRT(Parameters!$B$6)*Factors!BU6+SQRT(Parameters!$B$7)*Factors!BU9+SQRT(Parameters!$B$9)*NORM.S.INV(RAND())</f>
        <v/>
      </c>
      <c r="BV7" s="19">
        <f>SQRT(Parameters!$B$5)*Factors!BV3+SQRT(Parameters!$B$6)*Factors!BV6+SQRT(Parameters!$B$7)*Factors!BV9+SQRT(Parameters!$B$9)*NORM.S.INV(RAND())</f>
        <v/>
      </c>
      <c r="BW7" s="19">
        <f>SQRT(Parameters!$B$5)*Factors!BW3+SQRT(Parameters!$B$6)*Factors!BW6+SQRT(Parameters!$B$7)*Factors!BW9+SQRT(Parameters!$B$9)*NORM.S.INV(RAND())</f>
        <v/>
      </c>
      <c r="BX7" s="19">
        <f>SQRT(Parameters!$B$5)*Factors!BX3+SQRT(Parameters!$B$6)*Factors!BX6+SQRT(Parameters!$B$7)*Factors!BX9+SQRT(Parameters!$B$9)*NORM.S.INV(RAND())</f>
        <v/>
      </c>
      <c r="BY7" s="19">
        <f>SQRT(Parameters!$B$5)*Factors!BY3+SQRT(Parameters!$B$6)*Factors!BY6+SQRT(Parameters!$B$7)*Factors!BY9+SQRT(Parameters!$B$9)*NORM.S.INV(RAND())</f>
        <v/>
      </c>
      <c r="BZ7" s="19">
        <f>SQRT(Parameters!$B$5)*Factors!BZ3+SQRT(Parameters!$B$6)*Factors!BZ6+SQRT(Parameters!$B$7)*Factors!BZ9+SQRT(Parameters!$B$9)*NORM.S.INV(RAND())</f>
        <v/>
      </c>
      <c r="CA7" s="19">
        <f>SQRT(Parameters!$B$5)*Factors!CA3+SQRT(Parameters!$B$6)*Factors!CA6+SQRT(Parameters!$B$7)*Factors!CA9+SQRT(Parameters!$B$9)*NORM.S.INV(RAND())</f>
        <v/>
      </c>
      <c r="CB7" s="19">
        <f>SQRT(Parameters!$B$5)*Factors!CB3+SQRT(Parameters!$B$6)*Factors!CB6+SQRT(Parameters!$B$7)*Factors!CB9+SQRT(Parameters!$B$9)*NORM.S.INV(RAND())</f>
        <v/>
      </c>
      <c r="CC7" s="19">
        <f>SQRT(Parameters!$B$5)*Factors!CC3+SQRT(Parameters!$B$6)*Factors!CC6+SQRT(Parameters!$B$7)*Factors!CC9+SQRT(Parameters!$B$9)*NORM.S.INV(RAND())</f>
        <v/>
      </c>
      <c r="CD7" s="19">
        <f>SQRT(Parameters!$B$5)*Factors!CD3+SQRT(Parameters!$B$6)*Factors!CD6+SQRT(Parameters!$B$7)*Factors!CD9+SQRT(Parameters!$B$9)*NORM.S.INV(RAND())</f>
        <v/>
      </c>
      <c r="CE7" s="19">
        <f>SQRT(Parameters!$B$5)*Factors!CE3+SQRT(Parameters!$B$6)*Factors!CE6+SQRT(Parameters!$B$7)*Factors!CE9+SQRT(Parameters!$B$9)*NORM.S.INV(RAND())</f>
        <v/>
      </c>
      <c r="CF7" s="19">
        <f>SQRT(Parameters!$B$5)*Factors!CF3+SQRT(Parameters!$B$6)*Factors!CF6+SQRT(Parameters!$B$7)*Factors!CF9+SQRT(Parameters!$B$9)*NORM.S.INV(RAND())</f>
        <v/>
      </c>
      <c r="CG7" s="19">
        <f>SQRT(Parameters!$B$5)*Factors!CG3+SQRT(Parameters!$B$6)*Factors!CG6+SQRT(Parameters!$B$7)*Factors!CG9+SQRT(Parameters!$B$9)*NORM.S.INV(RAND())</f>
        <v/>
      </c>
      <c r="CH7" s="19">
        <f>SQRT(Parameters!$B$5)*Factors!CH3+SQRT(Parameters!$B$6)*Factors!CH6+SQRT(Parameters!$B$7)*Factors!CH9+SQRT(Parameters!$B$9)*NORM.S.INV(RAND())</f>
        <v/>
      </c>
      <c r="CI7" s="19">
        <f>SQRT(Parameters!$B$5)*Factors!CI3+SQRT(Parameters!$B$6)*Factors!CI6+SQRT(Parameters!$B$7)*Factors!CI9+SQRT(Parameters!$B$9)*NORM.S.INV(RAND())</f>
        <v/>
      </c>
      <c r="CJ7" s="19">
        <f>SQRT(Parameters!$B$5)*Factors!CJ3+SQRT(Parameters!$B$6)*Factors!CJ6+SQRT(Parameters!$B$7)*Factors!CJ9+SQRT(Parameters!$B$9)*NORM.S.INV(RAND())</f>
        <v/>
      </c>
      <c r="CK7" s="19">
        <f>SQRT(Parameters!$B$5)*Factors!CK3+SQRT(Parameters!$B$6)*Factors!CK6+SQRT(Parameters!$B$7)*Factors!CK9+SQRT(Parameters!$B$9)*NORM.S.INV(RAND())</f>
        <v/>
      </c>
      <c r="CL7" s="19">
        <f>SQRT(Parameters!$B$5)*Factors!CL3+SQRT(Parameters!$B$6)*Factors!CL6+SQRT(Parameters!$B$7)*Factors!CL9+SQRT(Parameters!$B$9)*NORM.S.INV(RAND())</f>
        <v/>
      </c>
      <c r="CM7" s="19">
        <f>SQRT(Parameters!$B$5)*Factors!CM3+SQRT(Parameters!$B$6)*Factors!CM6+SQRT(Parameters!$B$7)*Factors!CM9+SQRT(Parameters!$B$9)*NORM.S.INV(RAND())</f>
        <v/>
      </c>
      <c r="CN7" s="19">
        <f>SQRT(Parameters!$B$5)*Factors!CN3+SQRT(Parameters!$B$6)*Factors!CN6+SQRT(Parameters!$B$7)*Factors!CN9+SQRT(Parameters!$B$9)*NORM.S.INV(RAND())</f>
        <v/>
      </c>
      <c r="CO7" s="19">
        <f>SQRT(Parameters!$B$5)*Factors!CO3+SQRT(Parameters!$B$6)*Factors!CO6+SQRT(Parameters!$B$7)*Factors!CO9+SQRT(Parameters!$B$9)*NORM.S.INV(RAND())</f>
        <v/>
      </c>
      <c r="CP7" s="19">
        <f>SQRT(Parameters!$B$5)*Factors!CP3+SQRT(Parameters!$B$6)*Factors!CP6+SQRT(Parameters!$B$7)*Factors!CP9+SQRT(Parameters!$B$9)*NORM.S.INV(RAND())</f>
        <v/>
      </c>
      <c r="CQ7" s="19">
        <f>SQRT(Parameters!$B$5)*Factors!CQ3+SQRT(Parameters!$B$6)*Factors!CQ6+SQRT(Parameters!$B$7)*Factors!CQ9+SQRT(Parameters!$B$9)*NORM.S.INV(RAND())</f>
        <v/>
      </c>
      <c r="CR7" s="19">
        <f>SQRT(Parameters!$B$5)*Factors!CR3+SQRT(Parameters!$B$6)*Factors!CR6+SQRT(Parameters!$B$7)*Factors!CR9+SQRT(Parameters!$B$9)*NORM.S.INV(RAND())</f>
        <v/>
      </c>
      <c r="CS7" s="19">
        <f>SQRT(Parameters!$B$5)*Factors!CS3+SQRT(Parameters!$B$6)*Factors!CS6+SQRT(Parameters!$B$7)*Factors!CS9+SQRT(Parameters!$B$9)*NORM.S.INV(RAND())</f>
        <v/>
      </c>
      <c r="CT7" s="19">
        <f>SQRT(Parameters!$B$5)*Factors!CT3+SQRT(Parameters!$B$6)*Factors!CT6+SQRT(Parameters!$B$7)*Factors!CT9+SQRT(Parameters!$B$9)*NORM.S.INV(RAND())</f>
        <v/>
      </c>
      <c r="CU7" s="19">
        <f>SQRT(Parameters!$B$5)*Factors!CU3+SQRT(Parameters!$B$6)*Factors!CU6+SQRT(Parameters!$B$7)*Factors!CU9+SQRT(Parameters!$B$9)*NORM.S.INV(RAND())</f>
        <v/>
      </c>
      <c r="CV7" s="19">
        <f>SQRT(Parameters!$B$5)*Factors!CV3+SQRT(Parameters!$B$6)*Factors!CV6+SQRT(Parameters!$B$7)*Factors!CV9+SQRT(Parameters!$B$9)*NORM.S.INV(RAND())</f>
        <v/>
      </c>
      <c r="CW7" s="19">
        <f>SQRT(Parameters!$B$5)*Factors!CW3+SQRT(Parameters!$B$6)*Factors!CW6+SQRT(Parameters!$B$7)*Factors!CW9+SQRT(Parameters!$B$9)*NORM.S.INV(RAND())</f>
        <v/>
      </c>
      <c r="CX7" s="19">
        <f>SQRT(Parameters!$B$5)*Factors!CX3+SQRT(Parameters!$B$6)*Factors!CX6+SQRT(Parameters!$B$7)*Factors!CX9+SQRT(Parameters!$B$9)*NORM.S.INV(RAND())</f>
        <v/>
      </c>
      <c r="CY7" s="19">
        <f>SQRT(Parameters!$B$5)*Factors!CY3+SQRT(Parameters!$B$6)*Factors!CY6+SQRT(Parameters!$B$7)*Factors!CY9+SQRT(Parameters!$B$9)*NORM.S.INV(RAND())</f>
        <v/>
      </c>
      <c r="CZ7" s="19">
        <f>SQRT(Parameters!$B$5)*Factors!CZ3+SQRT(Parameters!$B$6)*Factors!CZ6+SQRT(Parameters!$B$7)*Factors!CZ9+SQRT(Parameters!$B$9)*NORM.S.INV(RAND())</f>
        <v/>
      </c>
      <c r="DA7" s="19">
        <f>SQRT(Parameters!$B$5)*Factors!DA3+SQRT(Parameters!$B$6)*Factors!DA6+SQRT(Parameters!$B$7)*Factors!DA9+SQRT(Parameters!$B$9)*NORM.S.INV(RAND())</f>
        <v/>
      </c>
      <c r="DB7" s="19">
        <f>SQRT(Parameters!$B$5)*Factors!DB3+SQRT(Parameters!$B$6)*Factors!DB6+SQRT(Parameters!$B$7)*Factors!DB9+SQRT(Parameters!$B$9)*NORM.S.INV(RAND())</f>
        <v/>
      </c>
      <c r="DC7" s="19">
        <f>SQRT(Parameters!$B$5)*Factors!DC3+SQRT(Parameters!$B$6)*Factors!DC6+SQRT(Parameters!$B$7)*Factors!DC9+SQRT(Parameters!$B$9)*NORM.S.INV(RAND())</f>
        <v/>
      </c>
      <c r="DD7" s="19">
        <f>SQRT(Parameters!$B$5)*Factors!DD3+SQRT(Parameters!$B$6)*Factors!DD6+SQRT(Parameters!$B$7)*Factors!DD9+SQRT(Parameters!$B$9)*NORM.S.INV(RAND())</f>
        <v/>
      </c>
      <c r="DE7" s="19">
        <f>SQRT(Parameters!$B$5)*Factors!DE3+SQRT(Parameters!$B$6)*Factors!DE6+SQRT(Parameters!$B$7)*Factors!DE9+SQRT(Parameters!$B$9)*NORM.S.INV(RAND())</f>
        <v/>
      </c>
      <c r="DF7" s="19">
        <f>SQRT(Parameters!$B$5)*Factors!DF3+SQRT(Parameters!$B$6)*Factors!DF6+SQRT(Parameters!$B$7)*Factors!DF9+SQRT(Parameters!$B$9)*NORM.S.INV(RAND())</f>
        <v/>
      </c>
      <c r="DG7" s="19">
        <f>SQRT(Parameters!$B$5)*Factors!DG3+SQRT(Parameters!$B$6)*Factors!DG6+SQRT(Parameters!$B$7)*Factors!DG9+SQRT(Parameters!$B$9)*NORM.S.INV(RAND())</f>
        <v/>
      </c>
      <c r="DH7" s="19">
        <f>SQRT(Parameters!$B$5)*Factors!DH3+SQRT(Parameters!$B$6)*Factors!DH6+SQRT(Parameters!$B$7)*Factors!DH9+SQRT(Parameters!$B$9)*NORM.S.INV(RAND())</f>
        <v/>
      </c>
      <c r="DI7" s="19">
        <f>SQRT(Parameters!$B$5)*Factors!DI3+SQRT(Parameters!$B$6)*Factors!DI6+SQRT(Parameters!$B$7)*Factors!DI9+SQRT(Parameters!$B$9)*NORM.S.INV(RAND())</f>
        <v/>
      </c>
      <c r="DJ7" s="19">
        <f>SQRT(Parameters!$B$5)*Factors!DJ3+SQRT(Parameters!$B$6)*Factors!DJ6+SQRT(Parameters!$B$7)*Factors!DJ9+SQRT(Parameters!$B$9)*NORM.S.INV(RAND())</f>
        <v/>
      </c>
      <c r="DK7" s="19">
        <f>SQRT(Parameters!$B$5)*Factors!DK3+SQRT(Parameters!$B$6)*Factors!DK6+SQRT(Parameters!$B$7)*Factors!DK9+SQRT(Parameters!$B$9)*NORM.S.INV(RAND())</f>
        <v/>
      </c>
      <c r="DL7" s="19">
        <f>SQRT(Parameters!$B$5)*Factors!DL3+SQRT(Parameters!$B$6)*Factors!DL6+SQRT(Parameters!$B$7)*Factors!DL9+SQRT(Parameters!$B$9)*NORM.S.INV(RAND())</f>
        <v/>
      </c>
      <c r="DM7" s="19">
        <f>SQRT(Parameters!$B$5)*Factors!DM3+SQRT(Parameters!$B$6)*Factors!DM6+SQRT(Parameters!$B$7)*Factors!DM9+SQRT(Parameters!$B$9)*NORM.S.INV(RAND())</f>
        <v/>
      </c>
      <c r="DN7" s="19">
        <f>SQRT(Parameters!$B$5)*Factors!DN3+SQRT(Parameters!$B$6)*Factors!DN6+SQRT(Parameters!$B$7)*Factors!DN9+SQRT(Parameters!$B$9)*NORM.S.INV(RAND())</f>
        <v/>
      </c>
      <c r="DO7" s="19">
        <f>SQRT(Parameters!$B$5)*Factors!DO3+SQRT(Parameters!$B$6)*Factors!DO6+SQRT(Parameters!$B$7)*Factors!DO9+SQRT(Parameters!$B$9)*NORM.S.INV(RAND())</f>
        <v/>
      </c>
      <c r="DP7" s="19">
        <f>SQRT(Parameters!$B$5)*Factors!DP3+SQRT(Parameters!$B$6)*Factors!DP6+SQRT(Parameters!$B$7)*Factors!DP9+SQRT(Parameters!$B$9)*NORM.S.INV(RAND())</f>
        <v/>
      </c>
      <c r="DQ7" s="19">
        <f>SQRT(Parameters!$B$5)*Factors!DQ3+SQRT(Parameters!$B$6)*Factors!DQ6+SQRT(Parameters!$B$7)*Factors!DQ9+SQRT(Parameters!$B$9)*NORM.S.INV(RAND())</f>
        <v/>
      </c>
      <c r="DR7" s="19">
        <f>SQRT(Parameters!$B$5)*Factors!DR3+SQRT(Parameters!$B$6)*Factors!DR6+SQRT(Parameters!$B$7)*Factors!DR9+SQRT(Parameters!$B$9)*NORM.S.INV(RAND())</f>
        <v/>
      </c>
      <c r="DS7" s="19">
        <f>SQRT(Parameters!$B$5)*Factors!DS3+SQRT(Parameters!$B$6)*Factors!DS6+SQRT(Parameters!$B$7)*Factors!DS9+SQRT(Parameters!$B$9)*NORM.S.INV(RAND())</f>
        <v/>
      </c>
      <c r="DT7" s="19">
        <f>SQRT(Parameters!$B$5)*Factors!DT3+SQRT(Parameters!$B$6)*Factors!DT6+SQRT(Parameters!$B$7)*Factors!DT9+SQRT(Parameters!$B$9)*NORM.S.INV(RAND())</f>
        <v/>
      </c>
      <c r="DU7" s="19">
        <f>SQRT(Parameters!$B$5)*Factors!DU3+SQRT(Parameters!$B$6)*Factors!DU6+SQRT(Parameters!$B$7)*Factors!DU9+SQRT(Parameters!$B$9)*NORM.S.INV(RAND())</f>
        <v/>
      </c>
      <c r="DV7" s="19">
        <f>SQRT(Parameters!$B$5)*Factors!DV3+SQRT(Parameters!$B$6)*Factors!DV6+SQRT(Parameters!$B$7)*Factors!DV9+SQRT(Parameters!$B$9)*NORM.S.INV(RAND())</f>
        <v/>
      </c>
      <c r="DW7" s="19">
        <f>SQRT(Parameters!$B$5)*Factors!DW3+SQRT(Parameters!$B$6)*Factors!DW6+SQRT(Parameters!$B$7)*Factors!DW9+SQRT(Parameters!$B$9)*NORM.S.INV(RAND())</f>
        <v/>
      </c>
      <c r="DX7" s="19">
        <f>SQRT(Parameters!$B$5)*Factors!DX3+SQRT(Parameters!$B$6)*Factors!DX6+SQRT(Parameters!$B$7)*Factors!DX9+SQRT(Parameters!$B$9)*NORM.S.INV(RAND())</f>
        <v/>
      </c>
      <c r="DY7" s="19">
        <f>SQRT(Parameters!$B$5)*Factors!DY3+SQRT(Parameters!$B$6)*Factors!DY6+SQRT(Parameters!$B$7)*Factors!DY9+SQRT(Parameters!$B$9)*NORM.S.INV(RAND())</f>
        <v/>
      </c>
      <c r="DZ7" s="19">
        <f>SQRT(Parameters!$B$5)*Factors!DZ3+SQRT(Parameters!$B$6)*Factors!DZ6+SQRT(Parameters!$B$7)*Factors!DZ9+SQRT(Parameters!$B$9)*NORM.S.INV(RAND())</f>
        <v/>
      </c>
      <c r="EA7" s="19">
        <f>SQRT(Parameters!$B$5)*Factors!EA3+SQRT(Parameters!$B$6)*Factors!EA6+SQRT(Parameters!$B$7)*Factors!EA9+SQRT(Parameters!$B$9)*NORM.S.INV(RAND())</f>
        <v/>
      </c>
      <c r="EB7" s="19">
        <f>SQRT(Parameters!$B$5)*Factors!EB3+SQRT(Parameters!$B$6)*Factors!EB6+SQRT(Parameters!$B$7)*Factors!EB9+SQRT(Parameters!$B$9)*NORM.S.INV(RAND())</f>
        <v/>
      </c>
      <c r="EC7" s="19">
        <f>SQRT(Parameters!$B$5)*Factors!EC3+SQRT(Parameters!$B$6)*Factors!EC6+SQRT(Parameters!$B$7)*Factors!EC9+SQRT(Parameters!$B$9)*NORM.S.INV(RAND())</f>
        <v/>
      </c>
      <c r="ED7" s="19">
        <f>SQRT(Parameters!$B$5)*Factors!ED3+SQRT(Parameters!$B$6)*Factors!ED6+SQRT(Parameters!$B$7)*Factors!ED9+SQRT(Parameters!$B$9)*NORM.S.INV(RAND())</f>
        <v/>
      </c>
      <c r="EE7" s="19">
        <f>SQRT(Parameters!$B$5)*Factors!EE3+SQRT(Parameters!$B$6)*Factors!EE6+SQRT(Parameters!$B$7)*Factors!EE9+SQRT(Parameters!$B$9)*NORM.S.INV(RAND())</f>
        <v/>
      </c>
      <c r="EF7" s="19">
        <f>SQRT(Parameters!$B$5)*Factors!EF3+SQRT(Parameters!$B$6)*Factors!EF6+SQRT(Parameters!$B$7)*Factors!EF9+SQRT(Parameters!$B$9)*NORM.S.INV(RAND())</f>
        <v/>
      </c>
      <c r="EG7" s="19">
        <f>SQRT(Parameters!$B$5)*Factors!EG3+SQRT(Parameters!$B$6)*Factors!EG6+SQRT(Parameters!$B$7)*Factors!EG9+SQRT(Parameters!$B$9)*NORM.S.INV(RAND())</f>
        <v/>
      </c>
      <c r="EH7" s="19">
        <f>SQRT(Parameters!$B$5)*Factors!EH3+SQRT(Parameters!$B$6)*Factors!EH6+SQRT(Parameters!$B$7)*Factors!EH9+SQRT(Parameters!$B$9)*NORM.S.INV(RAND())</f>
        <v/>
      </c>
      <c r="EI7" s="19">
        <f>SQRT(Parameters!$B$5)*Factors!EI3+SQRT(Parameters!$B$6)*Factors!EI6+SQRT(Parameters!$B$7)*Factors!EI9+SQRT(Parameters!$B$9)*NORM.S.INV(RAND())</f>
        <v/>
      </c>
      <c r="EJ7" s="19">
        <f>SQRT(Parameters!$B$5)*Factors!EJ3+SQRT(Parameters!$B$6)*Factors!EJ6+SQRT(Parameters!$B$7)*Factors!EJ9+SQRT(Parameters!$B$9)*NORM.S.INV(RAND())</f>
        <v/>
      </c>
      <c r="EK7" s="19">
        <f>SQRT(Parameters!$B$5)*Factors!EK3+SQRT(Parameters!$B$6)*Factors!EK6+SQRT(Parameters!$B$7)*Factors!EK9+SQRT(Parameters!$B$9)*NORM.S.INV(RAND())</f>
        <v/>
      </c>
      <c r="EL7" s="19">
        <f>SQRT(Parameters!$B$5)*Factors!EL3+SQRT(Parameters!$B$6)*Factors!EL6+SQRT(Parameters!$B$7)*Factors!EL9+SQRT(Parameters!$B$9)*NORM.S.INV(RAND())</f>
        <v/>
      </c>
      <c r="EM7" s="19">
        <f>SQRT(Parameters!$B$5)*Factors!EM3+SQRT(Parameters!$B$6)*Factors!EM6+SQRT(Parameters!$B$7)*Factors!EM9+SQRT(Parameters!$B$9)*NORM.S.INV(RAND())</f>
        <v/>
      </c>
      <c r="EN7" s="19">
        <f>SQRT(Parameters!$B$5)*Factors!EN3+SQRT(Parameters!$B$6)*Factors!EN6+SQRT(Parameters!$B$7)*Factors!EN9+SQRT(Parameters!$B$9)*NORM.S.INV(RAND())</f>
        <v/>
      </c>
      <c r="EO7" s="19">
        <f>SQRT(Parameters!$B$5)*Factors!EO3+SQRT(Parameters!$B$6)*Factors!EO6+SQRT(Parameters!$B$7)*Factors!EO9+SQRT(Parameters!$B$9)*NORM.S.INV(RAND())</f>
        <v/>
      </c>
      <c r="EP7" s="19">
        <f>SQRT(Parameters!$B$5)*Factors!EP3+SQRT(Parameters!$B$6)*Factors!EP6+SQRT(Parameters!$B$7)*Factors!EP9+SQRT(Parameters!$B$9)*NORM.S.INV(RAND())</f>
        <v/>
      </c>
      <c r="EQ7" s="19">
        <f>SQRT(Parameters!$B$5)*Factors!EQ3+SQRT(Parameters!$B$6)*Factors!EQ6+SQRT(Parameters!$B$7)*Factors!EQ9+SQRT(Parameters!$B$9)*NORM.S.INV(RAND())</f>
        <v/>
      </c>
      <c r="ER7" s="19">
        <f>SQRT(Parameters!$B$5)*Factors!ER3+SQRT(Parameters!$B$6)*Factors!ER6+SQRT(Parameters!$B$7)*Factors!ER9+SQRT(Parameters!$B$9)*NORM.S.INV(RAND())</f>
        <v/>
      </c>
      <c r="ES7" s="19">
        <f>SQRT(Parameters!$B$5)*Factors!ES3+SQRT(Parameters!$B$6)*Factors!ES6+SQRT(Parameters!$B$7)*Factors!ES9+SQRT(Parameters!$B$9)*NORM.S.INV(RAND())</f>
        <v/>
      </c>
      <c r="ET7" s="19">
        <f>SQRT(Parameters!$B$5)*Factors!ET3+SQRT(Parameters!$B$6)*Factors!ET6+SQRT(Parameters!$B$7)*Factors!ET9+SQRT(Parameters!$B$9)*NORM.S.INV(RAND())</f>
        <v/>
      </c>
      <c r="EU7" s="19">
        <f>SQRT(Parameters!$B$5)*Factors!EU3+SQRT(Parameters!$B$6)*Factors!EU6+SQRT(Parameters!$B$7)*Factors!EU9+SQRT(Parameters!$B$9)*NORM.S.INV(RAND())</f>
        <v/>
      </c>
      <c r="EV7" s="19">
        <f>SQRT(Parameters!$B$5)*Factors!EV3+SQRT(Parameters!$B$6)*Factors!EV6+SQRT(Parameters!$B$7)*Factors!EV9+SQRT(Parameters!$B$9)*NORM.S.INV(RAND())</f>
        <v/>
      </c>
      <c r="EW7" s="19">
        <f>SQRT(Parameters!$B$5)*Factors!EW3+SQRT(Parameters!$B$6)*Factors!EW6+SQRT(Parameters!$B$7)*Factors!EW9+SQRT(Parameters!$B$9)*NORM.S.INV(RAND())</f>
        <v/>
      </c>
      <c r="EX7" s="19">
        <f>SQRT(Parameters!$B$5)*Factors!EX3+SQRT(Parameters!$B$6)*Factors!EX6+SQRT(Parameters!$B$7)*Factors!EX9+SQRT(Parameters!$B$9)*NORM.S.INV(RAND())</f>
        <v/>
      </c>
      <c r="EY7" s="19">
        <f>SQRT(Parameters!$B$5)*Factors!EY3+SQRT(Parameters!$B$6)*Factors!EY6+SQRT(Parameters!$B$7)*Factors!EY9+SQRT(Parameters!$B$9)*NORM.S.INV(RAND())</f>
        <v/>
      </c>
      <c r="EZ7" s="19">
        <f>SQRT(Parameters!$B$5)*Factors!EZ3+SQRT(Parameters!$B$6)*Factors!EZ6+SQRT(Parameters!$B$7)*Factors!EZ9+SQRT(Parameters!$B$9)*NORM.S.INV(RAND())</f>
        <v/>
      </c>
      <c r="FA7" s="19">
        <f>SQRT(Parameters!$B$5)*Factors!FA3+SQRT(Parameters!$B$6)*Factors!FA6+SQRT(Parameters!$B$7)*Factors!FA9+SQRT(Parameters!$B$9)*NORM.S.INV(RAND())</f>
        <v/>
      </c>
      <c r="FB7" s="19">
        <f>SQRT(Parameters!$B$5)*Factors!FB3+SQRT(Parameters!$B$6)*Factors!FB6+SQRT(Parameters!$B$7)*Factors!FB9+SQRT(Parameters!$B$9)*NORM.S.INV(RAND())</f>
        <v/>
      </c>
      <c r="FC7" s="19">
        <f>SQRT(Parameters!$B$5)*Factors!FC3+SQRT(Parameters!$B$6)*Factors!FC6+SQRT(Parameters!$B$7)*Factors!FC9+SQRT(Parameters!$B$9)*NORM.S.INV(RAND())</f>
        <v/>
      </c>
      <c r="FD7" s="19">
        <f>SQRT(Parameters!$B$5)*Factors!FD3+SQRT(Parameters!$B$6)*Factors!FD6+SQRT(Parameters!$B$7)*Factors!FD9+SQRT(Parameters!$B$9)*NORM.S.INV(RAND())</f>
        <v/>
      </c>
      <c r="FE7" s="19">
        <f>SQRT(Parameters!$B$5)*Factors!FE3+SQRT(Parameters!$B$6)*Factors!FE6+SQRT(Parameters!$B$7)*Factors!FE9+SQRT(Parameters!$B$9)*NORM.S.INV(RAND())</f>
        <v/>
      </c>
      <c r="FF7" s="19">
        <f>SQRT(Parameters!$B$5)*Factors!FF3+SQRT(Parameters!$B$6)*Factors!FF6+SQRT(Parameters!$B$7)*Factors!FF9+SQRT(Parameters!$B$9)*NORM.S.INV(RAND())</f>
        <v/>
      </c>
      <c r="FG7" s="19">
        <f>SQRT(Parameters!$B$5)*Factors!FG3+SQRT(Parameters!$B$6)*Factors!FG6+SQRT(Parameters!$B$7)*Factors!FG9+SQRT(Parameters!$B$9)*NORM.S.INV(RAND())</f>
        <v/>
      </c>
      <c r="FH7" s="19">
        <f>SQRT(Parameters!$B$5)*Factors!FH3+SQRT(Parameters!$B$6)*Factors!FH6+SQRT(Parameters!$B$7)*Factors!FH9+SQRT(Parameters!$B$9)*NORM.S.INV(RAND())</f>
        <v/>
      </c>
      <c r="FI7" s="19">
        <f>SQRT(Parameters!$B$5)*Factors!FI3+SQRT(Parameters!$B$6)*Factors!FI6+SQRT(Parameters!$B$7)*Factors!FI9+SQRT(Parameters!$B$9)*NORM.S.INV(RAND())</f>
        <v/>
      </c>
      <c r="FJ7" s="19">
        <f>SQRT(Parameters!$B$5)*Factors!FJ3+SQRT(Parameters!$B$6)*Factors!FJ6+SQRT(Parameters!$B$7)*Factors!FJ9+SQRT(Parameters!$B$9)*NORM.S.INV(RAND())</f>
        <v/>
      </c>
      <c r="FK7" s="19">
        <f>SQRT(Parameters!$B$5)*Factors!FK3+SQRT(Parameters!$B$6)*Factors!FK6+SQRT(Parameters!$B$7)*Factors!FK9+SQRT(Parameters!$B$9)*NORM.S.INV(RAND())</f>
        <v/>
      </c>
      <c r="FL7" s="19">
        <f>SQRT(Parameters!$B$5)*Factors!FL3+SQRT(Parameters!$B$6)*Factors!FL6+SQRT(Parameters!$B$7)*Factors!FL9+SQRT(Parameters!$B$9)*NORM.S.INV(RAND())</f>
        <v/>
      </c>
      <c r="FM7" s="19">
        <f>SQRT(Parameters!$B$5)*Factors!FM3+SQRT(Parameters!$B$6)*Factors!FM6+SQRT(Parameters!$B$7)*Factors!FM9+SQRT(Parameters!$B$9)*NORM.S.INV(RAND())</f>
        <v/>
      </c>
      <c r="FN7" s="19">
        <f>SQRT(Parameters!$B$5)*Factors!FN3+SQRT(Parameters!$B$6)*Factors!FN6+SQRT(Parameters!$B$7)*Factors!FN9+SQRT(Parameters!$B$9)*NORM.S.INV(RAND())</f>
        <v/>
      </c>
      <c r="FO7" s="19">
        <f>SQRT(Parameters!$B$5)*Factors!FO3+SQRT(Parameters!$B$6)*Factors!FO6+SQRT(Parameters!$B$7)*Factors!FO9+SQRT(Parameters!$B$9)*NORM.S.INV(RAND())</f>
        <v/>
      </c>
      <c r="FP7" s="19">
        <f>SQRT(Parameters!$B$5)*Factors!FP3+SQRT(Parameters!$B$6)*Factors!FP6+SQRT(Parameters!$B$7)*Factors!FP9+SQRT(Parameters!$B$9)*NORM.S.INV(RAND())</f>
        <v/>
      </c>
      <c r="FQ7" s="19">
        <f>SQRT(Parameters!$B$5)*Factors!FQ3+SQRT(Parameters!$B$6)*Factors!FQ6+SQRT(Parameters!$B$7)*Factors!FQ9+SQRT(Parameters!$B$9)*NORM.S.INV(RAND())</f>
        <v/>
      </c>
      <c r="FR7" s="19">
        <f>SQRT(Parameters!$B$5)*Factors!FR3+SQRT(Parameters!$B$6)*Factors!FR6+SQRT(Parameters!$B$7)*Factors!FR9+SQRT(Parameters!$B$9)*NORM.S.INV(RAND())</f>
        <v/>
      </c>
      <c r="FS7" s="19">
        <f>SQRT(Parameters!$B$5)*Factors!FS3+SQRT(Parameters!$B$6)*Factors!FS6+SQRT(Parameters!$B$7)*Factors!FS9+SQRT(Parameters!$B$9)*NORM.S.INV(RAND())</f>
        <v/>
      </c>
      <c r="FT7" s="19">
        <f>SQRT(Parameters!$B$5)*Factors!FT3+SQRT(Parameters!$B$6)*Factors!FT6+SQRT(Parameters!$B$7)*Factors!FT9+SQRT(Parameters!$B$9)*NORM.S.INV(RAND())</f>
        <v/>
      </c>
      <c r="FU7" s="19">
        <f>SQRT(Parameters!$B$5)*Factors!FU3+SQRT(Parameters!$B$6)*Factors!FU6+SQRT(Parameters!$B$7)*Factors!FU9+SQRT(Parameters!$B$9)*NORM.S.INV(RAND())</f>
        <v/>
      </c>
      <c r="FV7" s="19">
        <f>SQRT(Parameters!$B$5)*Factors!FV3+SQRT(Parameters!$B$6)*Factors!FV6+SQRT(Parameters!$B$7)*Factors!FV9+SQRT(Parameters!$B$9)*NORM.S.INV(RAND())</f>
        <v/>
      </c>
      <c r="FW7" s="19">
        <f>SQRT(Parameters!$B$5)*Factors!FW3+SQRT(Parameters!$B$6)*Factors!FW6+SQRT(Parameters!$B$7)*Factors!FW9+SQRT(Parameters!$B$9)*NORM.S.INV(RAND())</f>
        <v/>
      </c>
      <c r="FX7" s="19">
        <f>SQRT(Parameters!$B$5)*Factors!FX3+SQRT(Parameters!$B$6)*Factors!FX6+SQRT(Parameters!$B$7)*Factors!FX9+SQRT(Parameters!$B$9)*NORM.S.INV(RAND())</f>
        <v/>
      </c>
      <c r="FY7" s="19">
        <f>SQRT(Parameters!$B$5)*Factors!FY3+SQRT(Parameters!$B$6)*Factors!FY6+SQRT(Parameters!$B$7)*Factors!FY9+SQRT(Parameters!$B$9)*NORM.S.INV(RAND())</f>
        <v/>
      </c>
      <c r="FZ7" s="19">
        <f>SQRT(Parameters!$B$5)*Factors!FZ3+SQRT(Parameters!$B$6)*Factors!FZ6+SQRT(Parameters!$B$7)*Factors!FZ9+SQRT(Parameters!$B$9)*NORM.S.INV(RAND())</f>
        <v/>
      </c>
      <c r="GA7" s="19">
        <f>SQRT(Parameters!$B$5)*Factors!GA3+SQRT(Parameters!$B$6)*Factors!GA6+SQRT(Parameters!$B$7)*Factors!GA9+SQRT(Parameters!$B$9)*NORM.S.INV(RAND())</f>
        <v/>
      </c>
      <c r="GB7" s="19">
        <f>SQRT(Parameters!$B$5)*Factors!GB3+SQRT(Parameters!$B$6)*Factors!GB6+SQRT(Parameters!$B$7)*Factors!GB9+SQRT(Parameters!$B$9)*NORM.S.INV(RAND())</f>
        <v/>
      </c>
      <c r="GC7" s="19">
        <f>SQRT(Parameters!$B$5)*Factors!GC3+SQRT(Parameters!$B$6)*Factors!GC6+SQRT(Parameters!$B$7)*Factors!GC9+SQRT(Parameters!$B$9)*NORM.S.INV(RAND())</f>
        <v/>
      </c>
      <c r="GD7" s="19">
        <f>SQRT(Parameters!$B$5)*Factors!GD3+SQRT(Parameters!$B$6)*Factors!GD6+SQRT(Parameters!$B$7)*Factors!GD9+SQRT(Parameters!$B$9)*NORM.S.INV(RAND())</f>
        <v/>
      </c>
      <c r="GE7" s="19">
        <f>SQRT(Parameters!$B$5)*Factors!GE3+SQRT(Parameters!$B$6)*Factors!GE6+SQRT(Parameters!$B$7)*Factors!GE9+SQRT(Parameters!$B$9)*NORM.S.INV(RAND())</f>
        <v/>
      </c>
      <c r="GF7" s="19">
        <f>SQRT(Parameters!$B$5)*Factors!GF3+SQRT(Parameters!$B$6)*Factors!GF6+SQRT(Parameters!$B$7)*Factors!GF9+SQRT(Parameters!$B$9)*NORM.S.INV(RAND())</f>
        <v/>
      </c>
      <c r="GG7" s="19">
        <f>SQRT(Parameters!$B$5)*Factors!GG3+SQRT(Parameters!$B$6)*Factors!GG6+SQRT(Parameters!$B$7)*Factors!GG9+SQRT(Parameters!$B$9)*NORM.S.INV(RAND())</f>
        <v/>
      </c>
      <c r="GH7" s="19">
        <f>SQRT(Parameters!$B$5)*Factors!GH3+SQRT(Parameters!$B$6)*Factors!GH6+SQRT(Parameters!$B$7)*Factors!GH9+SQRT(Parameters!$B$9)*NORM.S.INV(RAND())</f>
        <v/>
      </c>
      <c r="GI7" s="19">
        <f>SQRT(Parameters!$B$5)*Factors!GI3+SQRT(Parameters!$B$6)*Factors!GI6+SQRT(Parameters!$B$7)*Factors!GI9+SQRT(Parameters!$B$9)*NORM.S.INV(RAND())</f>
        <v/>
      </c>
      <c r="GJ7" s="19">
        <f>SQRT(Parameters!$B$5)*Factors!GJ3+SQRT(Parameters!$B$6)*Factors!GJ6+SQRT(Parameters!$B$7)*Factors!GJ9+SQRT(Parameters!$B$9)*NORM.S.INV(RAND())</f>
        <v/>
      </c>
      <c r="GK7" s="19">
        <f>SQRT(Parameters!$B$5)*Factors!GK3+SQRT(Parameters!$B$6)*Factors!GK6+SQRT(Parameters!$B$7)*Factors!GK9+SQRT(Parameters!$B$9)*NORM.S.INV(RAND())</f>
        <v/>
      </c>
      <c r="GL7" s="19">
        <f>SQRT(Parameters!$B$5)*Factors!GL3+SQRT(Parameters!$B$6)*Factors!GL6+SQRT(Parameters!$B$7)*Factors!GL9+SQRT(Parameters!$B$9)*NORM.S.INV(RAND())</f>
        <v/>
      </c>
      <c r="GM7" s="19">
        <f>SQRT(Parameters!$B$5)*Factors!GM3+SQRT(Parameters!$B$6)*Factors!GM6+SQRT(Parameters!$B$7)*Factors!GM9+SQRT(Parameters!$B$9)*NORM.S.INV(RAND())</f>
        <v/>
      </c>
      <c r="GN7" s="19">
        <f>SQRT(Parameters!$B$5)*Factors!GN3+SQRT(Parameters!$B$6)*Factors!GN6+SQRT(Parameters!$B$7)*Factors!GN9+SQRT(Parameters!$B$9)*NORM.S.INV(RAND())</f>
        <v/>
      </c>
      <c r="GO7" s="19">
        <f>SQRT(Parameters!$B$5)*Factors!GO3+SQRT(Parameters!$B$6)*Factors!GO6+SQRT(Parameters!$B$7)*Factors!GO9+SQRT(Parameters!$B$9)*NORM.S.INV(RAND())</f>
        <v/>
      </c>
      <c r="GP7" s="19">
        <f>SQRT(Parameters!$B$5)*Factors!GP3+SQRT(Parameters!$B$6)*Factors!GP6+SQRT(Parameters!$B$7)*Factors!GP9+SQRT(Parameters!$B$9)*NORM.S.INV(RAND())</f>
        <v/>
      </c>
      <c r="GQ7" s="19">
        <f>SQRT(Parameters!$B$5)*Factors!GQ3+SQRT(Parameters!$B$6)*Factors!GQ6+SQRT(Parameters!$B$7)*Factors!GQ9+SQRT(Parameters!$B$9)*NORM.S.INV(RAND())</f>
        <v/>
      </c>
      <c r="GR7" s="19">
        <f>SQRT(Parameters!$B$5)*Factors!GR3+SQRT(Parameters!$B$6)*Factors!GR6+SQRT(Parameters!$B$7)*Factors!GR9+SQRT(Parameters!$B$9)*NORM.S.INV(RAND())</f>
        <v/>
      </c>
      <c r="GS7" s="19">
        <f>SQRT(Parameters!$B$5)*Factors!GS3+SQRT(Parameters!$B$6)*Factors!GS6+SQRT(Parameters!$B$7)*Factors!GS9+SQRT(Parameters!$B$9)*NORM.S.INV(RAND())</f>
        <v/>
      </c>
      <c r="GT7" s="19">
        <f>SQRT(Parameters!$B$5)*Factors!GT3+SQRT(Parameters!$B$6)*Factors!GT6+SQRT(Parameters!$B$7)*Factors!GT9+SQRT(Parameters!$B$9)*NORM.S.INV(RAND())</f>
        <v/>
      </c>
      <c r="GU7" s="19">
        <f>SQRT(Parameters!$B$5)*Factors!GU3+SQRT(Parameters!$B$6)*Factors!GU6+SQRT(Parameters!$B$7)*Factors!GU9+SQRT(Parameters!$B$9)*NORM.S.INV(RAND())</f>
        <v/>
      </c>
      <c r="GV7" s="19">
        <f>SQRT(Parameters!$B$5)*Factors!GV3+SQRT(Parameters!$B$6)*Factors!GV6+SQRT(Parameters!$B$7)*Factors!GV9+SQRT(Parameters!$B$9)*NORM.S.INV(RAND())</f>
        <v/>
      </c>
      <c r="GW7" s="19">
        <f>SQRT(Parameters!$B$5)*Factors!GW3+SQRT(Parameters!$B$6)*Factors!GW6+SQRT(Parameters!$B$7)*Factors!GW9+SQRT(Parameters!$B$9)*NORM.S.INV(RAND())</f>
        <v/>
      </c>
      <c r="GX7" s="19">
        <f>SQRT(Parameters!$B$5)*Factors!GX3+SQRT(Parameters!$B$6)*Factors!GX6+SQRT(Parameters!$B$7)*Factors!GX9+SQRT(Parameters!$B$9)*NORM.S.INV(RAND())</f>
        <v/>
      </c>
      <c r="GY7" s="19">
        <f>SQRT(Parameters!$B$5)*Factors!GY3+SQRT(Parameters!$B$6)*Factors!GY6+SQRT(Parameters!$B$7)*Factors!GY9+SQRT(Parameters!$B$9)*NORM.S.INV(RAND())</f>
        <v/>
      </c>
      <c r="GZ7" s="19">
        <f>SQRT(Parameters!$B$5)*Factors!GZ3+SQRT(Parameters!$B$6)*Factors!GZ6+SQRT(Parameters!$B$7)*Factors!GZ9+SQRT(Parameters!$B$9)*NORM.S.INV(RAND())</f>
        <v/>
      </c>
      <c r="HA7" s="19">
        <f>SQRT(Parameters!$B$5)*Factors!HA3+SQRT(Parameters!$B$6)*Factors!HA6+SQRT(Parameters!$B$7)*Factors!HA9+SQRT(Parameters!$B$9)*NORM.S.INV(RAND())</f>
        <v/>
      </c>
      <c r="HB7" s="19">
        <f>SQRT(Parameters!$B$5)*Factors!HB3+SQRT(Parameters!$B$6)*Factors!HB6+SQRT(Parameters!$B$7)*Factors!HB9+SQRT(Parameters!$B$9)*NORM.S.INV(RAND())</f>
        <v/>
      </c>
      <c r="HC7" s="19">
        <f>SQRT(Parameters!$B$5)*Factors!HC3+SQRT(Parameters!$B$6)*Factors!HC6+SQRT(Parameters!$B$7)*Factors!HC9+SQRT(Parameters!$B$9)*NORM.S.INV(RAND())</f>
        <v/>
      </c>
      <c r="HD7" s="19">
        <f>SQRT(Parameters!$B$5)*Factors!HD3+SQRT(Parameters!$B$6)*Factors!HD6+SQRT(Parameters!$B$7)*Factors!HD9+SQRT(Parameters!$B$9)*NORM.S.INV(RAND())</f>
        <v/>
      </c>
      <c r="HE7" s="19">
        <f>SQRT(Parameters!$B$5)*Factors!HE3+SQRT(Parameters!$B$6)*Factors!HE6+SQRT(Parameters!$B$7)*Factors!HE9+SQRT(Parameters!$B$9)*NORM.S.INV(RAND())</f>
        <v/>
      </c>
      <c r="HF7" s="19">
        <f>SQRT(Parameters!$B$5)*Factors!HF3+SQRT(Parameters!$B$6)*Factors!HF6+SQRT(Parameters!$B$7)*Factors!HF9+SQRT(Parameters!$B$9)*NORM.S.INV(RAND())</f>
        <v/>
      </c>
      <c r="HG7" s="19">
        <f>SQRT(Parameters!$B$5)*Factors!HG3+SQRT(Parameters!$B$6)*Factors!HG6+SQRT(Parameters!$B$7)*Factors!HG9+SQRT(Parameters!$B$9)*NORM.S.INV(RAND())</f>
        <v/>
      </c>
      <c r="HH7" s="19">
        <f>SQRT(Parameters!$B$5)*Factors!HH3+SQRT(Parameters!$B$6)*Factors!HH6+SQRT(Parameters!$B$7)*Factors!HH9+SQRT(Parameters!$B$9)*NORM.S.INV(RAND())</f>
        <v/>
      </c>
      <c r="HI7" s="19">
        <f>SQRT(Parameters!$B$5)*Factors!HI3+SQRT(Parameters!$B$6)*Factors!HI6+SQRT(Parameters!$B$7)*Factors!HI9+SQRT(Parameters!$B$9)*NORM.S.INV(RAND())</f>
        <v/>
      </c>
      <c r="HJ7" s="19">
        <f>SQRT(Parameters!$B$5)*Factors!HJ3+SQRT(Parameters!$B$6)*Factors!HJ6+SQRT(Parameters!$B$7)*Factors!HJ9+SQRT(Parameters!$B$9)*NORM.S.INV(RAND())</f>
        <v/>
      </c>
      <c r="HK7" s="19">
        <f>SQRT(Parameters!$B$5)*Factors!HK3+SQRT(Parameters!$B$6)*Factors!HK6+SQRT(Parameters!$B$7)*Factors!HK9+SQRT(Parameters!$B$9)*NORM.S.INV(RAND())</f>
        <v/>
      </c>
      <c r="HL7" s="19">
        <f>SQRT(Parameters!$B$5)*Factors!HL3+SQRT(Parameters!$B$6)*Factors!HL6+SQRT(Parameters!$B$7)*Factors!HL9+SQRT(Parameters!$B$9)*NORM.S.INV(RAND())</f>
        <v/>
      </c>
      <c r="HM7" s="19">
        <f>SQRT(Parameters!$B$5)*Factors!HM3+SQRT(Parameters!$B$6)*Factors!HM6+SQRT(Parameters!$B$7)*Factors!HM9+SQRT(Parameters!$B$9)*NORM.S.INV(RAND())</f>
        <v/>
      </c>
      <c r="HN7" s="19">
        <f>SQRT(Parameters!$B$5)*Factors!HN3+SQRT(Parameters!$B$6)*Factors!HN6+SQRT(Parameters!$B$7)*Factors!HN9+SQRT(Parameters!$B$9)*NORM.S.INV(RAND())</f>
        <v/>
      </c>
      <c r="HO7" s="19">
        <f>SQRT(Parameters!$B$5)*Factors!HO3+SQRT(Parameters!$B$6)*Factors!HO6+SQRT(Parameters!$B$7)*Factors!HO9+SQRT(Parameters!$B$9)*NORM.S.INV(RAND())</f>
        <v/>
      </c>
      <c r="HP7" s="19">
        <f>SQRT(Parameters!$B$5)*Factors!HP3+SQRT(Parameters!$B$6)*Factors!HP6+SQRT(Parameters!$B$7)*Factors!HP9+SQRT(Parameters!$B$9)*NORM.S.INV(RAND())</f>
        <v/>
      </c>
      <c r="HQ7" s="19">
        <f>SQRT(Parameters!$B$5)*Factors!HQ3+SQRT(Parameters!$B$6)*Factors!HQ6+SQRT(Parameters!$B$7)*Factors!HQ9+SQRT(Parameters!$B$9)*NORM.S.INV(RAND())</f>
        <v/>
      </c>
      <c r="HR7" s="19">
        <f>SQRT(Parameters!$B$5)*Factors!HR3+SQRT(Parameters!$B$6)*Factors!HR6+SQRT(Parameters!$B$7)*Factors!HR9+SQRT(Parameters!$B$9)*NORM.S.INV(RAND())</f>
        <v/>
      </c>
      <c r="HS7" s="19">
        <f>SQRT(Parameters!$B$5)*Factors!HS3+SQRT(Parameters!$B$6)*Factors!HS6+SQRT(Parameters!$B$7)*Factors!HS9+SQRT(Parameters!$B$9)*NORM.S.INV(RAND())</f>
        <v/>
      </c>
      <c r="HT7" s="19">
        <f>SQRT(Parameters!$B$5)*Factors!HT3+SQRT(Parameters!$B$6)*Factors!HT6+SQRT(Parameters!$B$7)*Factors!HT9+SQRT(Parameters!$B$9)*NORM.S.INV(RAND())</f>
        <v/>
      </c>
      <c r="HU7" s="19">
        <f>SQRT(Parameters!$B$5)*Factors!HU3+SQRT(Parameters!$B$6)*Factors!HU6+SQRT(Parameters!$B$7)*Factors!HU9+SQRT(Parameters!$B$9)*NORM.S.INV(RAND())</f>
        <v/>
      </c>
      <c r="HV7" s="19">
        <f>SQRT(Parameters!$B$5)*Factors!HV3+SQRT(Parameters!$B$6)*Factors!HV6+SQRT(Parameters!$B$7)*Factors!HV9+SQRT(Parameters!$B$9)*NORM.S.INV(RAND())</f>
        <v/>
      </c>
      <c r="HW7" s="19">
        <f>SQRT(Parameters!$B$5)*Factors!HW3+SQRT(Parameters!$B$6)*Factors!HW6+SQRT(Parameters!$B$7)*Factors!HW9+SQRT(Parameters!$B$9)*NORM.S.INV(RAND())</f>
        <v/>
      </c>
      <c r="HX7" s="19">
        <f>SQRT(Parameters!$B$5)*Factors!HX3+SQRT(Parameters!$B$6)*Factors!HX6+SQRT(Parameters!$B$7)*Factors!HX9+SQRT(Parameters!$B$9)*NORM.S.INV(RAND())</f>
        <v/>
      </c>
      <c r="HY7" s="19">
        <f>SQRT(Parameters!$B$5)*Factors!HY3+SQRT(Parameters!$B$6)*Factors!HY6+SQRT(Parameters!$B$7)*Factors!HY9+SQRT(Parameters!$B$9)*NORM.S.INV(RAND())</f>
        <v/>
      </c>
      <c r="HZ7" s="19">
        <f>SQRT(Parameters!$B$5)*Factors!HZ3+SQRT(Parameters!$B$6)*Factors!HZ6+SQRT(Parameters!$B$7)*Factors!HZ9+SQRT(Parameters!$B$9)*NORM.S.INV(RAND())</f>
        <v/>
      </c>
      <c r="IA7" s="19">
        <f>SQRT(Parameters!$B$5)*Factors!IA3+SQRT(Parameters!$B$6)*Factors!IA6+SQRT(Parameters!$B$7)*Factors!IA9+SQRT(Parameters!$B$9)*NORM.S.INV(RAND())</f>
        <v/>
      </c>
      <c r="IB7" s="19">
        <f>SQRT(Parameters!$B$5)*Factors!IB3+SQRT(Parameters!$B$6)*Factors!IB6+SQRT(Parameters!$B$7)*Factors!IB9+SQRT(Parameters!$B$9)*NORM.S.INV(RAND())</f>
        <v/>
      </c>
      <c r="IC7" s="19">
        <f>SQRT(Parameters!$B$5)*Factors!IC3+SQRT(Parameters!$B$6)*Factors!IC6+SQRT(Parameters!$B$7)*Factors!IC9+SQRT(Parameters!$B$9)*NORM.S.INV(RAND())</f>
        <v/>
      </c>
      <c r="ID7" s="19">
        <f>SQRT(Parameters!$B$5)*Factors!ID3+SQRT(Parameters!$B$6)*Factors!ID6+SQRT(Parameters!$B$7)*Factors!ID9+SQRT(Parameters!$B$9)*NORM.S.INV(RAND())</f>
        <v/>
      </c>
      <c r="IE7" s="19">
        <f>SQRT(Parameters!$B$5)*Factors!IE3+SQRT(Parameters!$B$6)*Factors!IE6+SQRT(Parameters!$B$7)*Factors!IE9+SQRT(Parameters!$B$9)*NORM.S.INV(RAND())</f>
        <v/>
      </c>
      <c r="IF7" s="19">
        <f>SQRT(Parameters!$B$5)*Factors!IF3+SQRT(Parameters!$B$6)*Factors!IF6+SQRT(Parameters!$B$7)*Factors!IF9+SQRT(Parameters!$B$9)*NORM.S.INV(RAND())</f>
        <v/>
      </c>
      <c r="IG7" s="19">
        <f>SQRT(Parameters!$B$5)*Factors!IG3+SQRT(Parameters!$B$6)*Factors!IG6+SQRT(Parameters!$B$7)*Factors!IG9+SQRT(Parameters!$B$9)*NORM.S.INV(RAND())</f>
        <v/>
      </c>
      <c r="IH7" s="19">
        <f>SQRT(Parameters!$B$5)*Factors!IH3+SQRT(Parameters!$B$6)*Factors!IH6+SQRT(Parameters!$B$7)*Factors!IH9+SQRT(Parameters!$B$9)*NORM.S.INV(RAND())</f>
        <v/>
      </c>
      <c r="II7" s="19">
        <f>SQRT(Parameters!$B$5)*Factors!II3+SQRT(Parameters!$B$6)*Factors!II6+SQRT(Parameters!$B$7)*Factors!II9+SQRT(Parameters!$B$9)*NORM.S.INV(RAND())</f>
        <v/>
      </c>
      <c r="IJ7" s="19">
        <f>SQRT(Parameters!$B$5)*Factors!IJ3+SQRT(Parameters!$B$6)*Factors!IJ6+SQRT(Parameters!$B$7)*Factors!IJ9+SQRT(Parameters!$B$9)*NORM.S.INV(RAND())</f>
        <v/>
      </c>
      <c r="IK7" s="19">
        <f>SQRT(Parameters!$B$5)*Factors!IK3+SQRT(Parameters!$B$6)*Factors!IK6+SQRT(Parameters!$B$7)*Factors!IK9+SQRT(Parameters!$B$9)*NORM.S.INV(RAND())</f>
        <v/>
      </c>
      <c r="IL7" s="19">
        <f>SQRT(Parameters!$B$5)*Factors!IL3+SQRT(Parameters!$B$6)*Factors!IL6+SQRT(Parameters!$B$7)*Factors!IL9+SQRT(Parameters!$B$9)*NORM.S.INV(RAND())</f>
        <v/>
      </c>
      <c r="IM7" s="19">
        <f>SQRT(Parameters!$B$5)*Factors!IM3+SQRT(Parameters!$B$6)*Factors!IM6+SQRT(Parameters!$B$7)*Factors!IM9+SQRT(Parameters!$B$9)*NORM.S.INV(RAND())</f>
        <v/>
      </c>
      <c r="IN7" s="19">
        <f>SQRT(Parameters!$B$5)*Factors!IN3+SQRT(Parameters!$B$6)*Factors!IN6+SQRT(Parameters!$B$7)*Factors!IN9+SQRT(Parameters!$B$9)*NORM.S.INV(RAND())</f>
        <v/>
      </c>
      <c r="IO7" s="19">
        <f>SQRT(Parameters!$B$5)*Factors!IO3+SQRT(Parameters!$B$6)*Factors!IO6+SQRT(Parameters!$B$7)*Factors!IO9+SQRT(Parameters!$B$9)*NORM.S.INV(RAND())</f>
        <v/>
      </c>
      <c r="IP7" s="19">
        <f>SQRT(Parameters!$B$5)*Factors!IP3+SQRT(Parameters!$B$6)*Factors!IP6+SQRT(Parameters!$B$7)*Factors!IP9+SQRT(Parameters!$B$9)*NORM.S.INV(RAND())</f>
        <v/>
      </c>
      <c r="IQ7" s="19">
        <f>SQRT(Parameters!$B$5)*Factors!IQ3+SQRT(Parameters!$B$6)*Factors!IQ6+SQRT(Parameters!$B$7)*Factors!IQ9+SQRT(Parameters!$B$9)*NORM.S.INV(RAND())</f>
        <v/>
      </c>
      <c r="IR7" s="19">
        <f>SQRT(Parameters!$B$5)*Factors!IR3+SQRT(Parameters!$B$6)*Factors!IR6+SQRT(Parameters!$B$7)*Factors!IR9+SQRT(Parameters!$B$9)*NORM.S.INV(RAND())</f>
        <v/>
      </c>
      <c r="IS7" s="19">
        <f>SQRT(Parameters!$B$5)*Factors!IS3+SQRT(Parameters!$B$6)*Factors!IS6+SQRT(Parameters!$B$7)*Factors!IS9+SQRT(Parameters!$B$9)*NORM.S.INV(RAND())</f>
        <v/>
      </c>
      <c r="IT7" s="19">
        <f>SQRT(Parameters!$B$5)*Factors!IT3+SQRT(Parameters!$B$6)*Factors!IT6+SQRT(Parameters!$B$7)*Factors!IT9+SQRT(Parameters!$B$9)*NORM.S.INV(RAND())</f>
        <v/>
      </c>
      <c r="IU7" s="19">
        <f>SQRT(Parameters!$B$5)*Factors!IU3+SQRT(Parameters!$B$6)*Factors!IU6+SQRT(Parameters!$B$7)*Factors!IU9+SQRT(Parameters!$B$9)*NORM.S.INV(RAND())</f>
        <v/>
      </c>
      <c r="IV7" s="19">
        <f>SQRT(Parameters!$B$5)*Factors!IV3+SQRT(Parameters!$B$6)*Factors!IV6+SQRT(Parameters!$B$7)*Factors!IV9+SQRT(Parameters!$B$9)*NORM.S.INV(RAND())</f>
        <v/>
      </c>
      <c r="IW7" s="19">
        <f>SQRT(Parameters!$B$5)*Factors!IW3+SQRT(Parameters!$B$6)*Factors!IW6+SQRT(Parameters!$B$7)*Factors!IW9+SQRT(Parameters!$B$9)*NORM.S.INV(RAND())</f>
        <v/>
      </c>
      <c r="IX7" s="19">
        <f>SQRT(Parameters!$B$5)*Factors!IX3+SQRT(Parameters!$B$6)*Factors!IX6+SQRT(Parameters!$B$7)*Factors!IX9+SQRT(Parameters!$B$9)*NORM.S.INV(RAND())</f>
        <v/>
      </c>
      <c r="IY7" s="19">
        <f>SQRT(Parameters!$B$5)*Factors!IY3+SQRT(Parameters!$B$6)*Factors!IY6+SQRT(Parameters!$B$7)*Factors!IY9+SQRT(Parameters!$B$9)*NORM.S.INV(RAND())</f>
        <v/>
      </c>
      <c r="IZ7" s="19">
        <f>SQRT(Parameters!$B$5)*Factors!IZ3+SQRT(Parameters!$B$6)*Factors!IZ6+SQRT(Parameters!$B$7)*Factors!IZ9+SQRT(Parameters!$B$9)*NORM.S.INV(RAND())</f>
        <v/>
      </c>
      <c r="JA7" s="19">
        <f>SQRT(Parameters!$B$5)*Factors!JA3+SQRT(Parameters!$B$6)*Factors!JA6+SQRT(Parameters!$B$7)*Factors!JA9+SQRT(Parameters!$B$9)*NORM.S.INV(RAND())</f>
        <v/>
      </c>
      <c r="JB7" s="19">
        <f>SQRT(Parameters!$B$5)*Factors!JB3+SQRT(Parameters!$B$6)*Factors!JB6+SQRT(Parameters!$B$7)*Factors!JB9+SQRT(Parameters!$B$9)*NORM.S.INV(RAND())</f>
        <v/>
      </c>
      <c r="JC7" s="19">
        <f>SQRT(Parameters!$B$5)*Factors!JC3+SQRT(Parameters!$B$6)*Factors!JC6+SQRT(Parameters!$B$7)*Factors!JC9+SQRT(Parameters!$B$9)*NORM.S.INV(RAND())</f>
        <v/>
      </c>
      <c r="JD7" s="19">
        <f>SQRT(Parameters!$B$5)*Factors!JD3+SQRT(Parameters!$B$6)*Factors!JD6+SQRT(Parameters!$B$7)*Factors!JD9+SQRT(Parameters!$B$9)*NORM.S.INV(RAND())</f>
        <v/>
      </c>
      <c r="JE7" s="19">
        <f>SQRT(Parameters!$B$5)*Factors!JE3+SQRT(Parameters!$B$6)*Factors!JE6+SQRT(Parameters!$B$7)*Factors!JE9+SQRT(Parameters!$B$9)*NORM.S.INV(RAND())</f>
        <v/>
      </c>
      <c r="JF7" s="19">
        <f>SQRT(Parameters!$B$5)*Factors!JF3+SQRT(Parameters!$B$6)*Factors!JF6+SQRT(Parameters!$B$7)*Factors!JF9+SQRT(Parameters!$B$9)*NORM.S.INV(RAND())</f>
        <v/>
      </c>
      <c r="JG7" s="19">
        <f>SQRT(Parameters!$B$5)*Factors!JG3+SQRT(Parameters!$B$6)*Factors!JG6+SQRT(Parameters!$B$7)*Factors!JG9+SQRT(Parameters!$B$9)*NORM.S.INV(RAND())</f>
        <v/>
      </c>
      <c r="JH7" s="19">
        <f>SQRT(Parameters!$B$5)*Factors!JH3+SQRT(Parameters!$B$6)*Factors!JH6+SQRT(Parameters!$B$7)*Factors!JH9+SQRT(Parameters!$B$9)*NORM.S.INV(RAND())</f>
        <v/>
      </c>
      <c r="JI7" s="19">
        <f>SQRT(Parameters!$B$5)*Factors!JI3+SQRT(Parameters!$B$6)*Factors!JI6+SQRT(Parameters!$B$7)*Factors!JI9+SQRT(Parameters!$B$9)*NORM.S.INV(RAND())</f>
        <v/>
      </c>
      <c r="JJ7" s="19">
        <f>SQRT(Parameters!$B$5)*Factors!JJ3+SQRT(Parameters!$B$6)*Factors!JJ6+SQRT(Parameters!$B$7)*Factors!JJ9+SQRT(Parameters!$B$9)*NORM.S.INV(RAND())</f>
        <v/>
      </c>
      <c r="JK7" s="19">
        <f>SQRT(Parameters!$B$5)*Factors!JK3+SQRT(Parameters!$B$6)*Factors!JK6+SQRT(Parameters!$B$7)*Factors!JK9+SQRT(Parameters!$B$9)*NORM.S.INV(RAND())</f>
        <v/>
      </c>
      <c r="JL7" s="19">
        <f>SQRT(Parameters!$B$5)*Factors!JL3+SQRT(Parameters!$B$6)*Factors!JL6+SQRT(Parameters!$B$7)*Factors!JL9+SQRT(Parameters!$B$9)*NORM.S.INV(RAND())</f>
        <v/>
      </c>
      <c r="JM7" s="19">
        <f>SQRT(Parameters!$B$5)*Factors!JM3+SQRT(Parameters!$B$6)*Factors!JM6+SQRT(Parameters!$B$7)*Factors!JM9+SQRT(Parameters!$B$9)*NORM.S.INV(RAND())</f>
        <v/>
      </c>
      <c r="JN7" s="19">
        <f>SQRT(Parameters!$B$5)*Factors!JN3+SQRT(Parameters!$B$6)*Factors!JN6+SQRT(Parameters!$B$7)*Factors!JN9+SQRT(Parameters!$B$9)*NORM.S.INV(RAND())</f>
        <v/>
      </c>
      <c r="JO7" s="19">
        <f>SQRT(Parameters!$B$5)*Factors!JO3+SQRT(Parameters!$B$6)*Factors!JO6+SQRT(Parameters!$B$7)*Factors!JO9+SQRT(Parameters!$B$9)*NORM.S.INV(RAND())</f>
        <v/>
      </c>
      <c r="JP7" s="19">
        <f>SQRT(Parameters!$B$5)*Factors!JP3+SQRT(Parameters!$B$6)*Factors!JP6+SQRT(Parameters!$B$7)*Factors!JP9+SQRT(Parameters!$B$9)*NORM.S.INV(RAND())</f>
        <v/>
      </c>
      <c r="JQ7" s="19">
        <f>SQRT(Parameters!$B$5)*Factors!JQ3+SQRT(Parameters!$B$6)*Factors!JQ6+SQRT(Parameters!$B$7)*Factors!JQ9+SQRT(Parameters!$B$9)*NORM.S.INV(RAND())</f>
        <v/>
      </c>
      <c r="JR7" s="19">
        <f>SQRT(Parameters!$B$5)*Factors!JR3+SQRT(Parameters!$B$6)*Factors!JR6+SQRT(Parameters!$B$7)*Factors!JR9+SQRT(Parameters!$B$9)*NORM.S.INV(RAND())</f>
        <v/>
      </c>
      <c r="JS7" s="19">
        <f>SQRT(Parameters!$B$5)*Factors!JS3+SQRT(Parameters!$B$6)*Factors!JS6+SQRT(Parameters!$B$7)*Factors!JS9+SQRT(Parameters!$B$9)*NORM.S.INV(RAND())</f>
        <v/>
      </c>
      <c r="JT7" s="19">
        <f>SQRT(Parameters!$B$5)*Factors!JT3+SQRT(Parameters!$B$6)*Factors!JT6+SQRT(Parameters!$B$7)*Factors!JT9+SQRT(Parameters!$B$9)*NORM.S.INV(RAND())</f>
        <v/>
      </c>
      <c r="JU7" s="19">
        <f>SQRT(Parameters!$B$5)*Factors!JU3+SQRT(Parameters!$B$6)*Factors!JU6+SQRT(Parameters!$B$7)*Factors!JU9+SQRT(Parameters!$B$9)*NORM.S.INV(RAND())</f>
        <v/>
      </c>
      <c r="JV7" s="19">
        <f>SQRT(Parameters!$B$5)*Factors!JV3+SQRT(Parameters!$B$6)*Factors!JV6+SQRT(Parameters!$B$7)*Factors!JV9+SQRT(Parameters!$B$9)*NORM.S.INV(RAND())</f>
        <v/>
      </c>
      <c r="JW7" s="19">
        <f>SQRT(Parameters!$B$5)*Factors!JW3+SQRT(Parameters!$B$6)*Factors!JW6+SQRT(Parameters!$B$7)*Factors!JW9+SQRT(Parameters!$B$9)*NORM.S.INV(RAND())</f>
        <v/>
      </c>
      <c r="JX7" s="19">
        <f>SQRT(Parameters!$B$5)*Factors!JX3+SQRT(Parameters!$B$6)*Factors!JX6+SQRT(Parameters!$B$7)*Factors!JX9+SQRT(Parameters!$B$9)*NORM.S.INV(RAND())</f>
        <v/>
      </c>
      <c r="JY7" s="19">
        <f>SQRT(Parameters!$B$5)*Factors!JY3+SQRT(Parameters!$B$6)*Factors!JY6+SQRT(Parameters!$B$7)*Factors!JY9+SQRT(Parameters!$B$9)*NORM.S.INV(RAND())</f>
        <v/>
      </c>
      <c r="JZ7" s="19">
        <f>SQRT(Parameters!$B$5)*Factors!JZ3+SQRT(Parameters!$B$6)*Factors!JZ6+SQRT(Parameters!$B$7)*Factors!JZ9+SQRT(Parameters!$B$9)*NORM.S.INV(RAND())</f>
        <v/>
      </c>
      <c r="KA7" s="19">
        <f>SQRT(Parameters!$B$5)*Factors!KA3+SQRT(Parameters!$B$6)*Factors!KA6+SQRT(Parameters!$B$7)*Factors!KA9+SQRT(Parameters!$B$9)*NORM.S.INV(RAND())</f>
        <v/>
      </c>
      <c r="KB7" s="19">
        <f>SQRT(Parameters!$B$5)*Factors!KB3+SQRT(Parameters!$B$6)*Factors!KB6+SQRT(Parameters!$B$7)*Factors!KB9+SQRT(Parameters!$B$9)*NORM.S.INV(RAND())</f>
        <v/>
      </c>
      <c r="KC7" s="19">
        <f>SQRT(Parameters!$B$5)*Factors!KC3+SQRT(Parameters!$B$6)*Factors!KC6+SQRT(Parameters!$B$7)*Factors!KC9+SQRT(Parameters!$B$9)*NORM.S.INV(RAND())</f>
        <v/>
      </c>
      <c r="KD7" s="19">
        <f>SQRT(Parameters!$B$5)*Factors!KD3+SQRT(Parameters!$B$6)*Factors!KD6+SQRT(Parameters!$B$7)*Factors!KD9+SQRT(Parameters!$B$9)*NORM.S.INV(RAND())</f>
        <v/>
      </c>
      <c r="KE7" s="19">
        <f>SQRT(Parameters!$B$5)*Factors!KE3+SQRT(Parameters!$B$6)*Factors!KE6+SQRT(Parameters!$B$7)*Factors!KE9+SQRT(Parameters!$B$9)*NORM.S.INV(RAND())</f>
        <v/>
      </c>
      <c r="KF7" s="19">
        <f>SQRT(Parameters!$B$5)*Factors!KF3+SQRT(Parameters!$B$6)*Factors!KF6+SQRT(Parameters!$B$7)*Factors!KF9+SQRT(Parameters!$B$9)*NORM.S.INV(RAND())</f>
        <v/>
      </c>
      <c r="KG7" s="19">
        <f>SQRT(Parameters!$B$5)*Factors!KG3+SQRT(Parameters!$B$6)*Factors!KG6+SQRT(Parameters!$B$7)*Factors!KG9+SQRT(Parameters!$B$9)*NORM.S.INV(RAND())</f>
        <v/>
      </c>
      <c r="KH7" s="19">
        <f>SQRT(Parameters!$B$5)*Factors!KH3+SQRT(Parameters!$B$6)*Factors!KH6+SQRT(Parameters!$B$7)*Factors!KH9+SQRT(Parameters!$B$9)*NORM.S.INV(RAND())</f>
        <v/>
      </c>
      <c r="KI7" s="19">
        <f>SQRT(Parameters!$B$5)*Factors!KI3+SQRT(Parameters!$B$6)*Factors!KI6+SQRT(Parameters!$B$7)*Factors!KI9+SQRT(Parameters!$B$9)*NORM.S.INV(RAND())</f>
        <v/>
      </c>
      <c r="KJ7" s="19">
        <f>SQRT(Parameters!$B$5)*Factors!KJ3+SQRT(Parameters!$B$6)*Factors!KJ6+SQRT(Parameters!$B$7)*Factors!KJ9+SQRT(Parameters!$B$9)*NORM.S.INV(RAND())</f>
        <v/>
      </c>
      <c r="KK7" s="19">
        <f>SQRT(Parameters!$B$5)*Factors!KK3+SQRT(Parameters!$B$6)*Factors!KK6+SQRT(Parameters!$B$7)*Factors!KK9+SQRT(Parameters!$B$9)*NORM.S.INV(RAND())</f>
        <v/>
      </c>
      <c r="KL7" s="19">
        <f>SQRT(Parameters!$B$5)*Factors!KL3+SQRT(Parameters!$B$6)*Factors!KL6+SQRT(Parameters!$B$7)*Factors!KL9+SQRT(Parameters!$B$9)*NORM.S.INV(RAND())</f>
        <v/>
      </c>
      <c r="KM7" s="19">
        <f>SQRT(Parameters!$B$5)*Factors!KM3+SQRT(Parameters!$B$6)*Factors!KM6+SQRT(Parameters!$B$7)*Factors!KM9+SQRT(Parameters!$B$9)*NORM.S.INV(RAND())</f>
        <v/>
      </c>
      <c r="KN7" s="19">
        <f>SQRT(Parameters!$B$5)*Factors!KN3+SQRT(Parameters!$B$6)*Factors!KN6+SQRT(Parameters!$B$7)*Factors!KN9+SQRT(Parameters!$B$9)*NORM.S.INV(RAND())</f>
        <v/>
      </c>
      <c r="KO7" s="19">
        <f>SQRT(Parameters!$B$5)*Factors!KO3+SQRT(Parameters!$B$6)*Factors!KO6+SQRT(Parameters!$B$7)*Factors!KO9+SQRT(Parameters!$B$9)*NORM.S.INV(RAND())</f>
        <v/>
      </c>
      <c r="KP7" s="19">
        <f>SQRT(Parameters!$B$5)*Factors!KP3+SQRT(Parameters!$B$6)*Factors!KP6+SQRT(Parameters!$B$7)*Factors!KP9+SQRT(Parameters!$B$9)*NORM.S.INV(RAND())</f>
        <v/>
      </c>
      <c r="KQ7" s="19">
        <f>SQRT(Parameters!$B$5)*Factors!KQ3+SQRT(Parameters!$B$6)*Factors!KQ6+SQRT(Parameters!$B$7)*Factors!KQ9+SQRT(Parameters!$B$9)*NORM.S.INV(RAND())</f>
        <v/>
      </c>
      <c r="KR7" s="19">
        <f>SQRT(Parameters!$B$5)*Factors!KR3+SQRT(Parameters!$B$6)*Factors!KR6+SQRT(Parameters!$B$7)*Factors!KR9+SQRT(Parameters!$B$9)*NORM.S.INV(RAND())</f>
        <v/>
      </c>
      <c r="KS7" s="19">
        <f>SQRT(Parameters!$B$5)*Factors!KS3+SQRT(Parameters!$B$6)*Factors!KS6+SQRT(Parameters!$B$7)*Factors!KS9+SQRT(Parameters!$B$9)*NORM.S.INV(RAND())</f>
        <v/>
      </c>
      <c r="KT7" s="19">
        <f>SQRT(Parameters!$B$5)*Factors!KT3+SQRT(Parameters!$B$6)*Factors!KT6+SQRT(Parameters!$B$7)*Factors!KT9+SQRT(Parameters!$B$9)*NORM.S.INV(RAND())</f>
        <v/>
      </c>
      <c r="KU7" s="19">
        <f>SQRT(Parameters!$B$5)*Factors!KU3+SQRT(Parameters!$B$6)*Factors!KU6+SQRT(Parameters!$B$7)*Factors!KU9+SQRT(Parameters!$B$9)*NORM.S.INV(RAND())</f>
        <v/>
      </c>
      <c r="KV7" s="19">
        <f>SQRT(Parameters!$B$5)*Factors!KV3+SQRT(Parameters!$B$6)*Factors!KV6+SQRT(Parameters!$B$7)*Factors!KV9+SQRT(Parameters!$B$9)*NORM.S.INV(RAND())</f>
        <v/>
      </c>
      <c r="KW7" s="19">
        <f>SQRT(Parameters!$B$5)*Factors!KW3+SQRT(Parameters!$B$6)*Factors!KW6+SQRT(Parameters!$B$7)*Factors!KW9+SQRT(Parameters!$B$9)*NORM.S.INV(RAND())</f>
        <v/>
      </c>
      <c r="KX7" s="19">
        <f>SQRT(Parameters!$B$5)*Factors!KX3+SQRT(Parameters!$B$6)*Factors!KX6+SQRT(Parameters!$B$7)*Factors!KX9+SQRT(Parameters!$B$9)*NORM.S.INV(RAND())</f>
        <v/>
      </c>
      <c r="KY7" s="19">
        <f>SQRT(Parameters!$B$5)*Factors!KY3+SQRT(Parameters!$B$6)*Factors!KY6+SQRT(Parameters!$B$7)*Factors!KY9+SQRT(Parameters!$B$9)*NORM.S.INV(RAND())</f>
        <v/>
      </c>
      <c r="KZ7" s="19">
        <f>SQRT(Parameters!$B$5)*Factors!KZ3+SQRT(Parameters!$B$6)*Factors!KZ6+SQRT(Parameters!$B$7)*Factors!KZ9+SQRT(Parameters!$B$9)*NORM.S.INV(RAND())</f>
        <v/>
      </c>
      <c r="LA7" s="19">
        <f>SQRT(Parameters!$B$5)*Factors!LA3+SQRT(Parameters!$B$6)*Factors!LA6+SQRT(Parameters!$B$7)*Factors!LA9+SQRT(Parameters!$B$9)*NORM.S.INV(RAND())</f>
        <v/>
      </c>
      <c r="LB7" s="19">
        <f>SQRT(Parameters!$B$5)*Factors!LB3+SQRT(Parameters!$B$6)*Factors!LB6+SQRT(Parameters!$B$7)*Factors!LB9+SQRT(Parameters!$B$9)*NORM.S.INV(RAND())</f>
        <v/>
      </c>
      <c r="LC7" s="19">
        <f>SQRT(Parameters!$B$5)*Factors!LC3+SQRT(Parameters!$B$6)*Factors!LC6+SQRT(Parameters!$B$7)*Factors!LC9+SQRT(Parameters!$B$9)*NORM.S.INV(RAND())</f>
        <v/>
      </c>
      <c r="LD7" s="19">
        <f>SQRT(Parameters!$B$5)*Factors!LD3+SQRT(Parameters!$B$6)*Factors!LD6+SQRT(Parameters!$B$7)*Factors!LD9+SQRT(Parameters!$B$9)*NORM.S.INV(RAND())</f>
        <v/>
      </c>
      <c r="LE7" s="19">
        <f>SQRT(Parameters!$B$5)*Factors!LE3+SQRT(Parameters!$B$6)*Factors!LE6+SQRT(Parameters!$B$7)*Factors!LE9+SQRT(Parameters!$B$9)*NORM.S.INV(RAND())</f>
        <v/>
      </c>
      <c r="LF7" s="19">
        <f>SQRT(Parameters!$B$5)*Factors!LF3+SQRT(Parameters!$B$6)*Factors!LF6+SQRT(Parameters!$B$7)*Factors!LF9+SQRT(Parameters!$B$9)*NORM.S.INV(RAND())</f>
        <v/>
      </c>
      <c r="LG7" s="19">
        <f>SQRT(Parameters!$B$5)*Factors!LG3+SQRT(Parameters!$B$6)*Factors!LG6+SQRT(Parameters!$B$7)*Factors!LG9+SQRT(Parameters!$B$9)*NORM.S.INV(RAND())</f>
        <v/>
      </c>
      <c r="LH7" s="19">
        <f>SQRT(Parameters!$B$5)*Factors!LH3+SQRT(Parameters!$B$6)*Factors!LH6+SQRT(Parameters!$B$7)*Factors!LH9+SQRT(Parameters!$B$9)*NORM.S.INV(RAND())</f>
        <v/>
      </c>
      <c r="LI7" s="19">
        <f>SQRT(Parameters!$B$5)*Factors!LI3+SQRT(Parameters!$B$6)*Factors!LI6+SQRT(Parameters!$B$7)*Factors!LI9+SQRT(Parameters!$B$9)*NORM.S.INV(RAND())</f>
        <v/>
      </c>
      <c r="LJ7" s="19">
        <f>SQRT(Parameters!$B$5)*Factors!LJ3+SQRT(Parameters!$B$6)*Factors!LJ6+SQRT(Parameters!$B$7)*Factors!LJ9+SQRT(Parameters!$B$9)*NORM.S.INV(RAND())</f>
        <v/>
      </c>
      <c r="LK7" s="19">
        <f>SQRT(Parameters!$B$5)*Factors!LK3+SQRT(Parameters!$B$6)*Factors!LK6+SQRT(Parameters!$B$7)*Factors!LK9+SQRT(Parameters!$B$9)*NORM.S.INV(RAND())</f>
        <v/>
      </c>
      <c r="LL7" s="19">
        <f>SQRT(Parameters!$B$5)*Factors!LL3+SQRT(Parameters!$B$6)*Factors!LL6+SQRT(Parameters!$B$7)*Factors!LL9+SQRT(Parameters!$B$9)*NORM.S.INV(RAND())</f>
        <v/>
      </c>
      <c r="LM7" s="19">
        <f>SQRT(Parameters!$B$5)*Factors!LM3+SQRT(Parameters!$B$6)*Factors!LM6+SQRT(Parameters!$B$7)*Factors!LM9+SQRT(Parameters!$B$9)*NORM.S.INV(RAND())</f>
        <v/>
      </c>
      <c r="LN7" s="19">
        <f>SQRT(Parameters!$B$5)*Factors!LN3+SQRT(Parameters!$B$6)*Factors!LN6+SQRT(Parameters!$B$7)*Factors!LN9+SQRT(Parameters!$B$9)*NORM.S.INV(RAND())</f>
        <v/>
      </c>
      <c r="LO7" s="19">
        <f>SQRT(Parameters!$B$5)*Factors!LO3+SQRT(Parameters!$B$6)*Factors!LO6+SQRT(Parameters!$B$7)*Factors!LO9+SQRT(Parameters!$B$9)*NORM.S.INV(RAND())</f>
        <v/>
      </c>
      <c r="LP7" s="19">
        <f>SQRT(Parameters!$B$5)*Factors!LP3+SQRT(Parameters!$B$6)*Factors!LP6+SQRT(Parameters!$B$7)*Factors!LP9+SQRT(Parameters!$B$9)*NORM.S.INV(RAND())</f>
        <v/>
      </c>
      <c r="LQ7" s="19">
        <f>SQRT(Parameters!$B$5)*Factors!LQ3+SQRT(Parameters!$B$6)*Factors!LQ6+SQRT(Parameters!$B$7)*Factors!LQ9+SQRT(Parameters!$B$9)*NORM.S.INV(RAND())</f>
        <v/>
      </c>
      <c r="LR7" s="19">
        <f>SQRT(Parameters!$B$5)*Factors!LR3+SQRT(Parameters!$B$6)*Factors!LR6+SQRT(Parameters!$B$7)*Factors!LR9+SQRT(Parameters!$B$9)*NORM.S.INV(RAND())</f>
        <v/>
      </c>
      <c r="LS7" s="19">
        <f>SQRT(Parameters!$B$5)*Factors!LS3+SQRT(Parameters!$B$6)*Factors!LS6+SQRT(Parameters!$B$7)*Factors!LS9+SQRT(Parameters!$B$9)*NORM.S.INV(RAND())</f>
        <v/>
      </c>
      <c r="LT7" s="19">
        <f>SQRT(Parameters!$B$5)*Factors!LT3+SQRT(Parameters!$B$6)*Factors!LT6+SQRT(Parameters!$B$7)*Factors!LT9+SQRT(Parameters!$B$9)*NORM.S.INV(RAND())</f>
        <v/>
      </c>
      <c r="LU7" s="19">
        <f>SQRT(Parameters!$B$5)*Factors!LU3+SQRT(Parameters!$B$6)*Factors!LU6+SQRT(Parameters!$B$7)*Factors!LU9+SQRT(Parameters!$B$9)*NORM.S.INV(RAND())</f>
        <v/>
      </c>
      <c r="LV7" s="19">
        <f>SQRT(Parameters!$B$5)*Factors!LV3+SQRT(Parameters!$B$6)*Factors!LV6+SQRT(Parameters!$B$7)*Factors!LV9+SQRT(Parameters!$B$9)*NORM.S.INV(RAND())</f>
        <v/>
      </c>
      <c r="LW7" s="19">
        <f>SQRT(Parameters!$B$5)*Factors!LW3+SQRT(Parameters!$B$6)*Factors!LW6+SQRT(Parameters!$B$7)*Factors!LW9+SQRT(Parameters!$B$9)*NORM.S.INV(RAND())</f>
        <v/>
      </c>
      <c r="LX7" s="19">
        <f>SQRT(Parameters!$B$5)*Factors!LX3+SQRT(Parameters!$B$6)*Factors!LX6+SQRT(Parameters!$B$7)*Factors!LX9+SQRT(Parameters!$B$9)*NORM.S.INV(RAND())</f>
        <v/>
      </c>
      <c r="LY7" s="19">
        <f>SQRT(Parameters!$B$5)*Factors!LY3+SQRT(Parameters!$B$6)*Factors!LY6+SQRT(Parameters!$B$7)*Factors!LY9+SQRT(Parameters!$B$9)*NORM.S.INV(RAND())</f>
        <v/>
      </c>
      <c r="LZ7" s="19">
        <f>SQRT(Parameters!$B$5)*Factors!LZ3+SQRT(Parameters!$B$6)*Factors!LZ6+SQRT(Parameters!$B$7)*Factors!LZ9+SQRT(Parameters!$B$9)*NORM.S.INV(RAND())</f>
        <v/>
      </c>
      <c r="MA7" s="19">
        <f>SQRT(Parameters!$B$5)*Factors!MA3+SQRT(Parameters!$B$6)*Factors!MA6+SQRT(Parameters!$B$7)*Factors!MA9+SQRT(Parameters!$B$9)*NORM.S.INV(RAND())</f>
        <v/>
      </c>
      <c r="MB7" s="19">
        <f>SQRT(Parameters!$B$5)*Factors!MB3+SQRT(Parameters!$B$6)*Factors!MB6+SQRT(Parameters!$B$7)*Factors!MB9+SQRT(Parameters!$B$9)*NORM.S.INV(RAND())</f>
        <v/>
      </c>
      <c r="MC7" s="19">
        <f>SQRT(Parameters!$B$5)*Factors!MC3+SQRT(Parameters!$B$6)*Factors!MC6+SQRT(Parameters!$B$7)*Factors!MC9+SQRT(Parameters!$B$9)*NORM.S.INV(RAND())</f>
        <v/>
      </c>
      <c r="MD7" s="19">
        <f>SQRT(Parameters!$B$5)*Factors!MD3+SQRT(Parameters!$B$6)*Factors!MD6+SQRT(Parameters!$B$7)*Factors!MD9+SQRT(Parameters!$B$9)*NORM.S.INV(RAND())</f>
        <v/>
      </c>
      <c r="ME7" s="19">
        <f>SQRT(Parameters!$B$5)*Factors!ME3+SQRT(Parameters!$B$6)*Factors!ME6+SQRT(Parameters!$B$7)*Factors!ME9+SQRT(Parameters!$B$9)*NORM.S.INV(RAND())</f>
        <v/>
      </c>
      <c r="MF7" s="19">
        <f>SQRT(Parameters!$B$5)*Factors!MF3+SQRT(Parameters!$B$6)*Factors!MF6+SQRT(Parameters!$B$7)*Factors!MF9+SQRT(Parameters!$B$9)*NORM.S.INV(RAND())</f>
        <v/>
      </c>
      <c r="MG7" s="19">
        <f>SQRT(Parameters!$B$5)*Factors!MG3+SQRT(Parameters!$B$6)*Factors!MG6+SQRT(Parameters!$B$7)*Factors!MG9+SQRT(Parameters!$B$9)*NORM.S.INV(RAND())</f>
        <v/>
      </c>
      <c r="MH7" s="19">
        <f>SQRT(Parameters!$B$5)*Factors!MH3+SQRT(Parameters!$B$6)*Factors!MH6+SQRT(Parameters!$B$7)*Factors!MH9+SQRT(Parameters!$B$9)*NORM.S.INV(RAND())</f>
        <v/>
      </c>
      <c r="MI7" s="19">
        <f>SQRT(Parameters!$B$5)*Factors!MI3+SQRT(Parameters!$B$6)*Factors!MI6+SQRT(Parameters!$B$7)*Factors!MI9+SQRT(Parameters!$B$9)*NORM.S.INV(RAND())</f>
        <v/>
      </c>
      <c r="MJ7" s="19">
        <f>SQRT(Parameters!$B$5)*Factors!MJ3+SQRT(Parameters!$B$6)*Factors!MJ6+SQRT(Parameters!$B$7)*Factors!MJ9+SQRT(Parameters!$B$9)*NORM.S.INV(RAND())</f>
        <v/>
      </c>
      <c r="MK7" s="19">
        <f>SQRT(Parameters!$B$5)*Factors!MK3+SQRT(Parameters!$B$6)*Factors!MK6+SQRT(Parameters!$B$7)*Factors!MK9+SQRT(Parameters!$B$9)*NORM.S.INV(RAND())</f>
        <v/>
      </c>
      <c r="ML7" s="19">
        <f>SQRT(Parameters!$B$5)*Factors!ML3+SQRT(Parameters!$B$6)*Factors!ML6+SQRT(Parameters!$B$7)*Factors!ML9+SQRT(Parameters!$B$9)*NORM.S.INV(RAND())</f>
        <v/>
      </c>
      <c r="MM7" s="19">
        <f>SQRT(Parameters!$B$5)*Factors!MM3+SQRT(Parameters!$B$6)*Factors!MM6+SQRT(Parameters!$B$7)*Factors!MM9+SQRT(Parameters!$B$9)*NORM.S.INV(RAND())</f>
        <v/>
      </c>
      <c r="MN7" s="19">
        <f>SQRT(Parameters!$B$5)*Factors!MN3+SQRT(Parameters!$B$6)*Factors!MN6+SQRT(Parameters!$B$7)*Factors!MN9+SQRT(Parameters!$B$9)*NORM.S.INV(RAND())</f>
        <v/>
      </c>
      <c r="MO7" s="19">
        <f>SQRT(Parameters!$B$5)*Factors!MO3+SQRT(Parameters!$B$6)*Factors!MO6+SQRT(Parameters!$B$7)*Factors!MO9+SQRT(Parameters!$B$9)*NORM.S.INV(RAND())</f>
        <v/>
      </c>
      <c r="MP7" s="19">
        <f>SQRT(Parameters!$B$5)*Factors!MP3+SQRT(Parameters!$B$6)*Factors!MP6+SQRT(Parameters!$B$7)*Factors!MP9+SQRT(Parameters!$B$9)*NORM.S.INV(RAND())</f>
        <v/>
      </c>
      <c r="MQ7" s="19">
        <f>SQRT(Parameters!$B$5)*Factors!MQ3+SQRT(Parameters!$B$6)*Factors!MQ6+SQRT(Parameters!$B$7)*Factors!MQ9+SQRT(Parameters!$B$9)*NORM.S.INV(RAND())</f>
        <v/>
      </c>
      <c r="MR7" s="19">
        <f>SQRT(Parameters!$B$5)*Factors!MR3+SQRT(Parameters!$B$6)*Factors!MR6+SQRT(Parameters!$B$7)*Factors!MR9+SQRT(Parameters!$B$9)*NORM.S.INV(RAND())</f>
        <v/>
      </c>
      <c r="MS7" s="19">
        <f>SQRT(Parameters!$B$5)*Factors!MS3+SQRT(Parameters!$B$6)*Factors!MS6+SQRT(Parameters!$B$7)*Factors!MS9+SQRT(Parameters!$B$9)*NORM.S.INV(RAND())</f>
        <v/>
      </c>
      <c r="MT7" s="19">
        <f>SQRT(Parameters!$B$5)*Factors!MT3+SQRT(Parameters!$B$6)*Factors!MT6+SQRT(Parameters!$B$7)*Factors!MT9+SQRT(Parameters!$B$9)*NORM.S.INV(RAND())</f>
        <v/>
      </c>
      <c r="MU7" s="19">
        <f>SQRT(Parameters!$B$5)*Factors!MU3+SQRT(Parameters!$B$6)*Factors!MU6+SQRT(Parameters!$B$7)*Factors!MU9+SQRT(Parameters!$B$9)*NORM.S.INV(RAND())</f>
        <v/>
      </c>
      <c r="MV7" s="19">
        <f>SQRT(Parameters!$B$5)*Factors!MV3+SQRT(Parameters!$B$6)*Factors!MV6+SQRT(Parameters!$B$7)*Factors!MV9+SQRT(Parameters!$B$9)*NORM.S.INV(RAND())</f>
        <v/>
      </c>
      <c r="MW7" s="19">
        <f>SQRT(Parameters!$B$5)*Factors!MW3+SQRT(Parameters!$B$6)*Factors!MW6+SQRT(Parameters!$B$7)*Factors!MW9+SQRT(Parameters!$B$9)*NORM.S.INV(RAND())</f>
        <v/>
      </c>
      <c r="MX7" s="19">
        <f>SQRT(Parameters!$B$5)*Factors!MX3+SQRT(Parameters!$B$6)*Factors!MX6+SQRT(Parameters!$B$7)*Factors!MX9+SQRT(Parameters!$B$9)*NORM.S.INV(RAND())</f>
        <v/>
      </c>
      <c r="MY7" s="19">
        <f>SQRT(Parameters!$B$5)*Factors!MY3+SQRT(Parameters!$B$6)*Factors!MY6+SQRT(Parameters!$B$7)*Factors!MY9+SQRT(Parameters!$B$9)*NORM.S.INV(RAND())</f>
        <v/>
      </c>
      <c r="MZ7" s="19">
        <f>SQRT(Parameters!$B$5)*Factors!MZ3+SQRT(Parameters!$B$6)*Factors!MZ6+SQRT(Parameters!$B$7)*Factors!MZ9+SQRT(Parameters!$B$9)*NORM.S.INV(RAND())</f>
        <v/>
      </c>
      <c r="NA7" s="19">
        <f>SQRT(Parameters!$B$5)*Factors!NA3+SQRT(Parameters!$B$6)*Factors!NA6+SQRT(Parameters!$B$7)*Factors!NA9+SQRT(Parameters!$B$9)*NORM.S.INV(RAND())</f>
        <v/>
      </c>
      <c r="NB7" s="19">
        <f>SQRT(Parameters!$B$5)*Factors!NB3+SQRT(Parameters!$B$6)*Factors!NB6+SQRT(Parameters!$B$7)*Factors!NB9+SQRT(Parameters!$B$9)*NORM.S.INV(RAND())</f>
        <v/>
      </c>
      <c r="NC7" s="19">
        <f>SQRT(Parameters!$B$5)*Factors!NC3+SQRT(Parameters!$B$6)*Factors!NC6+SQRT(Parameters!$B$7)*Factors!NC9+SQRT(Parameters!$B$9)*NORM.S.INV(RAND())</f>
        <v/>
      </c>
      <c r="ND7" s="19">
        <f>SQRT(Parameters!$B$5)*Factors!ND3+SQRT(Parameters!$B$6)*Factors!ND6+SQRT(Parameters!$B$7)*Factors!ND9+SQRT(Parameters!$B$9)*NORM.S.INV(RAND())</f>
        <v/>
      </c>
      <c r="NE7" s="19">
        <f>SQRT(Parameters!$B$5)*Factors!NE3+SQRT(Parameters!$B$6)*Factors!NE6+SQRT(Parameters!$B$7)*Factors!NE9+SQRT(Parameters!$B$9)*NORM.S.INV(RAND())</f>
        <v/>
      </c>
      <c r="NF7" s="19">
        <f>SQRT(Parameters!$B$5)*Factors!NF3+SQRT(Parameters!$B$6)*Factors!NF6+SQRT(Parameters!$B$7)*Factors!NF9+SQRT(Parameters!$B$9)*NORM.S.INV(RAND())</f>
        <v/>
      </c>
      <c r="NG7" s="19">
        <f>SQRT(Parameters!$B$5)*Factors!NG3+SQRT(Parameters!$B$6)*Factors!NG6+SQRT(Parameters!$B$7)*Factors!NG9+SQRT(Parameters!$B$9)*NORM.S.INV(RAND())</f>
        <v/>
      </c>
      <c r="NH7" s="19">
        <f>SQRT(Parameters!$B$5)*Factors!NH3+SQRT(Parameters!$B$6)*Factors!NH6+SQRT(Parameters!$B$7)*Factors!NH9+SQRT(Parameters!$B$9)*NORM.S.INV(RAND())</f>
        <v/>
      </c>
      <c r="NI7" s="19">
        <f>SQRT(Parameters!$B$5)*Factors!NI3+SQRT(Parameters!$B$6)*Factors!NI6+SQRT(Parameters!$B$7)*Factors!NI9+SQRT(Parameters!$B$9)*NORM.S.INV(RAND())</f>
        <v/>
      </c>
      <c r="NJ7" s="19">
        <f>SQRT(Parameters!$B$5)*Factors!NJ3+SQRT(Parameters!$B$6)*Factors!NJ6+SQRT(Parameters!$B$7)*Factors!NJ9+SQRT(Parameters!$B$9)*NORM.S.INV(RAND())</f>
        <v/>
      </c>
      <c r="NK7" s="19">
        <f>SQRT(Parameters!$B$5)*Factors!NK3+SQRT(Parameters!$B$6)*Factors!NK6+SQRT(Parameters!$B$7)*Factors!NK9+SQRT(Parameters!$B$9)*NORM.S.INV(RAND())</f>
        <v/>
      </c>
      <c r="NL7" s="19">
        <f>SQRT(Parameters!$B$5)*Factors!NL3+SQRT(Parameters!$B$6)*Factors!NL6+SQRT(Parameters!$B$7)*Factors!NL9+SQRT(Parameters!$B$9)*NORM.S.INV(RAND())</f>
        <v/>
      </c>
      <c r="NM7" s="19">
        <f>SQRT(Parameters!$B$5)*Factors!NM3+SQRT(Parameters!$B$6)*Factors!NM6+SQRT(Parameters!$B$7)*Factors!NM9+SQRT(Parameters!$B$9)*NORM.S.INV(RAND())</f>
        <v/>
      </c>
      <c r="NN7" s="19">
        <f>SQRT(Parameters!$B$5)*Factors!NN3+SQRT(Parameters!$B$6)*Factors!NN6+SQRT(Parameters!$B$7)*Factors!NN9+SQRT(Parameters!$B$9)*NORM.S.INV(RAND())</f>
        <v/>
      </c>
      <c r="NO7" s="19">
        <f>SQRT(Parameters!$B$5)*Factors!NO3+SQRT(Parameters!$B$6)*Factors!NO6+SQRT(Parameters!$B$7)*Factors!NO9+SQRT(Parameters!$B$9)*NORM.S.INV(RAND())</f>
        <v/>
      </c>
      <c r="NP7" s="19">
        <f>SQRT(Parameters!$B$5)*Factors!NP3+SQRT(Parameters!$B$6)*Factors!NP6+SQRT(Parameters!$B$7)*Factors!NP9+SQRT(Parameters!$B$9)*NORM.S.INV(RAND())</f>
        <v/>
      </c>
      <c r="NQ7" s="19">
        <f>SQRT(Parameters!$B$5)*Factors!NQ3+SQRT(Parameters!$B$6)*Factors!NQ6+SQRT(Parameters!$B$7)*Factors!NQ9+SQRT(Parameters!$B$9)*NORM.S.INV(RAND())</f>
        <v/>
      </c>
      <c r="NR7" s="19">
        <f>SQRT(Parameters!$B$5)*Factors!NR3+SQRT(Parameters!$B$6)*Factors!NR6+SQRT(Parameters!$B$7)*Factors!NR9+SQRT(Parameters!$B$9)*NORM.S.INV(RAND())</f>
        <v/>
      </c>
      <c r="NS7" s="19">
        <f>SQRT(Parameters!$B$5)*Factors!NS3+SQRT(Parameters!$B$6)*Factors!NS6+SQRT(Parameters!$B$7)*Factors!NS9+SQRT(Parameters!$B$9)*NORM.S.INV(RAND())</f>
        <v/>
      </c>
      <c r="NT7" s="19">
        <f>SQRT(Parameters!$B$5)*Factors!NT3+SQRT(Parameters!$B$6)*Factors!NT6+SQRT(Parameters!$B$7)*Factors!NT9+SQRT(Parameters!$B$9)*NORM.S.INV(RAND())</f>
        <v/>
      </c>
      <c r="NU7" s="19">
        <f>SQRT(Parameters!$B$5)*Factors!NU3+SQRT(Parameters!$B$6)*Factors!NU6+SQRT(Parameters!$B$7)*Factors!NU9+SQRT(Parameters!$B$9)*NORM.S.INV(RAND())</f>
        <v/>
      </c>
      <c r="NV7" s="19">
        <f>SQRT(Parameters!$B$5)*Factors!NV3+SQRT(Parameters!$B$6)*Factors!NV6+SQRT(Parameters!$B$7)*Factors!NV9+SQRT(Parameters!$B$9)*NORM.S.INV(RAND())</f>
        <v/>
      </c>
      <c r="NW7" s="19">
        <f>SQRT(Parameters!$B$5)*Factors!NW3+SQRT(Parameters!$B$6)*Factors!NW6+SQRT(Parameters!$B$7)*Factors!NW9+SQRT(Parameters!$B$9)*NORM.S.INV(RAND())</f>
        <v/>
      </c>
      <c r="NX7" s="19">
        <f>SQRT(Parameters!$B$5)*Factors!NX3+SQRT(Parameters!$B$6)*Factors!NX6+SQRT(Parameters!$B$7)*Factors!NX9+SQRT(Parameters!$B$9)*NORM.S.INV(RAND())</f>
        <v/>
      </c>
      <c r="NY7" s="19">
        <f>SQRT(Parameters!$B$5)*Factors!NY3+SQRT(Parameters!$B$6)*Factors!NY6+SQRT(Parameters!$B$7)*Factors!NY9+SQRT(Parameters!$B$9)*NORM.S.INV(RAND())</f>
        <v/>
      </c>
      <c r="NZ7" s="19">
        <f>SQRT(Parameters!$B$5)*Factors!NZ3+SQRT(Parameters!$B$6)*Factors!NZ6+SQRT(Parameters!$B$7)*Factors!NZ9+SQRT(Parameters!$B$9)*NORM.S.INV(RAND())</f>
        <v/>
      </c>
      <c r="OA7" s="19">
        <f>SQRT(Parameters!$B$5)*Factors!OA3+SQRT(Parameters!$B$6)*Factors!OA6+SQRT(Parameters!$B$7)*Factors!OA9+SQRT(Parameters!$B$9)*NORM.S.INV(RAND())</f>
        <v/>
      </c>
      <c r="OB7" s="19">
        <f>SQRT(Parameters!$B$5)*Factors!OB3+SQRT(Parameters!$B$6)*Factors!OB6+SQRT(Parameters!$B$7)*Factors!OB9+SQRT(Parameters!$B$9)*NORM.S.INV(RAND())</f>
        <v/>
      </c>
      <c r="OC7" s="19">
        <f>SQRT(Parameters!$B$5)*Factors!OC3+SQRT(Parameters!$B$6)*Factors!OC6+SQRT(Parameters!$B$7)*Factors!OC9+SQRT(Parameters!$B$9)*NORM.S.INV(RAND())</f>
        <v/>
      </c>
      <c r="OD7" s="19">
        <f>SQRT(Parameters!$B$5)*Factors!OD3+SQRT(Parameters!$B$6)*Factors!OD6+SQRT(Parameters!$B$7)*Factors!OD9+SQRT(Parameters!$B$9)*NORM.S.INV(RAND())</f>
        <v/>
      </c>
      <c r="OE7" s="19">
        <f>SQRT(Parameters!$B$5)*Factors!OE3+SQRT(Parameters!$B$6)*Factors!OE6+SQRT(Parameters!$B$7)*Factors!OE9+SQRT(Parameters!$B$9)*NORM.S.INV(RAND())</f>
        <v/>
      </c>
      <c r="OF7" s="19">
        <f>SQRT(Parameters!$B$5)*Factors!OF3+SQRT(Parameters!$B$6)*Factors!OF6+SQRT(Parameters!$B$7)*Factors!OF9+SQRT(Parameters!$B$9)*NORM.S.INV(RAND())</f>
        <v/>
      </c>
      <c r="OG7" s="19">
        <f>SQRT(Parameters!$B$5)*Factors!OG3+SQRT(Parameters!$B$6)*Factors!OG6+SQRT(Parameters!$B$7)*Factors!OG9+SQRT(Parameters!$B$9)*NORM.S.INV(RAND())</f>
        <v/>
      </c>
      <c r="OH7" s="19">
        <f>SQRT(Parameters!$B$5)*Factors!OH3+SQRT(Parameters!$B$6)*Factors!OH6+SQRT(Parameters!$B$7)*Factors!OH9+SQRT(Parameters!$B$9)*NORM.S.INV(RAND())</f>
        <v/>
      </c>
      <c r="OI7" s="19">
        <f>SQRT(Parameters!$B$5)*Factors!OI3+SQRT(Parameters!$B$6)*Factors!OI6+SQRT(Parameters!$B$7)*Factors!OI9+SQRT(Parameters!$B$9)*NORM.S.INV(RAND())</f>
        <v/>
      </c>
      <c r="OJ7" s="19">
        <f>SQRT(Parameters!$B$5)*Factors!OJ3+SQRT(Parameters!$B$6)*Factors!OJ6+SQRT(Parameters!$B$7)*Factors!OJ9+SQRT(Parameters!$B$9)*NORM.S.INV(RAND())</f>
        <v/>
      </c>
      <c r="OK7" s="19">
        <f>SQRT(Parameters!$B$5)*Factors!OK3+SQRT(Parameters!$B$6)*Factors!OK6+SQRT(Parameters!$B$7)*Factors!OK9+SQRT(Parameters!$B$9)*NORM.S.INV(RAND())</f>
        <v/>
      </c>
      <c r="OL7" s="19">
        <f>SQRT(Parameters!$B$5)*Factors!OL3+SQRT(Parameters!$B$6)*Factors!OL6+SQRT(Parameters!$B$7)*Factors!OL9+SQRT(Parameters!$B$9)*NORM.S.INV(RAND())</f>
        <v/>
      </c>
      <c r="OM7" s="19">
        <f>SQRT(Parameters!$B$5)*Factors!OM3+SQRT(Parameters!$B$6)*Factors!OM6+SQRT(Parameters!$B$7)*Factors!OM9+SQRT(Parameters!$B$9)*NORM.S.INV(RAND())</f>
        <v/>
      </c>
      <c r="ON7" s="19">
        <f>SQRT(Parameters!$B$5)*Factors!ON3+SQRT(Parameters!$B$6)*Factors!ON6+SQRT(Parameters!$B$7)*Factors!ON9+SQRT(Parameters!$B$9)*NORM.S.INV(RAND())</f>
        <v/>
      </c>
      <c r="OO7" s="19">
        <f>SQRT(Parameters!$B$5)*Factors!OO3+SQRT(Parameters!$B$6)*Factors!OO6+SQRT(Parameters!$B$7)*Factors!OO9+SQRT(Parameters!$B$9)*NORM.S.INV(RAND())</f>
        <v/>
      </c>
      <c r="OP7" s="19">
        <f>SQRT(Parameters!$B$5)*Factors!OP3+SQRT(Parameters!$B$6)*Factors!OP6+SQRT(Parameters!$B$7)*Factors!OP9+SQRT(Parameters!$B$9)*NORM.S.INV(RAND())</f>
        <v/>
      </c>
      <c r="OQ7" s="19">
        <f>SQRT(Parameters!$B$5)*Factors!OQ3+SQRT(Parameters!$B$6)*Factors!OQ6+SQRT(Parameters!$B$7)*Factors!OQ9+SQRT(Parameters!$B$9)*NORM.S.INV(RAND())</f>
        <v/>
      </c>
      <c r="OR7" s="19">
        <f>SQRT(Parameters!$B$5)*Factors!OR3+SQRT(Parameters!$B$6)*Factors!OR6+SQRT(Parameters!$B$7)*Factors!OR9+SQRT(Parameters!$B$9)*NORM.S.INV(RAND())</f>
        <v/>
      </c>
      <c r="OS7" s="19">
        <f>SQRT(Parameters!$B$5)*Factors!OS3+SQRT(Parameters!$B$6)*Factors!OS6+SQRT(Parameters!$B$7)*Factors!OS9+SQRT(Parameters!$B$9)*NORM.S.INV(RAND())</f>
        <v/>
      </c>
      <c r="OT7" s="19">
        <f>SQRT(Parameters!$B$5)*Factors!OT3+SQRT(Parameters!$B$6)*Factors!OT6+SQRT(Parameters!$B$7)*Factors!OT9+SQRT(Parameters!$B$9)*NORM.S.INV(RAND())</f>
        <v/>
      </c>
      <c r="OU7" s="19">
        <f>SQRT(Parameters!$B$5)*Factors!OU3+SQRT(Parameters!$B$6)*Factors!OU6+SQRT(Parameters!$B$7)*Factors!OU9+SQRT(Parameters!$B$9)*NORM.S.INV(RAND())</f>
        <v/>
      </c>
      <c r="OV7" s="19">
        <f>SQRT(Parameters!$B$5)*Factors!OV3+SQRT(Parameters!$B$6)*Factors!OV6+SQRT(Parameters!$B$7)*Factors!OV9+SQRT(Parameters!$B$9)*NORM.S.INV(RAND())</f>
        <v/>
      </c>
      <c r="OW7" s="19">
        <f>SQRT(Parameters!$B$5)*Factors!OW3+SQRT(Parameters!$B$6)*Factors!OW6+SQRT(Parameters!$B$7)*Factors!OW9+SQRT(Parameters!$B$9)*NORM.S.INV(RAND())</f>
        <v/>
      </c>
      <c r="OX7" s="19">
        <f>SQRT(Parameters!$B$5)*Factors!OX3+SQRT(Parameters!$B$6)*Factors!OX6+SQRT(Parameters!$B$7)*Factors!OX9+SQRT(Parameters!$B$9)*NORM.S.INV(RAND())</f>
        <v/>
      </c>
      <c r="OY7" s="19">
        <f>SQRT(Parameters!$B$5)*Factors!OY3+SQRT(Parameters!$B$6)*Factors!OY6+SQRT(Parameters!$B$7)*Factors!OY9+SQRT(Parameters!$B$9)*NORM.S.INV(RAND())</f>
        <v/>
      </c>
      <c r="OZ7" s="19">
        <f>SQRT(Parameters!$B$5)*Factors!OZ3+SQRT(Parameters!$B$6)*Factors!OZ6+SQRT(Parameters!$B$7)*Factors!OZ9+SQRT(Parameters!$B$9)*NORM.S.INV(RAND())</f>
        <v/>
      </c>
      <c r="PA7" s="19">
        <f>SQRT(Parameters!$B$5)*Factors!PA3+SQRT(Parameters!$B$6)*Factors!PA6+SQRT(Parameters!$B$7)*Factors!PA9+SQRT(Parameters!$B$9)*NORM.S.INV(RAND())</f>
        <v/>
      </c>
      <c r="PB7" s="19">
        <f>SQRT(Parameters!$B$5)*Factors!PB3+SQRT(Parameters!$B$6)*Factors!PB6+SQRT(Parameters!$B$7)*Factors!PB9+SQRT(Parameters!$B$9)*NORM.S.INV(RAND())</f>
        <v/>
      </c>
      <c r="PC7" s="19">
        <f>SQRT(Parameters!$B$5)*Factors!PC3+SQRT(Parameters!$B$6)*Factors!PC6+SQRT(Parameters!$B$7)*Factors!PC9+SQRT(Parameters!$B$9)*NORM.S.INV(RAND())</f>
        <v/>
      </c>
      <c r="PD7" s="19">
        <f>SQRT(Parameters!$B$5)*Factors!PD3+SQRT(Parameters!$B$6)*Factors!PD6+SQRT(Parameters!$B$7)*Factors!PD9+SQRT(Parameters!$B$9)*NORM.S.INV(RAND())</f>
        <v/>
      </c>
      <c r="PE7" s="19">
        <f>SQRT(Parameters!$B$5)*Factors!PE3+SQRT(Parameters!$B$6)*Factors!PE6+SQRT(Parameters!$B$7)*Factors!PE9+SQRT(Parameters!$B$9)*NORM.S.INV(RAND())</f>
        <v/>
      </c>
      <c r="PF7" s="19">
        <f>SQRT(Parameters!$B$5)*Factors!PF3+SQRT(Parameters!$B$6)*Factors!PF6+SQRT(Parameters!$B$7)*Factors!PF9+SQRT(Parameters!$B$9)*NORM.S.INV(RAND())</f>
        <v/>
      </c>
      <c r="PG7" s="19">
        <f>SQRT(Parameters!$B$5)*Factors!PG3+SQRT(Parameters!$B$6)*Factors!PG6+SQRT(Parameters!$B$7)*Factors!PG9+SQRT(Parameters!$B$9)*NORM.S.INV(RAND())</f>
        <v/>
      </c>
      <c r="PH7" s="19">
        <f>SQRT(Parameters!$B$5)*Factors!PH3+SQRT(Parameters!$B$6)*Factors!PH6+SQRT(Parameters!$B$7)*Factors!PH9+SQRT(Parameters!$B$9)*NORM.S.INV(RAND())</f>
        <v/>
      </c>
      <c r="PI7" s="19">
        <f>SQRT(Parameters!$B$5)*Factors!PI3+SQRT(Parameters!$B$6)*Factors!PI6+SQRT(Parameters!$B$7)*Factors!PI9+SQRT(Parameters!$B$9)*NORM.S.INV(RAND())</f>
        <v/>
      </c>
      <c r="PJ7" s="19">
        <f>SQRT(Parameters!$B$5)*Factors!PJ3+SQRT(Parameters!$B$6)*Factors!PJ6+SQRT(Parameters!$B$7)*Factors!PJ9+SQRT(Parameters!$B$9)*NORM.S.INV(RAND())</f>
        <v/>
      </c>
      <c r="PK7" s="19">
        <f>SQRT(Parameters!$B$5)*Factors!PK3+SQRT(Parameters!$B$6)*Factors!PK6+SQRT(Parameters!$B$7)*Factors!PK9+SQRT(Parameters!$B$9)*NORM.S.INV(RAND())</f>
        <v/>
      </c>
      <c r="PL7" s="19">
        <f>SQRT(Parameters!$B$5)*Factors!PL3+SQRT(Parameters!$B$6)*Factors!PL6+SQRT(Parameters!$B$7)*Factors!PL9+SQRT(Parameters!$B$9)*NORM.S.INV(RAND())</f>
        <v/>
      </c>
      <c r="PM7" s="19">
        <f>SQRT(Parameters!$B$5)*Factors!PM3+SQRT(Parameters!$B$6)*Factors!PM6+SQRT(Parameters!$B$7)*Factors!PM9+SQRT(Parameters!$B$9)*NORM.S.INV(RAND())</f>
        <v/>
      </c>
      <c r="PN7" s="19">
        <f>SQRT(Parameters!$B$5)*Factors!PN3+SQRT(Parameters!$B$6)*Factors!PN6+SQRT(Parameters!$B$7)*Factors!PN9+SQRT(Parameters!$B$9)*NORM.S.INV(RAND())</f>
        <v/>
      </c>
      <c r="PO7" s="19">
        <f>SQRT(Parameters!$B$5)*Factors!PO3+SQRT(Parameters!$B$6)*Factors!PO6+SQRT(Parameters!$B$7)*Factors!PO9+SQRT(Parameters!$B$9)*NORM.S.INV(RAND())</f>
        <v/>
      </c>
      <c r="PP7" s="19">
        <f>SQRT(Parameters!$B$5)*Factors!PP3+SQRT(Parameters!$B$6)*Factors!PP6+SQRT(Parameters!$B$7)*Factors!PP9+SQRT(Parameters!$B$9)*NORM.S.INV(RAND())</f>
        <v/>
      </c>
      <c r="PQ7" s="19">
        <f>SQRT(Parameters!$B$5)*Factors!PQ3+SQRT(Parameters!$B$6)*Factors!PQ6+SQRT(Parameters!$B$7)*Factors!PQ9+SQRT(Parameters!$B$9)*NORM.S.INV(RAND())</f>
        <v/>
      </c>
      <c r="PR7" s="19">
        <f>SQRT(Parameters!$B$5)*Factors!PR3+SQRT(Parameters!$B$6)*Factors!PR6+SQRT(Parameters!$B$7)*Factors!PR9+SQRT(Parameters!$B$9)*NORM.S.INV(RAND())</f>
        <v/>
      </c>
      <c r="PS7" s="19">
        <f>SQRT(Parameters!$B$5)*Factors!PS3+SQRT(Parameters!$B$6)*Factors!PS6+SQRT(Parameters!$B$7)*Factors!PS9+SQRT(Parameters!$B$9)*NORM.S.INV(RAND())</f>
        <v/>
      </c>
      <c r="PT7" s="19">
        <f>SQRT(Parameters!$B$5)*Factors!PT3+SQRT(Parameters!$B$6)*Factors!PT6+SQRT(Parameters!$B$7)*Factors!PT9+SQRT(Parameters!$B$9)*NORM.S.INV(RAND())</f>
        <v/>
      </c>
      <c r="PU7" s="19">
        <f>SQRT(Parameters!$B$5)*Factors!PU3+SQRT(Parameters!$B$6)*Factors!PU6+SQRT(Parameters!$B$7)*Factors!PU9+SQRT(Parameters!$B$9)*NORM.S.INV(RAND())</f>
        <v/>
      </c>
      <c r="PV7" s="19">
        <f>SQRT(Parameters!$B$5)*Factors!PV3+SQRT(Parameters!$B$6)*Factors!PV6+SQRT(Parameters!$B$7)*Factors!PV9+SQRT(Parameters!$B$9)*NORM.S.INV(RAND())</f>
        <v/>
      </c>
      <c r="PW7" s="19">
        <f>SQRT(Parameters!$B$5)*Factors!PW3+SQRT(Parameters!$B$6)*Factors!PW6+SQRT(Parameters!$B$7)*Factors!PW9+SQRT(Parameters!$B$9)*NORM.S.INV(RAND())</f>
        <v/>
      </c>
      <c r="PX7" s="19">
        <f>SQRT(Parameters!$B$5)*Factors!PX3+SQRT(Parameters!$B$6)*Factors!PX6+SQRT(Parameters!$B$7)*Factors!PX9+SQRT(Parameters!$B$9)*NORM.S.INV(RAND())</f>
        <v/>
      </c>
      <c r="PY7" s="19">
        <f>SQRT(Parameters!$B$5)*Factors!PY3+SQRT(Parameters!$B$6)*Factors!PY6+SQRT(Parameters!$B$7)*Factors!PY9+SQRT(Parameters!$B$9)*NORM.S.INV(RAND())</f>
        <v/>
      </c>
      <c r="PZ7" s="19">
        <f>SQRT(Parameters!$B$5)*Factors!PZ3+SQRT(Parameters!$B$6)*Factors!PZ6+SQRT(Parameters!$B$7)*Factors!PZ9+SQRT(Parameters!$B$9)*NORM.S.INV(RAND())</f>
        <v/>
      </c>
      <c r="QA7" s="19">
        <f>SQRT(Parameters!$B$5)*Factors!QA3+SQRT(Parameters!$B$6)*Factors!QA6+SQRT(Parameters!$B$7)*Factors!QA9+SQRT(Parameters!$B$9)*NORM.S.INV(RAND())</f>
        <v/>
      </c>
      <c r="QB7" s="19">
        <f>SQRT(Parameters!$B$5)*Factors!QB3+SQRT(Parameters!$B$6)*Factors!QB6+SQRT(Parameters!$B$7)*Factors!QB9+SQRT(Parameters!$B$9)*NORM.S.INV(RAND())</f>
        <v/>
      </c>
      <c r="QC7" s="19">
        <f>SQRT(Parameters!$B$5)*Factors!QC3+SQRT(Parameters!$B$6)*Factors!QC6+SQRT(Parameters!$B$7)*Factors!QC9+SQRT(Parameters!$B$9)*NORM.S.INV(RAND())</f>
        <v/>
      </c>
      <c r="QD7" s="19">
        <f>SQRT(Parameters!$B$5)*Factors!QD3+SQRT(Parameters!$B$6)*Factors!QD6+SQRT(Parameters!$B$7)*Factors!QD9+SQRT(Parameters!$B$9)*NORM.S.INV(RAND())</f>
        <v/>
      </c>
      <c r="QE7" s="19">
        <f>SQRT(Parameters!$B$5)*Factors!QE3+SQRT(Parameters!$B$6)*Factors!QE6+SQRT(Parameters!$B$7)*Factors!QE9+SQRT(Parameters!$B$9)*NORM.S.INV(RAND())</f>
        <v/>
      </c>
      <c r="QF7" s="19">
        <f>SQRT(Parameters!$B$5)*Factors!QF3+SQRT(Parameters!$B$6)*Factors!QF6+SQRT(Parameters!$B$7)*Factors!QF9+SQRT(Parameters!$B$9)*NORM.S.INV(RAND())</f>
        <v/>
      </c>
      <c r="QG7" s="19">
        <f>SQRT(Parameters!$B$5)*Factors!QG3+SQRT(Parameters!$B$6)*Factors!QG6+SQRT(Parameters!$B$7)*Factors!QG9+SQRT(Parameters!$B$9)*NORM.S.INV(RAND())</f>
        <v/>
      </c>
      <c r="QH7" s="19">
        <f>SQRT(Parameters!$B$5)*Factors!QH3+SQRT(Parameters!$B$6)*Factors!QH6+SQRT(Parameters!$B$7)*Factors!QH9+SQRT(Parameters!$B$9)*NORM.S.INV(RAND())</f>
        <v/>
      </c>
      <c r="QI7" s="19">
        <f>SQRT(Parameters!$B$5)*Factors!QI3+SQRT(Parameters!$B$6)*Factors!QI6+SQRT(Parameters!$B$7)*Factors!QI9+SQRT(Parameters!$B$9)*NORM.S.INV(RAND())</f>
        <v/>
      </c>
      <c r="QJ7" s="19">
        <f>SQRT(Parameters!$B$5)*Factors!QJ3+SQRT(Parameters!$B$6)*Factors!QJ6+SQRT(Parameters!$B$7)*Factors!QJ9+SQRT(Parameters!$B$9)*NORM.S.INV(RAND())</f>
        <v/>
      </c>
      <c r="QK7" s="19">
        <f>SQRT(Parameters!$B$5)*Factors!QK3+SQRT(Parameters!$B$6)*Factors!QK6+SQRT(Parameters!$B$7)*Factors!QK9+SQRT(Parameters!$B$9)*NORM.S.INV(RAND())</f>
        <v/>
      </c>
      <c r="QL7" s="19">
        <f>SQRT(Parameters!$B$5)*Factors!QL3+SQRT(Parameters!$B$6)*Factors!QL6+SQRT(Parameters!$B$7)*Factors!QL9+SQRT(Parameters!$B$9)*NORM.S.INV(RAND())</f>
        <v/>
      </c>
      <c r="QM7" s="19">
        <f>SQRT(Parameters!$B$5)*Factors!QM3+SQRT(Parameters!$B$6)*Factors!QM6+SQRT(Parameters!$B$7)*Factors!QM9+SQRT(Parameters!$B$9)*NORM.S.INV(RAND())</f>
        <v/>
      </c>
      <c r="QN7" s="19">
        <f>SQRT(Parameters!$B$5)*Factors!QN3+SQRT(Parameters!$B$6)*Factors!QN6+SQRT(Parameters!$B$7)*Factors!QN9+SQRT(Parameters!$B$9)*NORM.S.INV(RAND())</f>
        <v/>
      </c>
      <c r="QO7" s="19">
        <f>SQRT(Parameters!$B$5)*Factors!QO3+SQRT(Parameters!$B$6)*Factors!QO6+SQRT(Parameters!$B$7)*Factors!QO9+SQRT(Parameters!$B$9)*NORM.S.INV(RAND())</f>
        <v/>
      </c>
      <c r="QP7" s="19">
        <f>SQRT(Parameters!$B$5)*Factors!QP3+SQRT(Parameters!$B$6)*Factors!QP6+SQRT(Parameters!$B$7)*Factors!QP9+SQRT(Parameters!$B$9)*NORM.S.INV(RAND())</f>
        <v/>
      </c>
      <c r="QQ7" s="19">
        <f>SQRT(Parameters!$B$5)*Factors!QQ3+SQRT(Parameters!$B$6)*Factors!QQ6+SQRT(Parameters!$B$7)*Factors!QQ9+SQRT(Parameters!$B$9)*NORM.S.INV(RAND())</f>
        <v/>
      </c>
      <c r="QR7" s="19">
        <f>SQRT(Parameters!$B$5)*Factors!QR3+SQRT(Parameters!$B$6)*Factors!QR6+SQRT(Parameters!$B$7)*Factors!QR9+SQRT(Parameters!$B$9)*NORM.S.INV(RAND())</f>
        <v/>
      </c>
      <c r="QS7" s="19">
        <f>SQRT(Parameters!$B$5)*Factors!QS3+SQRT(Parameters!$B$6)*Factors!QS6+SQRT(Parameters!$B$7)*Factors!QS9+SQRT(Parameters!$B$9)*NORM.S.INV(RAND())</f>
        <v/>
      </c>
      <c r="QT7" s="19">
        <f>SQRT(Parameters!$B$5)*Factors!QT3+SQRT(Parameters!$B$6)*Factors!QT6+SQRT(Parameters!$B$7)*Factors!QT9+SQRT(Parameters!$B$9)*NORM.S.INV(RAND())</f>
        <v/>
      </c>
      <c r="QU7" s="19">
        <f>SQRT(Parameters!$B$5)*Factors!QU3+SQRT(Parameters!$B$6)*Factors!QU6+SQRT(Parameters!$B$7)*Factors!QU9+SQRT(Parameters!$B$9)*NORM.S.INV(RAND())</f>
        <v/>
      </c>
      <c r="QV7" s="19">
        <f>SQRT(Parameters!$B$5)*Factors!QV3+SQRT(Parameters!$B$6)*Factors!QV6+SQRT(Parameters!$B$7)*Factors!QV9+SQRT(Parameters!$B$9)*NORM.S.INV(RAND())</f>
        <v/>
      </c>
      <c r="QW7" s="19">
        <f>SQRT(Parameters!$B$5)*Factors!QW3+SQRT(Parameters!$B$6)*Factors!QW6+SQRT(Parameters!$B$7)*Factors!QW9+SQRT(Parameters!$B$9)*NORM.S.INV(RAND())</f>
        <v/>
      </c>
      <c r="QX7" s="19">
        <f>SQRT(Parameters!$B$5)*Factors!QX3+SQRT(Parameters!$B$6)*Factors!QX6+SQRT(Parameters!$B$7)*Factors!QX9+SQRT(Parameters!$B$9)*NORM.S.INV(RAND())</f>
        <v/>
      </c>
      <c r="QY7" s="19">
        <f>SQRT(Parameters!$B$5)*Factors!QY3+SQRT(Parameters!$B$6)*Factors!QY6+SQRT(Parameters!$B$7)*Factors!QY9+SQRT(Parameters!$B$9)*NORM.S.INV(RAND())</f>
        <v/>
      </c>
      <c r="QZ7" s="19">
        <f>SQRT(Parameters!$B$5)*Factors!QZ3+SQRT(Parameters!$B$6)*Factors!QZ6+SQRT(Parameters!$B$7)*Factors!QZ9+SQRT(Parameters!$B$9)*NORM.S.INV(RAND())</f>
        <v/>
      </c>
      <c r="RA7" s="19">
        <f>SQRT(Parameters!$B$5)*Factors!RA3+SQRT(Parameters!$B$6)*Factors!RA6+SQRT(Parameters!$B$7)*Factors!RA9+SQRT(Parameters!$B$9)*NORM.S.INV(RAND())</f>
        <v/>
      </c>
      <c r="RB7" s="19">
        <f>SQRT(Parameters!$B$5)*Factors!RB3+SQRT(Parameters!$B$6)*Factors!RB6+SQRT(Parameters!$B$7)*Factors!RB9+SQRT(Parameters!$B$9)*NORM.S.INV(RAND())</f>
        <v/>
      </c>
      <c r="RC7" s="19">
        <f>SQRT(Parameters!$B$5)*Factors!RC3+SQRT(Parameters!$B$6)*Factors!RC6+SQRT(Parameters!$B$7)*Factors!RC9+SQRT(Parameters!$B$9)*NORM.S.INV(RAND())</f>
        <v/>
      </c>
      <c r="RD7" s="19">
        <f>SQRT(Parameters!$B$5)*Factors!RD3+SQRT(Parameters!$B$6)*Factors!RD6+SQRT(Parameters!$B$7)*Factors!RD9+SQRT(Parameters!$B$9)*NORM.S.INV(RAND())</f>
        <v/>
      </c>
      <c r="RE7" s="19">
        <f>SQRT(Parameters!$B$5)*Factors!RE3+SQRT(Parameters!$B$6)*Factors!RE6+SQRT(Parameters!$B$7)*Factors!RE9+SQRT(Parameters!$B$9)*NORM.S.INV(RAND())</f>
        <v/>
      </c>
      <c r="RF7" s="19">
        <f>SQRT(Parameters!$B$5)*Factors!RF3+SQRT(Parameters!$B$6)*Factors!RF6+SQRT(Parameters!$B$7)*Factors!RF9+SQRT(Parameters!$B$9)*NORM.S.INV(RAND())</f>
        <v/>
      </c>
      <c r="RG7" s="19">
        <f>SQRT(Parameters!$B$5)*Factors!RG3+SQRT(Parameters!$B$6)*Factors!RG6+SQRT(Parameters!$B$7)*Factors!RG9+SQRT(Parameters!$B$9)*NORM.S.INV(RAND())</f>
        <v/>
      </c>
      <c r="RH7" s="19">
        <f>SQRT(Parameters!$B$5)*Factors!RH3+SQRT(Parameters!$B$6)*Factors!RH6+SQRT(Parameters!$B$7)*Factors!RH9+SQRT(Parameters!$B$9)*NORM.S.INV(RAND())</f>
        <v/>
      </c>
      <c r="RI7" s="19">
        <f>SQRT(Parameters!$B$5)*Factors!RI3+SQRT(Parameters!$B$6)*Factors!RI6+SQRT(Parameters!$B$7)*Factors!RI9+SQRT(Parameters!$B$9)*NORM.S.INV(RAND())</f>
        <v/>
      </c>
      <c r="RJ7" s="19">
        <f>SQRT(Parameters!$B$5)*Factors!RJ3+SQRT(Parameters!$B$6)*Factors!RJ6+SQRT(Parameters!$B$7)*Factors!RJ9+SQRT(Parameters!$B$9)*NORM.S.INV(RAND())</f>
        <v/>
      </c>
      <c r="RK7" s="19">
        <f>SQRT(Parameters!$B$5)*Factors!RK3+SQRT(Parameters!$B$6)*Factors!RK6+SQRT(Parameters!$B$7)*Factors!RK9+SQRT(Parameters!$B$9)*NORM.S.INV(RAND())</f>
        <v/>
      </c>
      <c r="RL7" s="19">
        <f>SQRT(Parameters!$B$5)*Factors!RL3+SQRT(Parameters!$B$6)*Factors!RL6+SQRT(Parameters!$B$7)*Factors!RL9+SQRT(Parameters!$B$9)*NORM.S.INV(RAND())</f>
        <v/>
      </c>
      <c r="RM7" s="19">
        <f>SQRT(Parameters!$B$5)*Factors!RM3+SQRT(Parameters!$B$6)*Factors!RM6+SQRT(Parameters!$B$7)*Factors!RM9+SQRT(Parameters!$B$9)*NORM.S.INV(RAND())</f>
        <v/>
      </c>
      <c r="RN7" s="19">
        <f>SQRT(Parameters!$B$5)*Factors!RN3+SQRT(Parameters!$B$6)*Factors!RN6+SQRT(Parameters!$B$7)*Factors!RN9+SQRT(Parameters!$B$9)*NORM.S.INV(RAND())</f>
        <v/>
      </c>
      <c r="RO7" s="19">
        <f>SQRT(Parameters!$B$5)*Factors!RO3+SQRT(Parameters!$B$6)*Factors!RO6+SQRT(Parameters!$B$7)*Factors!RO9+SQRT(Parameters!$B$9)*NORM.S.INV(RAND())</f>
        <v/>
      </c>
      <c r="RP7" s="19">
        <f>SQRT(Parameters!$B$5)*Factors!RP3+SQRT(Parameters!$B$6)*Factors!RP6+SQRT(Parameters!$B$7)*Factors!RP9+SQRT(Parameters!$B$9)*NORM.S.INV(RAND())</f>
        <v/>
      </c>
      <c r="RQ7" s="19">
        <f>SQRT(Parameters!$B$5)*Factors!RQ3+SQRT(Parameters!$B$6)*Factors!RQ6+SQRT(Parameters!$B$7)*Factors!RQ9+SQRT(Parameters!$B$9)*NORM.S.INV(RAND())</f>
        <v/>
      </c>
      <c r="RR7" s="19">
        <f>SQRT(Parameters!$B$5)*Factors!RR3+SQRT(Parameters!$B$6)*Factors!RR6+SQRT(Parameters!$B$7)*Factors!RR9+SQRT(Parameters!$B$9)*NORM.S.INV(RAND())</f>
        <v/>
      </c>
      <c r="RS7" s="19">
        <f>SQRT(Parameters!$B$5)*Factors!RS3+SQRT(Parameters!$B$6)*Factors!RS6+SQRT(Parameters!$B$7)*Factors!RS9+SQRT(Parameters!$B$9)*NORM.S.INV(RAND())</f>
        <v/>
      </c>
      <c r="RT7" s="19">
        <f>SQRT(Parameters!$B$5)*Factors!RT3+SQRT(Parameters!$B$6)*Factors!RT6+SQRT(Parameters!$B$7)*Factors!RT9+SQRT(Parameters!$B$9)*NORM.S.INV(RAND())</f>
        <v/>
      </c>
      <c r="RU7" s="19">
        <f>SQRT(Parameters!$B$5)*Factors!RU3+SQRT(Parameters!$B$6)*Factors!RU6+SQRT(Parameters!$B$7)*Factors!RU9+SQRT(Parameters!$B$9)*NORM.S.INV(RAND())</f>
        <v/>
      </c>
      <c r="RV7" s="19">
        <f>SQRT(Parameters!$B$5)*Factors!RV3+SQRT(Parameters!$B$6)*Factors!RV6+SQRT(Parameters!$B$7)*Factors!RV9+SQRT(Parameters!$B$9)*NORM.S.INV(RAND())</f>
        <v/>
      </c>
      <c r="RW7" s="19">
        <f>SQRT(Parameters!$B$5)*Factors!RW3+SQRT(Parameters!$B$6)*Factors!RW6+SQRT(Parameters!$B$7)*Factors!RW9+SQRT(Parameters!$B$9)*NORM.S.INV(RAND())</f>
        <v/>
      </c>
      <c r="RX7" s="19">
        <f>SQRT(Parameters!$B$5)*Factors!RX3+SQRT(Parameters!$B$6)*Factors!RX6+SQRT(Parameters!$B$7)*Factors!RX9+SQRT(Parameters!$B$9)*NORM.S.INV(RAND())</f>
        <v/>
      </c>
      <c r="RY7" s="19">
        <f>SQRT(Parameters!$B$5)*Factors!RY3+SQRT(Parameters!$B$6)*Factors!RY6+SQRT(Parameters!$B$7)*Factors!RY9+SQRT(Parameters!$B$9)*NORM.S.INV(RAND())</f>
        <v/>
      </c>
      <c r="RZ7" s="19">
        <f>SQRT(Parameters!$B$5)*Factors!RZ3+SQRT(Parameters!$B$6)*Factors!RZ6+SQRT(Parameters!$B$7)*Factors!RZ9+SQRT(Parameters!$B$9)*NORM.S.INV(RAND())</f>
        <v/>
      </c>
      <c r="SA7" s="19">
        <f>SQRT(Parameters!$B$5)*Factors!SA3+SQRT(Parameters!$B$6)*Factors!SA6+SQRT(Parameters!$B$7)*Factors!SA9+SQRT(Parameters!$B$9)*NORM.S.INV(RAND())</f>
        <v/>
      </c>
      <c r="SB7" s="19">
        <f>SQRT(Parameters!$B$5)*Factors!SB3+SQRT(Parameters!$B$6)*Factors!SB6+SQRT(Parameters!$B$7)*Factors!SB9+SQRT(Parameters!$B$9)*NORM.S.INV(RAND())</f>
        <v/>
      </c>
      <c r="SC7" s="19">
        <f>SQRT(Parameters!$B$5)*Factors!SC3+SQRT(Parameters!$B$6)*Factors!SC6+SQRT(Parameters!$B$7)*Factors!SC9+SQRT(Parameters!$B$9)*NORM.S.INV(RAND())</f>
        <v/>
      </c>
      <c r="SD7" s="19">
        <f>SQRT(Parameters!$B$5)*Factors!SD3+SQRT(Parameters!$B$6)*Factors!SD6+SQRT(Parameters!$B$7)*Factors!SD9+SQRT(Parameters!$B$9)*NORM.S.INV(RAND())</f>
        <v/>
      </c>
      <c r="SE7" s="19">
        <f>SQRT(Parameters!$B$5)*Factors!SE3+SQRT(Parameters!$B$6)*Factors!SE6+SQRT(Parameters!$B$7)*Factors!SE9+SQRT(Parameters!$B$9)*NORM.S.INV(RAND())</f>
        <v/>
      </c>
      <c r="SF7" s="19">
        <f>SQRT(Parameters!$B$5)*Factors!SF3+SQRT(Parameters!$B$6)*Factors!SF6+SQRT(Parameters!$B$7)*Factors!SF9+SQRT(Parameters!$B$9)*NORM.S.INV(RAND())</f>
        <v/>
      </c>
      <c r="SG7" s="19">
        <f>SQRT(Parameters!$B$5)*Factors!SG3+SQRT(Parameters!$B$6)*Factors!SG6+SQRT(Parameters!$B$7)*Factors!SG9+SQRT(Parameters!$B$9)*NORM.S.INV(RAND())</f>
        <v/>
      </c>
    </row>
    <row r="8">
      <c r="A8" s="17" t="inlineStr">
        <is>
          <t>OBL-007</t>
        </is>
      </c>
      <c r="B8" s="19">
        <f>SQRT(Parameters!$B$5)*Factors!B3+SQRT(Parameters!$B$6)*Factors!B5+SQRT(Parameters!$B$7)*Factors!B9+SQRT(Parameters!$B$9)*NORM.S.INV(RAND())</f>
        <v/>
      </c>
      <c r="C8" s="19">
        <f>SQRT(Parameters!$B$5)*Factors!C3+SQRT(Parameters!$B$6)*Factors!C5+SQRT(Parameters!$B$7)*Factors!C9+SQRT(Parameters!$B$9)*NORM.S.INV(RAND())</f>
        <v/>
      </c>
      <c r="D8" s="19">
        <f>SQRT(Parameters!$B$5)*Factors!D3+SQRT(Parameters!$B$6)*Factors!D5+SQRT(Parameters!$B$7)*Factors!D9+SQRT(Parameters!$B$9)*NORM.S.INV(RAND())</f>
        <v/>
      </c>
      <c r="E8" s="19">
        <f>SQRT(Parameters!$B$5)*Factors!E3+SQRT(Parameters!$B$6)*Factors!E5+SQRT(Parameters!$B$7)*Factors!E9+SQRT(Parameters!$B$9)*NORM.S.INV(RAND())</f>
        <v/>
      </c>
      <c r="F8" s="19">
        <f>SQRT(Parameters!$B$5)*Factors!F3+SQRT(Parameters!$B$6)*Factors!F5+SQRT(Parameters!$B$7)*Factors!F9+SQRT(Parameters!$B$9)*NORM.S.INV(RAND())</f>
        <v/>
      </c>
      <c r="G8" s="19">
        <f>SQRT(Parameters!$B$5)*Factors!G3+SQRT(Parameters!$B$6)*Factors!G5+SQRT(Parameters!$B$7)*Factors!G9+SQRT(Parameters!$B$9)*NORM.S.INV(RAND())</f>
        <v/>
      </c>
      <c r="H8" s="19">
        <f>SQRT(Parameters!$B$5)*Factors!H3+SQRT(Parameters!$B$6)*Factors!H5+SQRT(Parameters!$B$7)*Factors!H9+SQRT(Parameters!$B$9)*NORM.S.INV(RAND())</f>
        <v/>
      </c>
      <c r="I8" s="19">
        <f>SQRT(Parameters!$B$5)*Factors!I3+SQRT(Parameters!$B$6)*Factors!I5+SQRT(Parameters!$B$7)*Factors!I9+SQRT(Parameters!$B$9)*NORM.S.INV(RAND())</f>
        <v/>
      </c>
      <c r="J8" s="19">
        <f>SQRT(Parameters!$B$5)*Factors!J3+SQRT(Parameters!$B$6)*Factors!J5+SQRT(Parameters!$B$7)*Factors!J9+SQRT(Parameters!$B$9)*NORM.S.INV(RAND())</f>
        <v/>
      </c>
      <c r="K8" s="19">
        <f>SQRT(Parameters!$B$5)*Factors!K3+SQRT(Parameters!$B$6)*Factors!K5+SQRT(Parameters!$B$7)*Factors!K9+SQRT(Parameters!$B$9)*NORM.S.INV(RAND())</f>
        <v/>
      </c>
      <c r="L8" s="19">
        <f>SQRT(Parameters!$B$5)*Factors!L3+SQRT(Parameters!$B$6)*Factors!L5+SQRT(Parameters!$B$7)*Factors!L9+SQRT(Parameters!$B$9)*NORM.S.INV(RAND())</f>
        <v/>
      </c>
      <c r="M8" s="19">
        <f>SQRT(Parameters!$B$5)*Factors!M3+SQRT(Parameters!$B$6)*Factors!M5+SQRT(Parameters!$B$7)*Factors!M9+SQRT(Parameters!$B$9)*NORM.S.INV(RAND())</f>
        <v/>
      </c>
      <c r="N8" s="19">
        <f>SQRT(Parameters!$B$5)*Factors!N3+SQRT(Parameters!$B$6)*Factors!N5+SQRT(Parameters!$B$7)*Factors!N9+SQRT(Parameters!$B$9)*NORM.S.INV(RAND())</f>
        <v/>
      </c>
      <c r="O8" s="19">
        <f>SQRT(Parameters!$B$5)*Factors!O3+SQRT(Parameters!$B$6)*Factors!O5+SQRT(Parameters!$B$7)*Factors!O9+SQRT(Parameters!$B$9)*NORM.S.INV(RAND())</f>
        <v/>
      </c>
      <c r="P8" s="19">
        <f>SQRT(Parameters!$B$5)*Factors!P3+SQRT(Parameters!$B$6)*Factors!P5+SQRT(Parameters!$B$7)*Factors!P9+SQRT(Parameters!$B$9)*NORM.S.INV(RAND())</f>
        <v/>
      </c>
      <c r="Q8" s="19">
        <f>SQRT(Parameters!$B$5)*Factors!Q3+SQRT(Parameters!$B$6)*Factors!Q5+SQRT(Parameters!$B$7)*Factors!Q9+SQRT(Parameters!$B$9)*NORM.S.INV(RAND())</f>
        <v/>
      </c>
      <c r="R8" s="19">
        <f>SQRT(Parameters!$B$5)*Factors!R3+SQRT(Parameters!$B$6)*Factors!R5+SQRT(Parameters!$B$7)*Factors!R9+SQRT(Parameters!$B$9)*NORM.S.INV(RAND())</f>
        <v/>
      </c>
      <c r="S8" s="19">
        <f>SQRT(Parameters!$B$5)*Factors!S3+SQRT(Parameters!$B$6)*Factors!S5+SQRT(Parameters!$B$7)*Factors!S9+SQRT(Parameters!$B$9)*NORM.S.INV(RAND())</f>
        <v/>
      </c>
      <c r="T8" s="19">
        <f>SQRT(Parameters!$B$5)*Factors!T3+SQRT(Parameters!$B$6)*Factors!T5+SQRT(Parameters!$B$7)*Factors!T9+SQRT(Parameters!$B$9)*NORM.S.INV(RAND())</f>
        <v/>
      </c>
      <c r="U8" s="19">
        <f>SQRT(Parameters!$B$5)*Factors!U3+SQRT(Parameters!$B$6)*Factors!U5+SQRT(Parameters!$B$7)*Factors!U9+SQRT(Parameters!$B$9)*NORM.S.INV(RAND())</f>
        <v/>
      </c>
      <c r="V8" s="19">
        <f>SQRT(Parameters!$B$5)*Factors!V3+SQRT(Parameters!$B$6)*Factors!V5+SQRT(Parameters!$B$7)*Factors!V9+SQRT(Parameters!$B$9)*NORM.S.INV(RAND())</f>
        <v/>
      </c>
      <c r="W8" s="19">
        <f>SQRT(Parameters!$B$5)*Factors!W3+SQRT(Parameters!$B$6)*Factors!W5+SQRT(Parameters!$B$7)*Factors!W9+SQRT(Parameters!$B$9)*NORM.S.INV(RAND())</f>
        <v/>
      </c>
      <c r="X8" s="19">
        <f>SQRT(Parameters!$B$5)*Factors!X3+SQRT(Parameters!$B$6)*Factors!X5+SQRT(Parameters!$B$7)*Factors!X9+SQRT(Parameters!$B$9)*NORM.S.INV(RAND())</f>
        <v/>
      </c>
      <c r="Y8" s="19">
        <f>SQRT(Parameters!$B$5)*Factors!Y3+SQRT(Parameters!$B$6)*Factors!Y5+SQRT(Parameters!$B$7)*Factors!Y9+SQRT(Parameters!$B$9)*NORM.S.INV(RAND())</f>
        <v/>
      </c>
      <c r="Z8" s="19">
        <f>SQRT(Parameters!$B$5)*Factors!Z3+SQRT(Parameters!$B$6)*Factors!Z5+SQRT(Parameters!$B$7)*Factors!Z9+SQRT(Parameters!$B$9)*NORM.S.INV(RAND())</f>
        <v/>
      </c>
      <c r="AA8" s="19">
        <f>SQRT(Parameters!$B$5)*Factors!AA3+SQRT(Parameters!$B$6)*Factors!AA5+SQRT(Parameters!$B$7)*Factors!AA9+SQRT(Parameters!$B$9)*NORM.S.INV(RAND())</f>
        <v/>
      </c>
      <c r="AB8" s="19">
        <f>SQRT(Parameters!$B$5)*Factors!AB3+SQRT(Parameters!$B$6)*Factors!AB5+SQRT(Parameters!$B$7)*Factors!AB9+SQRT(Parameters!$B$9)*NORM.S.INV(RAND())</f>
        <v/>
      </c>
      <c r="AC8" s="19">
        <f>SQRT(Parameters!$B$5)*Factors!AC3+SQRT(Parameters!$B$6)*Factors!AC5+SQRT(Parameters!$B$7)*Factors!AC9+SQRT(Parameters!$B$9)*NORM.S.INV(RAND())</f>
        <v/>
      </c>
      <c r="AD8" s="19">
        <f>SQRT(Parameters!$B$5)*Factors!AD3+SQRT(Parameters!$B$6)*Factors!AD5+SQRT(Parameters!$B$7)*Factors!AD9+SQRT(Parameters!$B$9)*NORM.S.INV(RAND())</f>
        <v/>
      </c>
      <c r="AE8" s="19">
        <f>SQRT(Parameters!$B$5)*Factors!AE3+SQRT(Parameters!$B$6)*Factors!AE5+SQRT(Parameters!$B$7)*Factors!AE9+SQRT(Parameters!$B$9)*NORM.S.INV(RAND())</f>
        <v/>
      </c>
      <c r="AF8" s="19">
        <f>SQRT(Parameters!$B$5)*Factors!AF3+SQRT(Parameters!$B$6)*Factors!AF5+SQRT(Parameters!$B$7)*Factors!AF9+SQRT(Parameters!$B$9)*NORM.S.INV(RAND())</f>
        <v/>
      </c>
      <c r="AG8" s="19">
        <f>SQRT(Parameters!$B$5)*Factors!AG3+SQRT(Parameters!$B$6)*Factors!AG5+SQRT(Parameters!$B$7)*Factors!AG9+SQRT(Parameters!$B$9)*NORM.S.INV(RAND())</f>
        <v/>
      </c>
      <c r="AH8" s="19">
        <f>SQRT(Parameters!$B$5)*Factors!AH3+SQRT(Parameters!$B$6)*Factors!AH5+SQRT(Parameters!$B$7)*Factors!AH9+SQRT(Parameters!$B$9)*NORM.S.INV(RAND())</f>
        <v/>
      </c>
      <c r="AI8" s="19">
        <f>SQRT(Parameters!$B$5)*Factors!AI3+SQRT(Parameters!$B$6)*Factors!AI5+SQRT(Parameters!$B$7)*Factors!AI9+SQRT(Parameters!$B$9)*NORM.S.INV(RAND())</f>
        <v/>
      </c>
      <c r="AJ8" s="19">
        <f>SQRT(Parameters!$B$5)*Factors!AJ3+SQRT(Parameters!$B$6)*Factors!AJ5+SQRT(Parameters!$B$7)*Factors!AJ9+SQRT(Parameters!$B$9)*NORM.S.INV(RAND())</f>
        <v/>
      </c>
      <c r="AK8" s="19">
        <f>SQRT(Parameters!$B$5)*Factors!AK3+SQRT(Parameters!$B$6)*Factors!AK5+SQRT(Parameters!$B$7)*Factors!AK9+SQRT(Parameters!$B$9)*NORM.S.INV(RAND())</f>
        <v/>
      </c>
      <c r="AL8" s="19">
        <f>SQRT(Parameters!$B$5)*Factors!AL3+SQRT(Parameters!$B$6)*Factors!AL5+SQRT(Parameters!$B$7)*Factors!AL9+SQRT(Parameters!$B$9)*NORM.S.INV(RAND())</f>
        <v/>
      </c>
      <c r="AM8" s="19">
        <f>SQRT(Parameters!$B$5)*Factors!AM3+SQRT(Parameters!$B$6)*Factors!AM5+SQRT(Parameters!$B$7)*Factors!AM9+SQRT(Parameters!$B$9)*NORM.S.INV(RAND())</f>
        <v/>
      </c>
      <c r="AN8" s="19">
        <f>SQRT(Parameters!$B$5)*Factors!AN3+SQRT(Parameters!$B$6)*Factors!AN5+SQRT(Parameters!$B$7)*Factors!AN9+SQRT(Parameters!$B$9)*NORM.S.INV(RAND())</f>
        <v/>
      </c>
      <c r="AO8" s="19">
        <f>SQRT(Parameters!$B$5)*Factors!AO3+SQRT(Parameters!$B$6)*Factors!AO5+SQRT(Parameters!$B$7)*Factors!AO9+SQRT(Parameters!$B$9)*NORM.S.INV(RAND())</f>
        <v/>
      </c>
      <c r="AP8" s="19">
        <f>SQRT(Parameters!$B$5)*Factors!AP3+SQRT(Parameters!$B$6)*Factors!AP5+SQRT(Parameters!$B$7)*Factors!AP9+SQRT(Parameters!$B$9)*NORM.S.INV(RAND())</f>
        <v/>
      </c>
      <c r="AQ8" s="19">
        <f>SQRT(Parameters!$B$5)*Factors!AQ3+SQRT(Parameters!$B$6)*Factors!AQ5+SQRT(Parameters!$B$7)*Factors!AQ9+SQRT(Parameters!$B$9)*NORM.S.INV(RAND())</f>
        <v/>
      </c>
      <c r="AR8" s="19">
        <f>SQRT(Parameters!$B$5)*Factors!AR3+SQRT(Parameters!$B$6)*Factors!AR5+SQRT(Parameters!$B$7)*Factors!AR9+SQRT(Parameters!$B$9)*NORM.S.INV(RAND())</f>
        <v/>
      </c>
      <c r="AS8" s="19">
        <f>SQRT(Parameters!$B$5)*Factors!AS3+SQRT(Parameters!$B$6)*Factors!AS5+SQRT(Parameters!$B$7)*Factors!AS9+SQRT(Parameters!$B$9)*NORM.S.INV(RAND())</f>
        <v/>
      </c>
      <c r="AT8" s="19">
        <f>SQRT(Parameters!$B$5)*Factors!AT3+SQRT(Parameters!$B$6)*Factors!AT5+SQRT(Parameters!$B$7)*Factors!AT9+SQRT(Parameters!$B$9)*NORM.S.INV(RAND())</f>
        <v/>
      </c>
      <c r="AU8" s="19">
        <f>SQRT(Parameters!$B$5)*Factors!AU3+SQRT(Parameters!$B$6)*Factors!AU5+SQRT(Parameters!$B$7)*Factors!AU9+SQRT(Parameters!$B$9)*NORM.S.INV(RAND())</f>
        <v/>
      </c>
      <c r="AV8" s="19">
        <f>SQRT(Parameters!$B$5)*Factors!AV3+SQRT(Parameters!$B$6)*Factors!AV5+SQRT(Parameters!$B$7)*Factors!AV9+SQRT(Parameters!$B$9)*NORM.S.INV(RAND())</f>
        <v/>
      </c>
      <c r="AW8" s="19">
        <f>SQRT(Parameters!$B$5)*Factors!AW3+SQRT(Parameters!$B$6)*Factors!AW5+SQRT(Parameters!$B$7)*Factors!AW9+SQRT(Parameters!$B$9)*NORM.S.INV(RAND())</f>
        <v/>
      </c>
      <c r="AX8" s="19">
        <f>SQRT(Parameters!$B$5)*Factors!AX3+SQRT(Parameters!$B$6)*Factors!AX5+SQRT(Parameters!$B$7)*Factors!AX9+SQRT(Parameters!$B$9)*NORM.S.INV(RAND())</f>
        <v/>
      </c>
      <c r="AY8" s="19">
        <f>SQRT(Parameters!$B$5)*Factors!AY3+SQRT(Parameters!$B$6)*Factors!AY5+SQRT(Parameters!$B$7)*Factors!AY9+SQRT(Parameters!$B$9)*NORM.S.INV(RAND())</f>
        <v/>
      </c>
      <c r="AZ8" s="19">
        <f>SQRT(Parameters!$B$5)*Factors!AZ3+SQRT(Parameters!$B$6)*Factors!AZ5+SQRT(Parameters!$B$7)*Factors!AZ9+SQRT(Parameters!$B$9)*NORM.S.INV(RAND())</f>
        <v/>
      </c>
      <c r="BA8" s="19">
        <f>SQRT(Parameters!$B$5)*Factors!BA3+SQRT(Parameters!$B$6)*Factors!BA5+SQRT(Parameters!$B$7)*Factors!BA9+SQRT(Parameters!$B$9)*NORM.S.INV(RAND())</f>
        <v/>
      </c>
      <c r="BB8" s="19">
        <f>SQRT(Parameters!$B$5)*Factors!BB3+SQRT(Parameters!$B$6)*Factors!BB5+SQRT(Parameters!$B$7)*Factors!BB9+SQRT(Parameters!$B$9)*NORM.S.INV(RAND())</f>
        <v/>
      </c>
      <c r="BC8" s="19">
        <f>SQRT(Parameters!$B$5)*Factors!BC3+SQRT(Parameters!$B$6)*Factors!BC5+SQRT(Parameters!$B$7)*Factors!BC9+SQRT(Parameters!$B$9)*NORM.S.INV(RAND())</f>
        <v/>
      </c>
      <c r="BD8" s="19">
        <f>SQRT(Parameters!$B$5)*Factors!BD3+SQRT(Parameters!$B$6)*Factors!BD5+SQRT(Parameters!$B$7)*Factors!BD9+SQRT(Parameters!$B$9)*NORM.S.INV(RAND())</f>
        <v/>
      </c>
      <c r="BE8" s="19">
        <f>SQRT(Parameters!$B$5)*Factors!BE3+SQRT(Parameters!$B$6)*Factors!BE5+SQRT(Parameters!$B$7)*Factors!BE9+SQRT(Parameters!$B$9)*NORM.S.INV(RAND())</f>
        <v/>
      </c>
      <c r="BF8" s="19">
        <f>SQRT(Parameters!$B$5)*Factors!BF3+SQRT(Parameters!$B$6)*Factors!BF5+SQRT(Parameters!$B$7)*Factors!BF9+SQRT(Parameters!$B$9)*NORM.S.INV(RAND())</f>
        <v/>
      </c>
      <c r="BG8" s="19">
        <f>SQRT(Parameters!$B$5)*Factors!BG3+SQRT(Parameters!$B$6)*Factors!BG5+SQRT(Parameters!$B$7)*Factors!BG9+SQRT(Parameters!$B$9)*NORM.S.INV(RAND())</f>
        <v/>
      </c>
      <c r="BH8" s="19">
        <f>SQRT(Parameters!$B$5)*Factors!BH3+SQRT(Parameters!$B$6)*Factors!BH5+SQRT(Parameters!$B$7)*Factors!BH9+SQRT(Parameters!$B$9)*NORM.S.INV(RAND())</f>
        <v/>
      </c>
      <c r="BI8" s="19">
        <f>SQRT(Parameters!$B$5)*Factors!BI3+SQRT(Parameters!$B$6)*Factors!BI5+SQRT(Parameters!$B$7)*Factors!BI9+SQRT(Parameters!$B$9)*NORM.S.INV(RAND())</f>
        <v/>
      </c>
      <c r="BJ8" s="19">
        <f>SQRT(Parameters!$B$5)*Factors!BJ3+SQRT(Parameters!$B$6)*Factors!BJ5+SQRT(Parameters!$B$7)*Factors!BJ9+SQRT(Parameters!$B$9)*NORM.S.INV(RAND())</f>
        <v/>
      </c>
      <c r="BK8" s="19">
        <f>SQRT(Parameters!$B$5)*Factors!BK3+SQRT(Parameters!$B$6)*Factors!BK5+SQRT(Parameters!$B$7)*Factors!BK9+SQRT(Parameters!$B$9)*NORM.S.INV(RAND())</f>
        <v/>
      </c>
      <c r="BL8" s="19">
        <f>SQRT(Parameters!$B$5)*Factors!BL3+SQRT(Parameters!$B$6)*Factors!BL5+SQRT(Parameters!$B$7)*Factors!BL9+SQRT(Parameters!$B$9)*NORM.S.INV(RAND())</f>
        <v/>
      </c>
      <c r="BM8" s="19">
        <f>SQRT(Parameters!$B$5)*Factors!BM3+SQRT(Parameters!$B$6)*Factors!BM5+SQRT(Parameters!$B$7)*Factors!BM9+SQRT(Parameters!$B$9)*NORM.S.INV(RAND())</f>
        <v/>
      </c>
      <c r="BN8" s="19">
        <f>SQRT(Parameters!$B$5)*Factors!BN3+SQRT(Parameters!$B$6)*Factors!BN5+SQRT(Parameters!$B$7)*Factors!BN9+SQRT(Parameters!$B$9)*NORM.S.INV(RAND())</f>
        <v/>
      </c>
      <c r="BO8" s="19">
        <f>SQRT(Parameters!$B$5)*Factors!BO3+SQRT(Parameters!$B$6)*Factors!BO5+SQRT(Parameters!$B$7)*Factors!BO9+SQRT(Parameters!$B$9)*NORM.S.INV(RAND())</f>
        <v/>
      </c>
      <c r="BP8" s="19">
        <f>SQRT(Parameters!$B$5)*Factors!BP3+SQRT(Parameters!$B$6)*Factors!BP5+SQRT(Parameters!$B$7)*Factors!BP9+SQRT(Parameters!$B$9)*NORM.S.INV(RAND())</f>
        <v/>
      </c>
      <c r="BQ8" s="19">
        <f>SQRT(Parameters!$B$5)*Factors!BQ3+SQRT(Parameters!$B$6)*Factors!BQ5+SQRT(Parameters!$B$7)*Factors!BQ9+SQRT(Parameters!$B$9)*NORM.S.INV(RAND())</f>
        <v/>
      </c>
      <c r="BR8" s="19">
        <f>SQRT(Parameters!$B$5)*Factors!BR3+SQRT(Parameters!$B$6)*Factors!BR5+SQRT(Parameters!$B$7)*Factors!BR9+SQRT(Parameters!$B$9)*NORM.S.INV(RAND())</f>
        <v/>
      </c>
      <c r="BS8" s="19">
        <f>SQRT(Parameters!$B$5)*Factors!BS3+SQRT(Parameters!$B$6)*Factors!BS5+SQRT(Parameters!$B$7)*Factors!BS9+SQRT(Parameters!$B$9)*NORM.S.INV(RAND())</f>
        <v/>
      </c>
      <c r="BT8" s="19">
        <f>SQRT(Parameters!$B$5)*Factors!BT3+SQRT(Parameters!$B$6)*Factors!BT5+SQRT(Parameters!$B$7)*Factors!BT9+SQRT(Parameters!$B$9)*NORM.S.INV(RAND())</f>
        <v/>
      </c>
      <c r="BU8" s="19">
        <f>SQRT(Parameters!$B$5)*Factors!BU3+SQRT(Parameters!$B$6)*Factors!BU5+SQRT(Parameters!$B$7)*Factors!BU9+SQRT(Parameters!$B$9)*NORM.S.INV(RAND())</f>
        <v/>
      </c>
      <c r="BV8" s="19">
        <f>SQRT(Parameters!$B$5)*Factors!BV3+SQRT(Parameters!$B$6)*Factors!BV5+SQRT(Parameters!$B$7)*Factors!BV9+SQRT(Parameters!$B$9)*NORM.S.INV(RAND())</f>
        <v/>
      </c>
      <c r="BW8" s="19">
        <f>SQRT(Parameters!$B$5)*Factors!BW3+SQRT(Parameters!$B$6)*Factors!BW5+SQRT(Parameters!$B$7)*Factors!BW9+SQRT(Parameters!$B$9)*NORM.S.INV(RAND())</f>
        <v/>
      </c>
      <c r="BX8" s="19">
        <f>SQRT(Parameters!$B$5)*Factors!BX3+SQRT(Parameters!$B$6)*Factors!BX5+SQRT(Parameters!$B$7)*Factors!BX9+SQRT(Parameters!$B$9)*NORM.S.INV(RAND())</f>
        <v/>
      </c>
      <c r="BY8" s="19">
        <f>SQRT(Parameters!$B$5)*Factors!BY3+SQRT(Parameters!$B$6)*Factors!BY5+SQRT(Parameters!$B$7)*Factors!BY9+SQRT(Parameters!$B$9)*NORM.S.INV(RAND())</f>
        <v/>
      </c>
      <c r="BZ8" s="19">
        <f>SQRT(Parameters!$B$5)*Factors!BZ3+SQRT(Parameters!$B$6)*Factors!BZ5+SQRT(Parameters!$B$7)*Factors!BZ9+SQRT(Parameters!$B$9)*NORM.S.INV(RAND())</f>
        <v/>
      </c>
      <c r="CA8" s="19">
        <f>SQRT(Parameters!$B$5)*Factors!CA3+SQRT(Parameters!$B$6)*Factors!CA5+SQRT(Parameters!$B$7)*Factors!CA9+SQRT(Parameters!$B$9)*NORM.S.INV(RAND())</f>
        <v/>
      </c>
      <c r="CB8" s="19">
        <f>SQRT(Parameters!$B$5)*Factors!CB3+SQRT(Parameters!$B$6)*Factors!CB5+SQRT(Parameters!$B$7)*Factors!CB9+SQRT(Parameters!$B$9)*NORM.S.INV(RAND())</f>
        <v/>
      </c>
      <c r="CC8" s="19">
        <f>SQRT(Parameters!$B$5)*Factors!CC3+SQRT(Parameters!$B$6)*Factors!CC5+SQRT(Parameters!$B$7)*Factors!CC9+SQRT(Parameters!$B$9)*NORM.S.INV(RAND())</f>
        <v/>
      </c>
      <c r="CD8" s="19">
        <f>SQRT(Parameters!$B$5)*Factors!CD3+SQRT(Parameters!$B$6)*Factors!CD5+SQRT(Parameters!$B$7)*Factors!CD9+SQRT(Parameters!$B$9)*NORM.S.INV(RAND())</f>
        <v/>
      </c>
      <c r="CE8" s="19">
        <f>SQRT(Parameters!$B$5)*Factors!CE3+SQRT(Parameters!$B$6)*Factors!CE5+SQRT(Parameters!$B$7)*Factors!CE9+SQRT(Parameters!$B$9)*NORM.S.INV(RAND())</f>
        <v/>
      </c>
      <c r="CF8" s="19">
        <f>SQRT(Parameters!$B$5)*Factors!CF3+SQRT(Parameters!$B$6)*Factors!CF5+SQRT(Parameters!$B$7)*Factors!CF9+SQRT(Parameters!$B$9)*NORM.S.INV(RAND())</f>
        <v/>
      </c>
      <c r="CG8" s="19">
        <f>SQRT(Parameters!$B$5)*Factors!CG3+SQRT(Parameters!$B$6)*Factors!CG5+SQRT(Parameters!$B$7)*Factors!CG9+SQRT(Parameters!$B$9)*NORM.S.INV(RAND())</f>
        <v/>
      </c>
      <c r="CH8" s="19">
        <f>SQRT(Parameters!$B$5)*Factors!CH3+SQRT(Parameters!$B$6)*Factors!CH5+SQRT(Parameters!$B$7)*Factors!CH9+SQRT(Parameters!$B$9)*NORM.S.INV(RAND())</f>
        <v/>
      </c>
      <c r="CI8" s="19">
        <f>SQRT(Parameters!$B$5)*Factors!CI3+SQRT(Parameters!$B$6)*Factors!CI5+SQRT(Parameters!$B$7)*Factors!CI9+SQRT(Parameters!$B$9)*NORM.S.INV(RAND())</f>
        <v/>
      </c>
      <c r="CJ8" s="19">
        <f>SQRT(Parameters!$B$5)*Factors!CJ3+SQRT(Parameters!$B$6)*Factors!CJ5+SQRT(Parameters!$B$7)*Factors!CJ9+SQRT(Parameters!$B$9)*NORM.S.INV(RAND())</f>
        <v/>
      </c>
      <c r="CK8" s="19">
        <f>SQRT(Parameters!$B$5)*Factors!CK3+SQRT(Parameters!$B$6)*Factors!CK5+SQRT(Parameters!$B$7)*Factors!CK9+SQRT(Parameters!$B$9)*NORM.S.INV(RAND())</f>
        <v/>
      </c>
      <c r="CL8" s="19">
        <f>SQRT(Parameters!$B$5)*Factors!CL3+SQRT(Parameters!$B$6)*Factors!CL5+SQRT(Parameters!$B$7)*Factors!CL9+SQRT(Parameters!$B$9)*NORM.S.INV(RAND())</f>
        <v/>
      </c>
      <c r="CM8" s="19">
        <f>SQRT(Parameters!$B$5)*Factors!CM3+SQRT(Parameters!$B$6)*Factors!CM5+SQRT(Parameters!$B$7)*Factors!CM9+SQRT(Parameters!$B$9)*NORM.S.INV(RAND())</f>
        <v/>
      </c>
      <c r="CN8" s="19">
        <f>SQRT(Parameters!$B$5)*Factors!CN3+SQRT(Parameters!$B$6)*Factors!CN5+SQRT(Parameters!$B$7)*Factors!CN9+SQRT(Parameters!$B$9)*NORM.S.INV(RAND())</f>
        <v/>
      </c>
      <c r="CO8" s="19">
        <f>SQRT(Parameters!$B$5)*Factors!CO3+SQRT(Parameters!$B$6)*Factors!CO5+SQRT(Parameters!$B$7)*Factors!CO9+SQRT(Parameters!$B$9)*NORM.S.INV(RAND())</f>
        <v/>
      </c>
      <c r="CP8" s="19">
        <f>SQRT(Parameters!$B$5)*Factors!CP3+SQRT(Parameters!$B$6)*Factors!CP5+SQRT(Parameters!$B$7)*Factors!CP9+SQRT(Parameters!$B$9)*NORM.S.INV(RAND())</f>
        <v/>
      </c>
      <c r="CQ8" s="19">
        <f>SQRT(Parameters!$B$5)*Factors!CQ3+SQRT(Parameters!$B$6)*Factors!CQ5+SQRT(Parameters!$B$7)*Factors!CQ9+SQRT(Parameters!$B$9)*NORM.S.INV(RAND())</f>
        <v/>
      </c>
      <c r="CR8" s="19">
        <f>SQRT(Parameters!$B$5)*Factors!CR3+SQRT(Parameters!$B$6)*Factors!CR5+SQRT(Parameters!$B$7)*Factors!CR9+SQRT(Parameters!$B$9)*NORM.S.INV(RAND())</f>
        <v/>
      </c>
      <c r="CS8" s="19">
        <f>SQRT(Parameters!$B$5)*Factors!CS3+SQRT(Parameters!$B$6)*Factors!CS5+SQRT(Parameters!$B$7)*Factors!CS9+SQRT(Parameters!$B$9)*NORM.S.INV(RAND())</f>
        <v/>
      </c>
      <c r="CT8" s="19">
        <f>SQRT(Parameters!$B$5)*Factors!CT3+SQRT(Parameters!$B$6)*Factors!CT5+SQRT(Parameters!$B$7)*Factors!CT9+SQRT(Parameters!$B$9)*NORM.S.INV(RAND())</f>
        <v/>
      </c>
      <c r="CU8" s="19">
        <f>SQRT(Parameters!$B$5)*Factors!CU3+SQRT(Parameters!$B$6)*Factors!CU5+SQRT(Parameters!$B$7)*Factors!CU9+SQRT(Parameters!$B$9)*NORM.S.INV(RAND())</f>
        <v/>
      </c>
      <c r="CV8" s="19">
        <f>SQRT(Parameters!$B$5)*Factors!CV3+SQRT(Parameters!$B$6)*Factors!CV5+SQRT(Parameters!$B$7)*Factors!CV9+SQRT(Parameters!$B$9)*NORM.S.INV(RAND())</f>
        <v/>
      </c>
      <c r="CW8" s="19">
        <f>SQRT(Parameters!$B$5)*Factors!CW3+SQRT(Parameters!$B$6)*Factors!CW5+SQRT(Parameters!$B$7)*Factors!CW9+SQRT(Parameters!$B$9)*NORM.S.INV(RAND())</f>
        <v/>
      </c>
      <c r="CX8" s="19">
        <f>SQRT(Parameters!$B$5)*Factors!CX3+SQRT(Parameters!$B$6)*Factors!CX5+SQRT(Parameters!$B$7)*Factors!CX9+SQRT(Parameters!$B$9)*NORM.S.INV(RAND())</f>
        <v/>
      </c>
      <c r="CY8" s="19">
        <f>SQRT(Parameters!$B$5)*Factors!CY3+SQRT(Parameters!$B$6)*Factors!CY5+SQRT(Parameters!$B$7)*Factors!CY9+SQRT(Parameters!$B$9)*NORM.S.INV(RAND())</f>
        <v/>
      </c>
      <c r="CZ8" s="19">
        <f>SQRT(Parameters!$B$5)*Factors!CZ3+SQRT(Parameters!$B$6)*Factors!CZ5+SQRT(Parameters!$B$7)*Factors!CZ9+SQRT(Parameters!$B$9)*NORM.S.INV(RAND())</f>
        <v/>
      </c>
      <c r="DA8" s="19">
        <f>SQRT(Parameters!$B$5)*Factors!DA3+SQRT(Parameters!$B$6)*Factors!DA5+SQRT(Parameters!$B$7)*Factors!DA9+SQRT(Parameters!$B$9)*NORM.S.INV(RAND())</f>
        <v/>
      </c>
      <c r="DB8" s="19">
        <f>SQRT(Parameters!$B$5)*Factors!DB3+SQRT(Parameters!$B$6)*Factors!DB5+SQRT(Parameters!$B$7)*Factors!DB9+SQRT(Parameters!$B$9)*NORM.S.INV(RAND())</f>
        <v/>
      </c>
      <c r="DC8" s="19">
        <f>SQRT(Parameters!$B$5)*Factors!DC3+SQRT(Parameters!$B$6)*Factors!DC5+SQRT(Parameters!$B$7)*Factors!DC9+SQRT(Parameters!$B$9)*NORM.S.INV(RAND())</f>
        <v/>
      </c>
      <c r="DD8" s="19">
        <f>SQRT(Parameters!$B$5)*Factors!DD3+SQRT(Parameters!$B$6)*Factors!DD5+SQRT(Parameters!$B$7)*Factors!DD9+SQRT(Parameters!$B$9)*NORM.S.INV(RAND())</f>
        <v/>
      </c>
      <c r="DE8" s="19">
        <f>SQRT(Parameters!$B$5)*Factors!DE3+SQRT(Parameters!$B$6)*Factors!DE5+SQRT(Parameters!$B$7)*Factors!DE9+SQRT(Parameters!$B$9)*NORM.S.INV(RAND())</f>
        <v/>
      </c>
      <c r="DF8" s="19">
        <f>SQRT(Parameters!$B$5)*Factors!DF3+SQRT(Parameters!$B$6)*Factors!DF5+SQRT(Parameters!$B$7)*Factors!DF9+SQRT(Parameters!$B$9)*NORM.S.INV(RAND())</f>
        <v/>
      </c>
      <c r="DG8" s="19">
        <f>SQRT(Parameters!$B$5)*Factors!DG3+SQRT(Parameters!$B$6)*Factors!DG5+SQRT(Parameters!$B$7)*Factors!DG9+SQRT(Parameters!$B$9)*NORM.S.INV(RAND())</f>
        <v/>
      </c>
      <c r="DH8" s="19">
        <f>SQRT(Parameters!$B$5)*Factors!DH3+SQRT(Parameters!$B$6)*Factors!DH5+SQRT(Parameters!$B$7)*Factors!DH9+SQRT(Parameters!$B$9)*NORM.S.INV(RAND())</f>
        <v/>
      </c>
      <c r="DI8" s="19">
        <f>SQRT(Parameters!$B$5)*Factors!DI3+SQRT(Parameters!$B$6)*Factors!DI5+SQRT(Parameters!$B$7)*Factors!DI9+SQRT(Parameters!$B$9)*NORM.S.INV(RAND())</f>
        <v/>
      </c>
      <c r="DJ8" s="19">
        <f>SQRT(Parameters!$B$5)*Factors!DJ3+SQRT(Parameters!$B$6)*Factors!DJ5+SQRT(Parameters!$B$7)*Factors!DJ9+SQRT(Parameters!$B$9)*NORM.S.INV(RAND())</f>
        <v/>
      </c>
      <c r="DK8" s="19">
        <f>SQRT(Parameters!$B$5)*Factors!DK3+SQRT(Parameters!$B$6)*Factors!DK5+SQRT(Parameters!$B$7)*Factors!DK9+SQRT(Parameters!$B$9)*NORM.S.INV(RAND())</f>
        <v/>
      </c>
      <c r="DL8" s="19">
        <f>SQRT(Parameters!$B$5)*Factors!DL3+SQRT(Parameters!$B$6)*Factors!DL5+SQRT(Parameters!$B$7)*Factors!DL9+SQRT(Parameters!$B$9)*NORM.S.INV(RAND())</f>
        <v/>
      </c>
      <c r="DM8" s="19">
        <f>SQRT(Parameters!$B$5)*Factors!DM3+SQRT(Parameters!$B$6)*Factors!DM5+SQRT(Parameters!$B$7)*Factors!DM9+SQRT(Parameters!$B$9)*NORM.S.INV(RAND())</f>
        <v/>
      </c>
      <c r="DN8" s="19">
        <f>SQRT(Parameters!$B$5)*Factors!DN3+SQRT(Parameters!$B$6)*Factors!DN5+SQRT(Parameters!$B$7)*Factors!DN9+SQRT(Parameters!$B$9)*NORM.S.INV(RAND())</f>
        <v/>
      </c>
      <c r="DO8" s="19">
        <f>SQRT(Parameters!$B$5)*Factors!DO3+SQRT(Parameters!$B$6)*Factors!DO5+SQRT(Parameters!$B$7)*Factors!DO9+SQRT(Parameters!$B$9)*NORM.S.INV(RAND())</f>
        <v/>
      </c>
      <c r="DP8" s="19">
        <f>SQRT(Parameters!$B$5)*Factors!DP3+SQRT(Parameters!$B$6)*Factors!DP5+SQRT(Parameters!$B$7)*Factors!DP9+SQRT(Parameters!$B$9)*NORM.S.INV(RAND())</f>
        <v/>
      </c>
      <c r="DQ8" s="19">
        <f>SQRT(Parameters!$B$5)*Factors!DQ3+SQRT(Parameters!$B$6)*Factors!DQ5+SQRT(Parameters!$B$7)*Factors!DQ9+SQRT(Parameters!$B$9)*NORM.S.INV(RAND())</f>
        <v/>
      </c>
      <c r="DR8" s="19">
        <f>SQRT(Parameters!$B$5)*Factors!DR3+SQRT(Parameters!$B$6)*Factors!DR5+SQRT(Parameters!$B$7)*Factors!DR9+SQRT(Parameters!$B$9)*NORM.S.INV(RAND())</f>
        <v/>
      </c>
      <c r="DS8" s="19">
        <f>SQRT(Parameters!$B$5)*Factors!DS3+SQRT(Parameters!$B$6)*Factors!DS5+SQRT(Parameters!$B$7)*Factors!DS9+SQRT(Parameters!$B$9)*NORM.S.INV(RAND())</f>
        <v/>
      </c>
      <c r="DT8" s="19">
        <f>SQRT(Parameters!$B$5)*Factors!DT3+SQRT(Parameters!$B$6)*Factors!DT5+SQRT(Parameters!$B$7)*Factors!DT9+SQRT(Parameters!$B$9)*NORM.S.INV(RAND())</f>
        <v/>
      </c>
      <c r="DU8" s="19">
        <f>SQRT(Parameters!$B$5)*Factors!DU3+SQRT(Parameters!$B$6)*Factors!DU5+SQRT(Parameters!$B$7)*Factors!DU9+SQRT(Parameters!$B$9)*NORM.S.INV(RAND())</f>
        <v/>
      </c>
      <c r="DV8" s="19">
        <f>SQRT(Parameters!$B$5)*Factors!DV3+SQRT(Parameters!$B$6)*Factors!DV5+SQRT(Parameters!$B$7)*Factors!DV9+SQRT(Parameters!$B$9)*NORM.S.INV(RAND())</f>
        <v/>
      </c>
      <c r="DW8" s="19">
        <f>SQRT(Parameters!$B$5)*Factors!DW3+SQRT(Parameters!$B$6)*Factors!DW5+SQRT(Parameters!$B$7)*Factors!DW9+SQRT(Parameters!$B$9)*NORM.S.INV(RAND())</f>
        <v/>
      </c>
      <c r="DX8" s="19">
        <f>SQRT(Parameters!$B$5)*Factors!DX3+SQRT(Parameters!$B$6)*Factors!DX5+SQRT(Parameters!$B$7)*Factors!DX9+SQRT(Parameters!$B$9)*NORM.S.INV(RAND())</f>
        <v/>
      </c>
      <c r="DY8" s="19">
        <f>SQRT(Parameters!$B$5)*Factors!DY3+SQRT(Parameters!$B$6)*Factors!DY5+SQRT(Parameters!$B$7)*Factors!DY9+SQRT(Parameters!$B$9)*NORM.S.INV(RAND())</f>
        <v/>
      </c>
      <c r="DZ8" s="19">
        <f>SQRT(Parameters!$B$5)*Factors!DZ3+SQRT(Parameters!$B$6)*Factors!DZ5+SQRT(Parameters!$B$7)*Factors!DZ9+SQRT(Parameters!$B$9)*NORM.S.INV(RAND())</f>
        <v/>
      </c>
      <c r="EA8" s="19">
        <f>SQRT(Parameters!$B$5)*Factors!EA3+SQRT(Parameters!$B$6)*Factors!EA5+SQRT(Parameters!$B$7)*Factors!EA9+SQRT(Parameters!$B$9)*NORM.S.INV(RAND())</f>
        <v/>
      </c>
      <c r="EB8" s="19">
        <f>SQRT(Parameters!$B$5)*Factors!EB3+SQRT(Parameters!$B$6)*Factors!EB5+SQRT(Parameters!$B$7)*Factors!EB9+SQRT(Parameters!$B$9)*NORM.S.INV(RAND())</f>
        <v/>
      </c>
      <c r="EC8" s="19">
        <f>SQRT(Parameters!$B$5)*Factors!EC3+SQRT(Parameters!$B$6)*Factors!EC5+SQRT(Parameters!$B$7)*Factors!EC9+SQRT(Parameters!$B$9)*NORM.S.INV(RAND())</f>
        <v/>
      </c>
      <c r="ED8" s="19">
        <f>SQRT(Parameters!$B$5)*Factors!ED3+SQRT(Parameters!$B$6)*Factors!ED5+SQRT(Parameters!$B$7)*Factors!ED9+SQRT(Parameters!$B$9)*NORM.S.INV(RAND())</f>
        <v/>
      </c>
      <c r="EE8" s="19">
        <f>SQRT(Parameters!$B$5)*Factors!EE3+SQRT(Parameters!$B$6)*Factors!EE5+SQRT(Parameters!$B$7)*Factors!EE9+SQRT(Parameters!$B$9)*NORM.S.INV(RAND())</f>
        <v/>
      </c>
      <c r="EF8" s="19">
        <f>SQRT(Parameters!$B$5)*Factors!EF3+SQRT(Parameters!$B$6)*Factors!EF5+SQRT(Parameters!$B$7)*Factors!EF9+SQRT(Parameters!$B$9)*NORM.S.INV(RAND())</f>
        <v/>
      </c>
      <c r="EG8" s="19">
        <f>SQRT(Parameters!$B$5)*Factors!EG3+SQRT(Parameters!$B$6)*Factors!EG5+SQRT(Parameters!$B$7)*Factors!EG9+SQRT(Parameters!$B$9)*NORM.S.INV(RAND())</f>
        <v/>
      </c>
      <c r="EH8" s="19">
        <f>SQRT(Parameters!$B$5)*Factors!EH3+SQRT(Parameters!$B$6)*Factors!EH5+SQRT(Parameters!$B$7)*Factors!EH9+SQRT(Parameters!$B$9)*NORM.S.INV(RAND())</f>
        <v/>
      </c>
      <c r="EI8" s="19">
        <f>SQRT(Parameters!$B$5)*Factors!EI3+SQRT(Parameters!$B$6)*Factors!EI5+SQRT(Parameters!$B$7)*Factors!EI9+SQRT(Parameters!$B$9)*NORM.S.INV(RAND())</f>
        <v/>
      </c>
      <c r="EJ8" s="19">
        <f>SQRT(Parameters!$B$5)*Factors!EJ3+SQRT(Parameters!$B$6)*Factors!EJ5+SQRT(Parameters!$B$7)*Factors!EJ9+SQRT(Parameters!$B$9)*NORM.S.INV(RAND())</f>
        <v/>
      </c>
      <c r="EK8" s="19">
        <f>SQRT(Parameters!$B$5)*Factors!EK3+SQRT(Parameters!$B$6)*Factors!EK5+SQRT(Parameters!$B$7)*Factors!EK9+SQRT(Parameters!$B$9)*NORM.S.INV(RAND())</f>
        <v/>
      </c>
      <c r="EL8" s="19">
        <f>SQRT(Parameters!$B$5)*Factors!EL3+SQRT(Parameters!$B$6)*Factors!EL5+SQRT(Parameters!$B$7)*Factors!EL9+SQRT(Parameters!$B$9)*NORM.S.INV(RAND())</f>
        <v/>
      </c>
      <c r="EM8" s="19">
        <f>SQRT(Parameters!$B$5)*Factors!EM3+SQRT(Parameters!$B$6)*Factors!EM5+SQRT(Parameters!$B$7)*Factors!EM9+SQRT(Parameters!$B$9)*NORM.S.INV(RAND())</f>
        <v/>
      </c>
      <c r="EN8" s="19">
        <f>SQRT(Parameters!$B$5)*Factors!EN3+SQRT(Parameters!$B$6)*Factors!EN5+SQRT(Parameters!$B$7)*Factors!EN9+SQRT(Parameters!$B$9)*NORM.S.INV(RAND())</f>
        <v/>
      </c>
      <c r="EO8" s="19">
        <f>SQRT(Parameters!$B$5)*Factors!EO3+SQRT(Parameters!$B$6)*Factors!EO5+SQRT(Parameters!$B$7)*Factors!EO9+SQRT(Parameters!$B$9)*NORM.S.INV(RAND())</f>
        <v/>
      </c>
      <c r="EP8" s="19">
        <f>SQRT(Parameters!$B$5)*Factors!EP3+SQRT(Parameters!$B$6)*Factors!EP5+SQRT(Parameters!$B$7)*Factors!EP9+SQRT(Parameters!$B$9)*NORM.S.INV(RAND())</f>
        <v/>
      </c>
      <c r="EQ8" s="19">
        <f>SQRT(Parameters!$B$5)*Factors!EQ3+SQRT(Parameters!$B$6)*Factors!EQ5+SQRT(Parameters!$B$7)*Factors!EQ9+SQRT(Parameters!$B$9)*NORM.S.INV(RAND())</f>
        <v/>
      </c>
      <c r="ER8" s="19">
        <f>SQRT(Parameters!$B$5)*Factors!ER3+SQRT(Parameters!$B$6)*Factors!ER5+SQRT(Parameters!$B$7)*Factors!ER9+SQRT(Parameters!$B$9)*NORM.S.INV(RAND())</f>
        <v/>
      </c>
      <c r="ES8" s="19">
        <f>SQRT(Parameters!$B$5)*Factors!ES3+SQRT(Parameters!$B$6)*Factors!ES5+SQRT(Parameters!$B$7)*Factors!ES9+SQRT(Parameters!$B$9)*NORM.S.INV(RAND())</f>
        <v/>
      </c>
      <c r="ET8" s="19">
        <f>SQRT(Parameters!$B$5)*Factors!ET3+SQRT(Parameters!$B$6)*Factors!ET5+SQRT(Parameters!$B$7)*Factors!ET9+SQRT(Parameters!$B$9)*NORM.S.INV(RAND())</f>
        <v/>
      </c>
      <c r="EU8" s="19">
        <f>SQRT(Parameters!$B$5)*Factors!EU3+SQRT(Parameters!$B$6)*Factors!EU5+SQRT(Parameters!$B$7)*Factors!EU9+SQRT(Parameters!$B$9)*NORM.S.INV(RAND())</f>
        <v/>
      </c>
      <c r="EV8" s="19">
        <f>SQRT(Parameters!$B$5)*Factors!EV3+SQRT(Parameters!$B$6)*Factors!EV5+SQRT(Parameters!$B$7)*Factors!EV9+SQRT(Parameters!$B$9)*NORM.S.INV(RAND())</f>
        <v/>
      </c>
      <c r="EW8" s="19">
        <f>SQRT(Parameters!$B$5)*Factors!EW3+SQRT(Parameters!$B$6)*Factors!EW5+SQRT(Parameters!$B$7)*Factors!EW9+SQRT(Parameters!$B$9)*NORM.S.INV(RAND())</f>
        <v/>
      </c>
      <c r="EX8" s="19">
        <f>SQRT(Parameters!$B$5)*Factors!EX3+SQRT(Parameters!$B$6)*Factors!EX5+SQRT(Parameters!$B$7)*Factors!EX9+SQRT(Parameters!$B$9)*NORM.S.INV(RAND())</f>
        <v/>
      </c>
      <c r="EY8" s="19">
        <f>SQRT(Parameters!$B$5)*Factors!EY3+SQRT(Parameters!$B$6)*Factors!EY5+SQRT(Parameters!$B$7)*Factors!EY9+SQRT(Parameters!$B$9)*NORM.S.INV(RAND())</f>
        <v/>
      </c>
      <c r="EZ8" s="19">
        <f>SQRT(Parameters!$B$5)*Factors!EZ3+SQRT(Parameters!$B$6)*Factors!EZ5+SQRT(Parameters!$B$7)*Factors!EZ9+SQRT(Parameters!$B$9)*NORM.S.INV(RAND())</f>
        <v/>
      </c>
      <c r="FA8" s="19">
        <f>SQRT(Parameters!$B$5)*Factors!FA3+SQRT(Parameters!$B$6)*Factors!FA5+SQRT(Parameters!$B$7)*Factors!FA9+SQRT(Parameters!$B$9)*NORM.S.INV(RAND())</f>
        <v/>
      </c>
      <c r="FB8" s="19">
        <f>SQRT(Parameters!$B$5)*Factors!FB3+SQRT(Parameters!$B$6)*Factors!FB5+SQRT(Parameters!$B$7)*Factors!FB9+SQRT(Parameters!$B$9)*NORM.S.INV(RAND())</f>
        <v/>
      </c>
      <c r="FC8" s="19">
        <f>SQRT(Parameters!$B$5)*Factors!FC3+SQRT(Parameters!$B$6)*Factors!FC5+SQRT(Parameters!$B$7)*Factors!FC9+SQRT(Parameters!$B$9)*NORM.S.INV(RAND())</f>
        <v/>
      </c>
      <c r="FD8" s="19">
        <f>SQRT(Parameters!$B$5)*Factors!FD3+SQRT(Parameters!$B$6)*Factors!FD5+SQRT(Parameters!$B$7)*Factors!FD9+SQRT(Parameters!$B$9)*NORM.S.INV(RAND())</f>
        <v/>
      </c>
      <c r="FE8" s="19">
        <f>SQRT(Parameters!$B$5)*Factors!FE3+SQRT(Parameters!$B$6)*Factors!FE5+SQRT(Parameters!$B$7)*Factors!FE9+SQRT(Parameters!$B$9)*NORM.S.INV(RAND())</f>
        <v/>
      </c>
      <c r="FF8" s="19">
        <f>SQRT(Parameters!$B$5)*Factors!FF3+SQRT(Parameters!$B$6)*Factors!FF5+SQRT(Parameters!$B$7)*Factors!FF9+SQRT(Parameters!$B$9)*NORM.S.INV(RAND())</f>
        <v/>
      </c>
      <c r="FG8" s="19">
        <f>SQRT(Parameters!$B$5)*Factors!FG3+SQRT(Parameters!$B$6)*Factors!FG5+SQRT(Parameters!$B$7)*Factors!FG9+SQRT(Parameters!$B$9)*NORM.S.INV(RAND())</f>
        <v/>
      </c>
      <c r="FH8" s="19">
        <f>SQRT(Parameters!$B$5)*Factors!FH3+SQRT(Parameters!$B$6)*Factors!FH5+SQRT(Parameters!$B$7)*Factors!FH9+SQRT(Parameters!$B$9)*NORM.S.INV(RAND())</f>
        <v/>
      </c>
      <c r="FI8" s="19">
        <f>SQRT(Parameters!$B$5)*Factors!FI3+SQRT(Parameters!$B$6)*Factors!FI5+SQRT(Parameters!$B$7)*Factors!FI9+SQRT(Parameters!$B$9)*NORM.S.INV(RAND())</f>
        <v/>
      </c>
      <c r="FJ8" s="19">
        <f>SQRT(Parameters!$B$5)*Factors!FJ3+SQRT(Parameters!$B$6)*Factors!FJ5+SQRT(Parameters!$B$7)*Factors!FJ9+SQRT(Parameters!$B$9)*NORM.S.INV(RAND())</f>
        <v/>
      </c>
      <c r="FK8" s="19">
        <f>SQRT(Parameters!$B$5)*Factors!FK3+SQRT(Parameters!$B$6)*Factors!FK5+SQRT(Parameters!$B$7)*Factors!FK9+SQRT(Parameters!$B$9)*NORM.S.INV(RAND())</f>
        <v/>
      </c>
      <c r="FL8" s="19">
        <f>SQRT(Parameters!$B$5)*Factors!FL3+SQRT(Parameters!$B$6)*Factors!FL5+SQRT(Parameters!$B$7)*Factors!FL9+SQRT(Parameters!$B$9)*NORM.S.INV(RAND())</f>
        <v/>
      </c>
      <c r="FM8" s="19">
        <f>SQRT(Parameters!$B$5)*Factors!FM3+SQRT(Parameters!$B$6)*Factors!FM5+SQRT(Parameters!$B$7)*Factors!FM9+SQRT(Parameters!$B$9)*NORM.S.INV(RAND())</f>
        <v/>
      </c>
      <c r="FN8" s="19">
        <f>SQRT(Parameters!$B$5)*Factors!FN3+SQRT(Parameters!$B$6)*Factors!FN5+SQRT(Parameters!$B$7)*Factors!FN9+SQRT(Parameters!$B$9)*NORM.S.INV(RAND())</f>
        <v/>
      </c>
      <c r="FO8" s="19">
        <f>SQRT(Parameters!$B$5)*Factors!FO3+SQRT(Parameters!$B$6)*Factors!FO5+SQRT(Parameters!$B$7)*Factors!FO9+SQRT(Parameters!$B$9)*NORM.S.INV(RAND())</f>
        <v/>
      </c>
      <c r="FP8" s="19">
        <f>SQRT(Parameters!$B$5)*Factors!FP3+SQRT(Parameters!$B$6)*Factors!FP5+SQRT(Parameters!$B$7)*Factors!FP9+SQRT(Parameters!$B$9)*NORM.S.INV(RAND())</f>
        <v/>
      </c>
      <c r="FQ8" s="19">
        <f>SQRT(Parameters!$B$5)*Factors!FQ3+SQRT(Parameters!$B$6)*Factors!FQ5+SQRT(Parameters!$B$7)*Factors!FQ9+SQRT(Parameters!$B$9)*NORM.S.INV(RAND())</f>
        <v/>
      </c>
      <c r="FR8" s="19">
        <f>SQRT(Parameters!$B$5)*Factors!FR3+SQRT(Parameters!$B$6)*Factors!FR5+SQRT(Parameters!$B$7)*Factors!FR9+SQRT(Parameters!$B$9)*NORM.S.INV(RAND())</f>
        <v/>
      </c>
      <c r="FS8" s="19">
        <f>SQRT(Parameters!$B$5)*Factors!FS3+SQRT(Parameters!$B$6)*Factors!FS5+SQRT(Parameters!$B$7)*Factors!FS9+SQRT(Parameters!$B$9)*NORM.S.INV(RAND())</f>
        <v/>
      </c>
      <c r="FT8" s="19">
        <f>SQRT(Parameters!$B$5)*Factors!FT3+SQRT(Parameters!$B$6)*Factors!FT5+SQRT(Parameters!$B$7)*Factors!FT9+SQRT(Parameters!$B$9)*NORM.S.INV(RAND())</f>
        <v/>
      </c>
      <c r="FU8" s="19">
        <f>SQRT(Parameters!$B$5)*Factors!FU3+SQRT(Parameters!$B$6)*Factors!FU5+SQRT(Parameters!$B$7)*Factors!FU9+SQRT(Parameters!$B$9)*NORM.S.INV(RAND())</f>
        <v/>
      </c>
      <c r="FV8" s="19">
        <f>SQRT(Parameters!$B$5)*Factors!FV3+SQRT(Parameters!$B$6)*Factors!FV5+SQRT(Parameters!$B$7)*Factors!FV9+SQRT(Parameters!$B$9)*NORM.S.INV(RAND())</f>
        <v/>
      </c>
      <c r="FW8" s="19">
        <f>SQRT(Parameters!$B$5)*Factors!FW3+SQRT(Parameters!$B$6)*Factors!FW5+SQRT(Parameters!$B$7)*Factors!FW9+SQRT(Parameters!$B$9)*NORM.S.INV(RAND())</f>
        <v/>
      </c>
      <c r="FX8" s="19">
        <f>SQRT(Parameters!$B$5)*Factors!FX3+SQRT(Parameters!$B$6)*Factors!FX5+SQRT(Parameters!$B$7)*Factors!FX9+SQRT(Parameters!$B$9)*NORM.S.INV(RAND())</f>
        <v/>
      </c>
      <c r="FY8" s="19">
        <f>SQRT(Parameters!$B$5)*Factors!FY3+SQRT(Parameters!$B$6)*Factors!FY5+SQRT(Parameters!$B$7)*Factors!FY9+SQRT(Parameters!$B$9)*NORM.S.INV(RAND())</f>
        <v/>
      </c>
      <c r="FZ8" s="19">
        <f>SQRT(Parameters!$B$5)*Factors!FZ3+SQRT(Parameters!$B$6)*Factors!FZ5+SQRT(Parameters!$B$7)*Factors!FZ9+SQRT(Parameters!$B$9)*NORM.S.INV(RAND())</f>
        <v/>
      </c>
      <c r="GA8" s="19">
        <f>SQRT(Parameters!$B$5)*Factors!GA3+SQRT(Parameters!$B$6)*Factors!GA5+SQRT(Parameters!$B$7)*Factors!GA9+SQRT(Parameters!$B$9)*NORM.S.INV(RAND())</f>
        <v/>
      </c>
      <c r="GB8" s="19">
        <f>SQRT(Parameters!$B$5)*Factors!GB3+SQRT(Parameters!$B$6)*Factors!GB5+SQRT(Parameters!$B$7)*Factors!GB9+SQRT(Parameters!$B$9)*NORM.S.INV(RAND())</f>
        <v/>
      </c>
      <c r="GC8" s="19">
        <f>SQRT(Parameters!$B$5)*Factors!GC3+SQRT(Parameters!$B$6)*Factors!GC5+SQRT(Parameters!$B$7)*Factors!GC9+SQRT(Parameters!$B$9)*NORM.S.INV(RAND())</f>
        <v/>
      </c>
      <c r="GD8" s="19">
        <f>SQRT(Parameters!$B$5)*Factors!GD3+SQRT(Parameters!$B$6)*Factors!GD5+SQRT(Parameters!$B$7)*Factors!GD9+SQRT(Parameters!$B$9)*NORM.S.INV(RAND())</f>
        <v/>
      </c>
      <c r="GE8" s="19">
        <f>SQRT(Parameters!$B$5)*Factors!GE3+SQRT(Parameters!$B$6)*Factors!GE5+SQRT(Parameters!$B$7)*Factors!GE9+SQRT(Parameters!$B$9)*NORM.S.INV(RAND())</f>
        <v/>
      </c>
      <c r="GF8" s="19">
        <f>SQRT(Parameters!$B$5)*Factors!GF3+SQRT(Parameters!$B$6)*Factors!GF5+SQRT(Parameters!$B$7)*Factors!GF9+SQRT(Parameters!$B$9)*NORM.S.INV(RAND())</f>
        <v/>
      </c>
      <c r="GG8" s="19">
        <f>SQRT(Parameters!$B$5)*Factors!GG3+SQRT(Parameters!$B$6)*Factors!GG5+SQRT(Parameters!$B$7)*Factors!GG9+SQRT(Parameters!$B$9)*NORM.S.INV(RAND())</f>
        <v/>
      </c>
      <c r="GH8" s="19">
        <f>SQRT(Parameters!$B$5)*Factors!GH3+SQRT(Parameters!$B$6)*Factors!GH5+SQRT(Parameters!$B$7)*Factors!GH9+SQRT(Parameters!$B$9)*NORM.S.INV(RAND())</f>
        <v/>
      </c>
      <c r="GI8" s="19">
        <f>SQRT(Parameters!$B$5)*Factors!GI3+SQRT(Parameters!$B$6)*Factors!GI5+SQRT(Parameters!$B$7)*Factors!GI9+SQRT(Parameters!$B$9)*NORM.S.INV(RAND())</f>
        <v/>
      </c>
      <c r="GJ8" s="19">
        <f>SQRT(Parameters!$B$5)*Factors!GJ3+SQRT(Parameters!$B$6)*Factors!GJ5+SQRT(Parameters!$B$7)*Factors!GJ9+SQRT(Parameters!$B$9)*NORM.S.INV(RAND())</f>
        <v/>
      </c>
      <c r="GK8" s="19">
        <f>SQRT(Parameters!$B$5)*Factors!GK3+SQRT(Parameters!$B$6)*Factors!GK5+SQRT(Parameters!$B$7)*Factors!GK9+SQRT(Parameters!$B$9)*NORM.S.INV(RAND())</f>
        <v/>
      </c>
      <c r="GL8" s="19">
        <f>SQRT(Parameters!$B$5)*Factors!GL3+SQRT(Parameters!$B$6)*Factors!GL5+SQRT(Parameters!$B$7)*Factors!GL9+SQRT(Parameters!$B$9)*NORM.S.INV(RAND())</f>
        <v/>
      </c>
      <c r="GM8" s="19">
        <f>SQRT(Parameters!$B$5)*Factors!GM3+SQRT(Parameters!$B$6)*Factors!GM5+SQRT(Parameters!$B$7)*Factors!GM9+SQRT(Parameters!$B$9)*NORM.S.INV(RAND())</f>
        <v/>
      </c>
      <c r="GN8" s="19">
        <f>SQRT(Parameters!$B$5)*Factors!GN3+SQRT(Parameters!$B$6)*Factors!GN5+SQRT(Parameters!$B$7)*Factors!GN9+SQRT(Parameters!$B$9)*NORM.S.INV(RAND())</f>
        <v/>
      </c>
      <c r="GO8" s="19">
        <f>SQRT(Parameters!$B$5)*Factors!GO3+SQRT(Parameters!$B$6)*Factors!GO5+SQRT(Parameters!$B$7)*Factors!GO9+SQRT(Parameters!$B$9)*NORM.S.INV(RAND())</f>
        <v/>
      </c>
      <c r="GP8" s="19">
        <f>SQRT(Parameters!$B$5)*Factors!GP3+SQRT(Parameters!$B$6)*Factors!GP5+SQRT(Parameters!$B$7)*Factors!GP9+SQRT(Parameters!$B$9)*NORM.S.INV(RAND())</f>
        <v/>
      </c>
      <c r="GQ8" s="19">
        <f>SQRT(Parameters!$B$5)*Factors!GQ3+SQRT(Parameters!$B$6)*Factors!GQ5+SQRT(Parameters!$B$7)*Factors!GQ9+SQRT(Parameters!$B$9)*NORM.S.INV(RAND())</f>
        <v/>
      </c>
      <c r="GR8" s="19">
        <f>SQRT(Parameters!$B$5)*Factors!GR3+SQRT(Parameters!$B$6)*Factors!GR5+SQRT(Parameters!$B$7)*Factors!GR9+SQRT(Parameters!$B$9)*NORM.S.INV(RAND())</f>
        <v/>
      </c>
      <c r="GS8" s="19">
        <f>SQRT(Parameters!$B$5)*Factors!GS3+SQRT(Parameters!$B$6)*Factors!GS5+SQRT(Parameters!$B$7)*Factors!GS9+SQRT(Parameters!$B$9)*NORM.S.INV(RAND())</f>
        <v/>
      </c>
      <c r="GT8" s="19">
        <f>SQRT(Parameters!$B$5)*Factors!GT3+SQRT(Parameters!$B$6)*Factors!GT5+SQRT(Parameters!$B$7)*Factors!GT9+SQRT(Parameters!$B$9)*NORM.S.INV(RAND())</f>
        <v/>
      </c>
      <c r="GU8" s="19">
        <f>SQRT(Parameters!$B$5)*Factors!GU3+SQRT(Parameters!$B$6)*Factors!GU5+SQRT(Parameters!$B$7)*Factors!GU9+SQRT(Parameters!$B$9)*NORM.S.INV(RAND())</f>
        <v/>
      </c>
      <c r="GV8" s="19">
        <f>SQRT(Parameters!$B$5)*Factors!GV3+SQRT(Parameters!$B$6)*Factors!GV5+SQRT(Parameters!$B$7)*Factors!GV9+SQRT(Parameters!$B$9)*NORM.S.INV(RAND())</f>
        <v/>
      </c>
      <c r="GW8" s="19">
        <f>SQRT(Parameters!$B$5)*Factors!GW3+SQRT(Parameters!$B$6)*Factors!GW5+SQRT(Parameters!$B$7)*Factors!GW9+SQRT(Parameters!$B$9)*NORM.S.INV(RAND())</f>
        <v/>
      </c>
      <c r="GX8" s="19">
        <f>SQRT(Parameters!$B$5)*Factors!GX3+SQRT(Parameters!$B$6)*Factors!GX5+SQRT(Parameters!$B$7)*Factors!GX9+SQRT(Parameters!$B$9)*NORM.S.INV(RAND())</f>
        <v/>
      </c>
      <c r="GY8" s="19">
        <f>SQRT(Parameters!$B$5)*Factors!GY3+SQRT(Parameters!$B$6)*Factors!GY5+SQRT(Parameters!$B$7)*Factors!GY9+SQRT(Parameters!$B$9)*NORM.S.INV(RAND())</f>
        <v/>
      </c>
      <c r="GZ8" s="19">
        <f>SQRT(Parameters!$B$5)*Factors!GZ3+SQRT(Parameters!$B$6)*Factors!GZ5+SQRT(Parameters!$B$7)*Factors!GZ9+SQRT(Parameters!$B$9)*NORM.S.INV(RAND())</f>
        <v/>
      </c>
      <c r="HA8" s="19">
        <f>SQRT(Parameters!$B$5)*Factors!HA3+SQRT(Parameters!$B$6)*Factors!HA5+SQRT(Parameters!$B$7)*Factors!HA9+SQRT(Parameters!$B$9)*NORM.S.INV(RAND())</f>
        <v/>
      </c>
      <c r="HB8" s="19">
        <f>SQRT(Parameters!$B$5)*Factors!HB3+SQRT(Parameters!$B$6)*Factors!HB5+SQRT(Parameters!$B$7)*Factors!HB9+SQRT(Parameters!$B$9)*NORM.S.INV(RAND())</f>
        <v/>
      </c>
      <c r="HC8" s="19">
        <f>SQRT(Parameters!$B$5)*Factors!HC3+SQRT(Parameters!$B$6)*Factors!HC5+SQRT(Parameters!$B$7)*Factors!HC9+SQRT(Parameters!$B$9)*NORM.S.INV(RAND())</f>
        <v/>
      </c>
      <c r="HD8" s="19">
        <f>SQRT(Parameters!$B$5)*Factors!HD3+SQRT(Parameters!$B$6)*Factors!HD5+SQRT(Parameters!$B$7)*Factors!HD9+SQRT(Parameters!$B$9)*NORM.S.INV(RAND())</f>
        <v/>
      </c>
      <c r="HE8" s="19">
        <f>SQRT(Parameters!$B$5)*Factors!HE3+SQRT(Parameters!$B$6)*Factors!HE5+SQRT(Parameters!$B$7)*Factors!HE9+SQRT(Parameters!$B$9)*NORM.S.INV(RAND())</f>
        <v/>
      </c>
      <c r="HF8" s="19">
        <f>SQRT(Parameters!$B$5)*Factors!HF3+SQRT(Parameters!$B$6)*Factors!HF5+SQRT(Parameters!$B$7)*Factors!HF9+SQRT(Parameters!$B$9)*NORM.S.INV(RAND())</f>
        <v/>
      </c>
      <c r="HG8" s="19">
        <f>SQRT(Parameters!$B$5)*Factors!HG3+SQRT(Parameters!$B$6)*Factors!HG5+SQRT(Parameters!$B$7)*Factors!HG9+SQRT(Parameters!$B$9)*NORM.S.INV(RAND())</f>
        <v/>
      </c>
      <c r="HH8" s="19">
        <f>SQRT(Parameters!$B$5)*Factors!HH3+SQRT(Parameters!$B$6)*Factors!HH5+SQRT(Parameters!$B$7)*Factors!HH9+SQRT(Parameters!$B$9)*NORM.S.INV(RAND())</f>
        <v/>
      </c>
      <c r="HI8" s="19">
        <f>SQRT(Parameters!$B$5)*Factors!HI3+SQRT(Parameters!$B$6)*Factors!HI5+SQRT(Parameters!$B$7)*Factors!HI9+SQRT(Parameters!$B$9)*NORM.S.INV(RAND())</f>
        <v/>
      </c>
      <c r="HJ8" s="19">
        <f>SQRT(Parameters!$B$5)*Factors!HJ3+SQRT(Parameters!$B$6)*Factors!HJ5+SQRT(Parameters!$B$7)*Factors!HJ9+SQRT(Parameters!$B$9)*NORM.S.INV(RAND())</f>
        <v/>
      </c>
      <c r="HK8" s="19">
        <f>SQRT(Parameters!$B$5)*Factors!HK3+SQRT(Parameters!$B$6)*Factors!HK5+SQRT(Parameters!$B$7)*Factors!HK9+SQRT(Parameters!$B$9)*NORM.S.INV(RAND())</f>
        <v/>
      </c>
      <c r="HL8" s="19">
        <f>SQRT(Parameters!$B$5)*Factors!HL3+SQRT(Parameters!$B$6)*Factors!HL5+SQRT(Parameters!$B$7)*Factors!HL9+SQRT(Parameters!$B$9)*NORM.S.INV(RAND())</f>
        <v/>
      </c>
      <c r="HM8" s="19">
        <f>SQRT(Parameters!$B$5)*Factors!HM3+SQRT(Parameters!$B$6)*Factors!HM5+SQRT(Parameters!$B$7)*Factors!HM9+SQRT(Parameters!$B$9)*NORM.S.INV(RAND())</f>
        <v/>
      </c>
      <c r="HN8" s="19">
        <f>SQRT(Parameters!$B$5)*Factors!HN3+SQRT(Parameters!$B$6)*Factors!HN5+SQRT(Parameters!$B$7)*Factors!HN9+SQRT(Parameters!$B$9)*NORM.S.INV(RAND())</f>
        <v/>
      </c>
      <c r="HO8" s="19">
        <f>SQRT(Parameters!$B$5)*Factors!HO3+SQRT(Parameters!$B$6)*Factors!HO5+SQRT(Parameters!$B$7)*Factors!HO9+SQRT(Parameters!$B$9)*NORM.S.INV(RAND())</f>
        <v/>
      </c>
      <c r="HP8" s="19">
        <f>SQRT(Parameters!$B$5)*Factors!HP3+SQRT(Parameters!$B$6)*Factors!HP5+SQRT(Parameters!$B$7)*Factors!HP9+SQRT(Parameters!$B$9)*NORM.S.INV(RAND())</f>
        <v/>
      </c>
      <c r="HQ8" s="19">
        <f>SQRT(Parameters!$B$5)*Factors!HQ3+SQRT(Parameters!$B$6)*Factors!HQ5+SQRT(Parameters!$B$7)*Factors!HQ9+SQRT(Parameters!$B$9)*NORM.S.INV(RAND())</f>
        <v/>
      </c>
      <c r="HR8" s="19">
        <f>SQRT(Parameters!$B$5)*Factors!HR3+SQRT(Parameters!$B$6)*Factors!HR5+SQRT(Parameters!$B$7)*Factors!HR9+SQRT(Parameters!$B$9)*NORM.S.INV(RAND())</f>
        <v/>
      </c>
      <c r="HS8" s="19">
        <f>SQRT(Parameters!$B$5)*Factors!HS3+SQRT(Parameters!$B$6)*Factors!HS5+SQRT(Parameters!$B$7)*Factors!HS9+SQRT(Parameters!$B$9)*NORM.S.INV(RAND())</f>
        <v/>
      </c>
      <c r="HT8" s="19">
        <f>SQRT(Parameters!$B$5)*Factors!HT3+SQRT(Parameters!$B$6)*Factors!HT5+SQRT(Parameters!$B$7)*Factors!HT9+SQRT(Parameters!$B$9)*NORM.S.INV(RAND())</f>
        <v/>
      </c>
      <c r="HU8" s="19">
        <f>SQRT(Parameters!$B$5)*Factors!HU3+SQRT(Parameters!$B$6)*Factors!HU5+SQRT(Parameters!$B$7)*Factors!HU9+SQRT(Parameters!$B$9)*NORM.S.INV(RAND())</f>
        <v/>
      </c>
      <c r="HV8" s="19">
        <f>SQRT(Parameters!$B$5)*Factors!HV3+SQRT(Parameters!$B$6)*Factors!HV5+SQRT(Parameters!$B$7)*Factors!HV9+SQRT(Parameters!$B$9)*NORM.S.INV(RAND())</f>
        <v/>
      </c>
      <c r="HW8" s="19">
        <f>SQRT(Parameters!$B$5)*Factors!HW3+SQRT(Parameters!$B$6)*Factors!HW5+SQRT(Parameters!$B$7)*Factors!HW9+SQRT(Parameters!$B$9)*NORM.S.INV(RAND())</f>
        <v/>
      </c>
      <c r="HX8" s="19">
        <f>SQRT(Parameters!$B$5)*Factors!HX3+SQRT(Parameters!$B$6)*Factors!HX5+SQRT(Parameters!$B$7)*Factors!HX9+SQRT(Parameters!$B$9)*NORM.S.INV(RAND())</f>
        <v/>
      </c>
      <c r="HY8" s="19">
        <f>SQRT(Parameters!$B$5)*Factors!HY3+SQRT(Parameters!$B$6)*Factors!HY5+SQRT(Parameters!$B$7)*Factors!HY9+SQRT(Parameters!$B$9)*NORM.S.INV(RAND())</f>
        <v/>
      </c>
      <c r="HZ8" s="19">
        <f>SQRT(Parameters!$B$5)*Factors!HZ3+SQRT(Parameters!$B$6)*Factors!HZ5+SQRT(Parameters!$B$7)*Factors!HZ9+SQRT(Parameters!$B$9)*NORM.S.INV(RAND())</f>
        <v/>
      </c>
      <c r="IA8" s="19">
        <f>SQRT(Parameters!$B$5)*Factors!IA3+SQRT(Parameters!$B$6)*Factors!IA5+SQRT(Parameters!$B$7)*Factors!IA9+SQRT(Parameters!$B$9)*NORM.S.INV(RAND())</f>
        <v/>
      </c>
      <c r="IB8" s="19">
        <f>SQRT(Parameters!$B$5)*Factors!IB3+SQRT(Parameters!$B$6)*Factors!IB5+SQRT(Parameters!$B$7)*Factors!IB9+SQRT(Parameters!$B$9)*NORM.S.INV(RAND())</f>
        <v/>
      </c>
      <c r="IC8" s="19">
        <f>SQRT(Parameters!$B$5)*Factors!IC3+SQRT(Parameters!$B$6)*Factors!IC5+SQRT(Parameters!$B$7)*Factors!IC9+SQRT(Parameters!$B$9)*NORM.S.INV(RAND())</f>
        <v/>
      </c>
      <c r="ID8" s="19">
        <f>SQRT(Parameters!$B$5)*Factors!ID3+SQRT(Parameters!$B$6)*Factors!ID5+SQRT(Parameters!$B$7)*Factors!ID9+SQRT(Parameters!$B$9)*NORM.S.INV(RAND())</f>
        <v/>
      </c>
      <c r="IE8" s="19">
        <f>SQRT(Parameters!$B$5)*Factors!IE3+SQRT(Parameters!$B$6)*Factors!IE5+SQRT(Parameters!$B$7)*Factors!IE9+SQRT(Parameters!$B$9)*NORM.S.INV(RAND())</f>
        <v/>
      </c>
      <c r="IF8" s="19">
        <f>SQRT(Parameters!$B$5)*Factors!IF3+SQRT(Parameters!$B$6)*Factors!IF5+SQRT(Parameters!$B$7)*Factors!IF9+SQRT(Parameters!$B$9)*NORM.S.INV(RAND())</f>
        <v/>
      </c>
      <c r="IG8" s="19">
        <f>SQRT(Parameters!$B$5)*Factors!IG3+SQRT(Parameters!$B$6)*Factors!IG5+SQRT(Parameters!$B$7)*Factors!IG9+SQRT(Parameters!$B$9)*NORM.S.INV(RAND())</f>
        <v/>
      </c>
      <c r="IH8" s="19">
        <f>SQRT(Parameters!$B$5)*Factors!IH3+SQRT(Parameters!$B$6)*Factors!IH5+SQRT(Parameters!$B$7)*Factors!IH9+SQRT(Parameters!$B$9)*NORM.S.INV(RAND())</f>
        <v/>
      </c>
      <c r="II8" s="19">
        <f>SQRT(Parameters!$B$5)*Factors!II3+SQRT(Parameters!$B$6)*Factors!II5+SQRT(Parameters!$B$7)*Factors!II9+SQRT(Parameters!$B$9)*NORM.S.INV(RAND())</f>
        <v/>
      </c>
      <c r="IJ8" s="19">
        <f>SQRT(Parameters!$B$5)*Factors!IJ3+SQRT(Parameters!$B$6)*Factors!IJ5+SQRT(Parameters!$B$7)*Factors!IJ9+SQRT(Parameters!$B$9)*NORM.S.INV(RAND())</f>
        <v/>
      </c>
      <c r="IK8" s="19">
        <f>SQRT(Parameters!$B$5)*Factors!IK3+SQRT(Parameters!$B$6)*Factors!IK5+SQRT(Parameters!$B$7)*Factors!IK9+SQRT(Parameters!$B$9)*NORM.S.INV(RAND())</f>
        <v/>
      </c>
      <c r="IL8" s="19">
        <f>SQRT(Parameters!$B$5)*Factors!IL3+SQRT(Parameters!$B$6)*Factors!IL5+SQRT(Parameters!$B$7)*Factors!IL9+SQRT(Parameters!$B$9)*NORM.S.INV(RAND())</f>
        <v/>
      </c>
      <c r="IM8" s="19">
        <f>SQRT(Parameters!$B$5)*Factors!IM3+SQRT(Parameters!$B$6)*Factors!IM5+SQRT(Parameters!$B$7)*Factors!IM9+SQRT(Parameters!$B$9)*NORM.S.INV(RAND())</f>
        <v/>
      </c>
      <c r="IN8" s="19">
        <f>SQRT(Parameters!$B$5)*Factors!IN3+SQRT(Parameters!$B$6)*Factors!IN5+SQRT(Parameters!$B$7)*Factors!IN9+SQRT(Parameters!$B$9)*NORM.S.INV(RAND())</f>
        <v/>
      </c>
      <c r="IO8" s="19">
        <f>SQRT(Parameters!$B$5)*Factors!IO3+SQRT(Parameters!$B$6)*Factors!IO5+SQRT(Parameters!$B$7)*Factors!IO9+SQRT(Parameters!$B$9)*NORM.S.INV(RAND())</f>
        <v/>
      </c>
      <c r="IP8" s="19">
        <f>SQRT(Parameters!$B$5)*Factors!IP3+SQRT(Parameters!$B$6)*Factors!IP5+SQRT(Parameters!$B$7)*Factors!IP9+SQRT(Parameters!$B$9)*NORM.S.INV(RAND())</f>
        <v/>
      </c>
      <c r="IQ8" s="19">
        <f>SQRT(Parameters!$B$5)*Factors!IQ3+SQRT(Parameters!$B$6)*Factors!IQ5+SQRT(Parameters!$B$7)*Factors!IQ9+SQRT(Parameters!$B$9)*NORM.S.INV(RAND())</f>
        <v/>
      </c>
      <c r="IR8" s="19">
        <f>SQRT(Parameters!$B$5)*Factors!IR3+SQRT(Parameters!$B$6)*Factors!IR5+SQRT(Parameters!$B$7)*Factors!IR9+SQRT(Parameters!$B$9)*NORM.S.INV(RAND())</f>
        <v/>
      </c>
      <c r="IS8" s="19">
        <f>SQRT(Parameters!$B$5)*Factors!IS3+SQRT(Parameters!$B$6)*Factors!IS5+SQRT(Parameters!$B$7)*Factors!IS9+SQRT(Parameters!$B$9)*NORM.S.INV(RAND())</f>
        <v/>
      </c>
      <c r="IT8" s="19">
        <f>SQRT(Parameters!$B$5)*Factors!IT3+SQRT(Parameters!$B$6)*Factors!IT5+SQRT(Parameters!$B$7)*Factors!IT9+SQRT(Parameters!$B$9)*NORM.S.INV(RAND())</f>
        <v/>
      </c>
      <c r="IU8" s="19">
        <f>SQRT(Parameters!$B$5)*Factors!IU3+SQRT(Parameters!$B$6)*Factors!IU5+SQRT(Parameters!$B$7)*Factors!IU9+SQRT(Parameters!$B$9)*NORM.S.INV(RAND())</f>
        <v/>
      </c>
      <c r="IV8" s="19">
        <f>SQRT(Parameters!$B$5)*Factors!IV3+SQRT(Parameters!$B$6)*Factors!IV5+SQRT(Parameters!$B$7)*Factors!IV9+SQRT(Parameters!$B$9)*NORM.S.INV(RAND())</f>
        <v/>
      </c>
      <c r="IW8" s="19">
        <f>SQRT(Parameters!$B$5)*Factors!IW3+SQRT(Parameters!$B$6)*Factors!IW5+SQRT(Parameters!$B$7)*Factors!IW9+SQRT(Parameters!$B$9)*NORM.S.INV(RAND())</f>
        <v/>
      </c>
      <c r="IX8" s="19">
        <f>SQRT(Parameters!$B$5)*Factors!IX3+SQRT(Parameters!$B$6)*Factors!IX5+SQRT(Parameters!$B$7)*Factors!IX9+SQRT(Parameters!$B$9)*NORM.S.INV(RAND())</f>
        <v/>
      </c>
      <c r="IY8" s="19">
        <f>SQRT(Parameters!$B$5)*Factors!IY3+SQRT(Parameters!$B$6)*Factors!IY5+SQRT(Parameters!$B$7)*Factors!IY9+SQRT(Parameters!$B$9)*NORM.S.INV(RAND())</f>
        <v/>
      </c>
      <c r="IZ8" s="19">
        <f>SQRT(Parameters!$B$5)*Factors!IZ3+SQRT(Parameters!$B$6)*Factors!IZ5+SQRT(Parameters!$B$7)*Factors!IZ9+SQRT(Parameters!$B$9)*NORM.S.INV(RAND())</f>
        <v/>
      </c>
      <c r="JA8" s="19">
        <f>SQRT(Parameters!$B$5)*Factors!JA3+SQRT(Parameters!$B$6)*Factors!JA5+SQRT(Parameters!$B$7)*Factors!JA9+SQRT(Parameters!$B$9)*NORM.S.INV(RAND())</f>
        <v/>
      </c>
      <c r="JB8" s="19">
        <f>SQRT(Parameters!$B$5)*Factors!JB3+SQRT(Parameters!$B$6)*Factors!JB5+SQRT(Parameters!$B$7)*Factors!JB9+SQRT(Parameters!$B$9)*NORM.S.INV(RAND())</f>
        <v/>
      </c>
      <c r="JC8" s="19">
        <f>SQRT(Parameters!$B$5)*Factors!JC3+SQRT(Parameters!$B$6)*Factors!JC5+SQRT(Parameters!$B$7)*Factors!JC9+SQRT(Parameters!$B$9)*NORM.S.INV(RAND())</f>
        <v/>
      </c>
      <c r="JD8" s="19">
        <f>SQRT(Parameters!$B$5)*Factors!JD3+SQRT(Parameters!$B$6)*Factors!JD5+SQRT(Parameters!$B$7)*Factors!JD9+SQRT(Parameters!$B$9)*NORM.S.INV(RAND())</f>
        <v/>
      </c>
      <c r="JE8" s="19">
        <f>SQRT(Parameters!$B$5)*Factors!JE3+SQRT(Parameters!$B$6)*Factors!JE5+SQRT(Parameters!$B$7)*Factors!JE9+SQRT(Parameters!$B$9)*NORM.S.INV(RAND())</f>
        <v/>
      </c>
      <c r="JF8" s="19">
        <f>SQRT(Parameters!$B$5)*Factors!JF3+SQRT(Parameters!$B$6)*Factors!JF5+SQRT(Parameters!$B$7)*Factors!JF9+SQRT(Parameters!$B$9)*NORM.S.INV(RAND())</f>
        <v/>
      </c>
      <c r="JG8" s="19">
        <f>SQRT(Parameters!$B$5)*Factors!JG3+SQRT(Parameters!$B$6)*Factors!JG5+SQRT(Parameters!$B$7)*Factors!JG9+SQRT(Parameters!$B$9)*NORM.S.INV(RAND())</f>
        <v/>
      </c>
      <c r="JH8" s="19">
        <f>SQRT(Parameters!$B$5)*Factors!JH3+SQRT(Parameters!$B$6)*Factors!JH5+SQRT(Parameters!$B$7)*Factors!JH9+SQRT(Parameters!$B$9)*NORM.S.INV(RAND())</f>
        <v/>
      </c>
      <c r="JI8" s="19">
        <f>SQRT(Parameters!$B$5)*Factors!JI3+SQRT(Parameters!$B$6)*Factors!JI5+SQRT(Parameters!$B$7)*Factors!JI9+SQRT(Parameters!$B$9)*NORM.S.INV(RAND())</f>
        <v/>
      </c>
      <c r="JJ8" s="19">
        <f>SQRT(Parameters!$B$5)*Factors!JJ3+SQRT(Parameters!$B$6)*Factors!JJ5+SQRT(Parameters!$B$7)*Factors!JJ9+SQRT(Parameters!$B$9)*NORM.S.INV(RAND())</f>
        <v/>
      </c>
      <c r="JK8" s="19">
        <f>SQRT(Parameters!$B$5)*Factors!JK3+SQRT(Parameters!$B$6)*Factors!JK5+SQRT(Parameters!$B$7)*Factors!JK9+SQRT(Parameters!$B$9)*NORM.S.INV(RAND())</f>
        <v/>
      </c>
      <c r="JL8" s="19">
        <f>SQRT(Parameters!$B$5)*Factors!JL3+SQRT(Parameters!$B$6)*Factors!JL5+SQRT(Parameters!$B$7)*Factors!JL9+SQRT(Parameters!$B$9)*NORM.S.INV(RAND())</f>
        <v/>
      </c>
      <c r="JM8" s="19">
        <f>SQRT(Parameters!$B$5)*Factors!JM3+SQRT(Parameters!$B$6)*Factors!JM5+SQRT(Parameters!$B$7)*Factors!JM9+SQRT(Parameters!$B$9)*NORM.S.INV(RAND())</f>
        <v/>
      </c>
      <c r="JN8" s="19">
        <f>SQRT(Parameters!$B$5)*Factors!JN3+SQRT(Parameters!$B$6)*Factors!JN5+SQRT(Parameters!$B$7)*Factors!JN9+SQRT(Parameters!$B$9)*NORM.S.INV(RAND())</f>
        <v/>
      </c>
      <c r="JO8" s="19">
        <f>SQRT(Parameters!$B$5)*Factors!JO3+SQRT(Parameters!$B$6)*Factors!JO5+SQRT(Parameters!$B$7)*Factors!JO9+SQRT(Parameters!$B$9)*NORM.S.INV(RAND())</f>
        <v/>
      </c>
      <c r="JP8" s="19">
        <f>SQRT(Parameters!$B$5)*Factors!JP3+SQRT(Parameters!$B$6)*Factors!JP5+SQRT(Parameters!$B$7)*Factors!JP9+SQRT(Parameters!$B$9)*NORM.S.INV(RAND())</f>
        <v/>
      </c>
      <c r="JQ8" s="19">
        <f>SQRT(Parameters!$B$5)*Factors!JQ3+SQRT(Parameters!$B$6)*Factors!JQ5+SQRT(Parameters!$B$7)*Factors!JQ9+SQRT(Parameters!$B$9)*NORM.S.INV(RAND())</f>
        <v/>
      </c>
      <c r="JR8" s="19">
        <f>SQRT(Parameters!$B$5)*Factors!JR3+SQRT(Parameters!$B$6)*Factors!JR5+SQRT(Parameters!$B$7)*Factors!JR9+SQRT(Parameters!$B$9)*NORM.S.INV(RAND())</f>
        <v/>
      </c>
      <c r="JS8" s="19">
        <f>SQRT(Parameters!$B$5)*Factors!JS3+SQRT(Parameters!$B$6)*Factors!JS5+SQRT(Parameters!$B$7)*Factors!JS9+SQRT(Parameters!$B$9)*NORM.S.INV(RAND())</f>
        <v/>
      </c>
      <c r="JT8" s="19">
        <f>SQRT(Parameters!$B$5)*Factors!JT3+SQRT(Parameters!$B$6)*Factors!JT5+SQRT(Parameters!$B$7)*Factors!JT9+SQRT(Parameters!$B$9)*NORM.S.INV(RAND())</f>
        <v/>
      </c>
      <c r="JU8" s="19">
        <f>SQRT(Parameters!$B$5)*Factors!JU3+SQRT(Parameters!$B$6)*Factors!JU5+SQRT(Parameters!$B$7)*Factors!JU9+SQRT(Parameters!$B$9)*NORM.S.INV(RAND())</f>
        <v/>
      </c>
      <c r="JV8" s="19">
        <f>SQRT(Parameters!$B$5)*Factors!JV3+SQRT(Parameters!$B$6)*Factors!JV5+SQRT(Parameters!$B$7)*Factors!JV9+SQRT(Parameters!$B$9)*NORM.S.INV(RAND())</f>
        <v/>
      </c>
      <c r="JW8" s="19">
        <f>SQRT(Parameters!$B$5)*Factors!JW3+SQRT(Parameters!$B$6)*Factors!JW5+SQRT(Parameters!$B$7)*Factors!JW9+SQRT(Parameters!$B$9)*NORM.S.INV(RAND())</f>
        <v/>
      </c>
      <c r="JX8" s="19">
        <f>SQRT(Parameters!$B$5)*Factors!JX3+SQRT(Parameters!$B$6)*Factors!JX5+SQRT(Parameters!$B$7)*Factors!JX9+SQRT(Parameters!$B$9)*NORM.S.INV(RAND())</f>
        <v/>
      </c>
      <c r="JY8" s="19">
        <f>SQRT(Parameters!$B$5)*Factors!JY3+SQRT(Parameters!$B$6)*Factors!JY5+SQRT(Parameters!$B$7)*Factors!JY9+SQRT(Parameters!$B$9)*NORM.S.INV(RAND())</f>
        <v/>
      </c>
      <c r="JZ8" s="19">
        <f>SQRT(Parameters!$B$5)*Factors!JZ3+SQRT(Parameters!$B$6)*Factors!JZ5+SQRT(Parameters!$B$7)*Factors!JZ9+SQRT(Parameters!$B$9)*NORM.S.INV(RAND())</f>
        <v/>
      </c>
      <c r="KA8" s="19">
        <f>SQRT(Parameters!$B$5)*Factors!KA3+SQRT(Parameters!$B$6)*Factors!KA5+SQRT(Parameters!$B$7)*Factors!KA9+SQRT(Parameters!$B$9)*NORM.S.INV(RAND())</f>
        <v/>
      </c>
      <c r="KB8" s="19">
        <f>SQRT(Parameters!$B$5)*Factors!KB3+SQRT(Parameters!$B$6)*Factors!KB5+SQRT(Parameters!$B$7)*Factors!KB9+SQRT(Parameters!$B$9)*NORM.S.INV(RAND())</f>
        <v/>
      </c>
      <c r="KC8" s="19">
        <f>SQRT(Parameters!$B$5)*Factors!KC3+SQRT(Parameters!$B$6)*Factors!KC5+SQRT(Parameters!$B$7)*Factors!KC9+SQRT(Parameters!$B$9)*NORM.S.INV(RAND())</f>
        <v/>
      </c>
      <c r="KD8" s="19">
        <f>SQRT(Parameters!$B$5)*Factors!KD3+SQRT(Parameters!$B$6)*Factors!KD5+SQRT(Parameters!$B$7)*Factors!KD9+SQRT(Parameters!$B$9)*NORM.S.INV(RAND())</f>
        <v/>
      </c>
      <c r="KE8" s="19">
        <f>SQRT(Parameters!$B$5)*Factors!KE3+SQRT(Parameters!$B$6)*Factors!KE5+SQRT(Parameters!$B$7)*Factors!KE9+SQRT(Parameters!$B$9)*NORM.S.INV(RAND())</f>
        <v/>
      </c>
      <c r="KF8" s="19">
        <f>SQRT(Parameters!$B$5)*Factors!KF3+SQRT(Parameters!$B$6)*Factors!KF5+SQRT(Parameters!$B$7)*Factors!KF9+SQRT(Parameters!$B$9)*NORM.S.INV(RAND())</f>
        <v/>
      </c>
      <c r="KG8" s="19">
        <f>SQRT(Parameters!$B$5)*Factors!KG3+SQRT(Parameters!$B$6)*Factors!KG5+SQRT(Parameters!$B$7)*Factors!KG9+SQRT(Parameters!$B$9)*NORM.S.INV(RAND())</f>
        <v/>
      </c>
      <c r="KH8" s="19">
        <f>SQRT(Parameters!$B$5)*Factors!KH3+SQRT(Parameters!$B$6)*Factors!KH5+SQRT(Parameters!$B$7)*Factors!KH9+SQRT(Parameters!$B$9)*NORM.S.INV(RAND())</f>
        <v/>
      </c>
      <c r="KI8" s="19">
        <f>SQRT(Parameters!$B$5)*Factors!KI3+SQRT(Parameters!$B$6)*Factors!KI5+SQRT(Parameters!$B$7)*Factors!KI9+SQRT(Parameters!$B$9)*NORM.S.INV(RAND())</f>
        <v/>
      </c>
      <c r="KJ8" s="19">
        <f>SQRT(Parameters!$B$5)*Factors!KJ3+SQRT(Parameters!$B$6)*Factors!KJ5+SQRT(Parameters!$B$7)*Factors!KJ9+SQRT(Parameters!$B$9)*NORM.S.INV(RAND())</f>
        <v/>
      </c>
      <c r="KK8" s="19">
        <f>SQRT(Parameters!$B$5)*Factors!KK3+SQRT(Parameters!$B$6)*Factors!KK5+SQRT(Parameters!$B$7)*Factors!KK9+SQRT(Parameters!$B$9)*NORM.S.INV(RAND())</f>
        <v/>
      </c>
      <c r="KL8" s="19">
        <f>SQRT(Parameters!$B$5)*Factors!KL3+SQRT(Parameters!$B$6)*Factors!KL5+SQRT(Parameters!$B$7)*Factors!KL9+SQRT(Parameters!$B$9)*NORM.S.INV(RAND())</f>
        <v/>
      </c>
      <c r="KM8" s="19">
        <f>SQRT(Parameters!$B$5)*Factors!KM3+SQRT(Parameters!$B$6)*Factors!KM5+SQRT(Parameters!$B$7)*Factors!KM9+SQRT(Parameters!$B$9)*NORM.S.INV(RAND())</f>
        <v/>
      </c>
      <c r="KN8" s="19">
        <f>SQRT(Parameters!$B$5)*Factors!KN3+SQRT(Parameters!$B$6)*Factors!KN5+SQRT(Parameters!$B$7)*Factors!KN9+SQRT(Parameters!$B$9)*NORM.S.INV(RAND())</f>
        <v/>
      </c>
      <c r="KO8" s="19">
        <f>SQRT(Parameters!$B$5)*Factors!KO3+SQRT(Parameters!$B$6)*Factors!KO5+SQRT(Parameters!$B$7)*Factors!KO9+SQRT(Parameters!$B$9)*NORM.S.INV(RAND())</f>
        <v/>
      </c>
      <c r="KP8" s="19">
        <f>SQRT(Parameters!$B$5)*Factors!KP3+SQRT(Parameters!$B$6)*Factors!KP5+SQRT(Parameters!$B$7)*Factors!KP9+SQRT(Parameters!$B$9)*NORM.S.INV(RAND())</f>
        <v/>
      </c>
      <c r="KQ8" s="19">
        <f>SQRT(Parameters!$B$5)*Factors!KQ3+SQRT(Parameters!$B$6)*Factors!KQ5+SQRT(Parameters!$B$7)*Factors!KQ9+SQRT(Parameters!$B$9)*NORM.S.INV(RAND())</f>
        <v/>
      </c>
      <c r="KR8" s="19">
        <f>SQRT(Parameters!$B$5)*Factors!KR3+SQRT(Parameters!$B$6)*Factors!KR5+SQRT(Parameters!$B$7)*Factors!KR9+SQRT(Parameters!$B$9)*NORM.S.INV(RAND())</f>
        <v/>
      </c>
      <c r="KS8" s="19">
        <f>SQRT(Parameters!$B$5)*Factors!KS3+SQRT(Parameters!$B$6)*Factors!KS5+SQRT(Parameters!$B$7)*Factors!KS9+SQRT(Parameters!$B$9)*NORM.S.INV(RAND())</f>
        <v/>
      </c>
      <c r="KT8" s="19">
        <f>SQRT(Parameters!$B$5)*Factors!KT3+SQRT(Parameters!$B$6)*Factors!KT5+SQRT(Parameters!$B$7)*Factors!KT9+SQRT(Parameters!$B$9)*NORM.S.INV(RAND())</f>
        <v/>
      </c>
      <c r="KU8" s="19">
        <f>SQRT(Parameters!$B$5)*Factors!KU3+SQRT(Parameters!$B$6)*Factors!KU5+SQRT(Parameters!$B$7)*Factors!KU9+SQRT(Parameters!$B$9)*NORM.S.INV(RAND())</f>
        <v/>
      </c>
      <c r="KV8" s="19">
        <f>SQRT(Parameters!$B$5)*Factors!KV3+SQRT(Parameters!$B$6)*Factors!KV5+SQRT(Parameters!$B$7)*Factors!KV9+SQRT(Parameters!$B$9)*NORM.S.INV(RAND())</f>
        <v/>
      </c>
      <c r="KW8" s="19">
        <f>SQRT(Parameters!$B$5)*Factors!KW3+SQRT(Parameters!$B$6)*Factors!KW5+SQRT(Parameters!$B$7)*Factors!KW9+SQRT(Parameters!$B$9)*NORM.S.INV(RAND())</f>
        <v/>
      </c>
      <c r="KX8" s="19">
        <f>SQRT(Parameters!$B$5)*Factors!KX3+SQRT(Parameters!$B$6)*Factors!KX5+SQRT(Parameters!$B$7)*Factors!KX9+SQRT(Parameters!$B$9)*NORM.S.INV(RAND())</f>
        <v/>
      </c>
      <c r="KY8" s="19">
        <f>SQRT(Parameters!$B$5)*Factors!KY3+SQRT(Parameters!$B$6)*Factors!KY5+SQRT(Parameters!$B$7)*Factors!KY9+SQRT(Parameters!$B$9)*NORM.S.INV(RAND())</f>
        <v/>
      </c>
      <c r="KZ8" s="19">
        <f>SQRT(Parameters!$B$5)*Factors!KZ3+SQRT(Parameters!$B$6)*Factors!KZ5+SQRT(Parameters!$B$7)*Factors!KZ9+SQRT(Parameters!$B$9)*NORM.S.INV(RAND())</f>
        <v/>
      </c>
      <c r="LA8" s="19">
        <f>SQRT(Parameters!$B$5)*Factors!LA3+SQRT(Parameters!$B$6)*Factors!LA5+SQRT(Parameters!$B$7)*Factors!LA9+SQRT(Parameters!$B$9)*NORM.S.INV(RAND())</f>
        <v/>
      </c>
      <c r="LB8" s="19">
        <f>SQRT(Parameters!$B$5)*Factors!LB3+SQRT(Parameters!$B$6)*Factors!LB5+SQRT(Parameters!$B$7)*Factors!LB9+SQRT(Parameters!$B$9)*NORM.S.INV(RAND())</f>
        <v/>
      </c>
      <c r="LC8" s="19">
        <f>SQRT(Parameters!$B$5)*Factors!LC3+SQRT(Parameters!$B$6)*Factors!LC5+SQRT(Parameters!$B$7)*Factors!LC9+SQRT(Parameters!$B$9)*NORM.S.INV(RAND())</f>
        <v/>
      </c>
      <c r="LD8" s="19">
        <f>SQRT(Parameters!$B$5)*Factors!LD3+SQRT(Parameters!$B$6)*Factors!LD5+SQRT(Parameters!$B$7)*Factors!LD9+SQRT(Parameters!$B$9)*NORM.S.INV(RAND())</f>
        <v/>
      </c>
      <c r="LE8" s="19">
        <f>SQRT(Parameters!$B$5)*Factors!LE3+SQRT(Parameters!$B$6)*Factors!LE5+SQRT(Parameters!$B$7)*Factors!LE9+SQRT(Parameters!$B$9)*NORM.S.INV(RAND())</f>
        <v/>
      </c>
      <c r="LF8" s="19">
        <f>SQRT(Parameters!$B$5)*Factors!LF3+SQRT(Parameters!$B$6)*Factors!LF5+SQRT(Parameters!$B$7)*Factors!LF9+SQRT(Parameters!$B$9)*NORM.S.INV(RAND())</f>
        <v/>
      </c>
      <c r="LG8" s="19">
        <f>SQRT(Parameters!$B$5)*Factors!LG3+SQRT(Parameters!$B$6)*Factors!LG5+SQRT(Parameters!$B$7)*Factors!LG9+SQRT(Parameters!$B$9)*NORM.S.INV(RAND())</f>
        <v/>
      </c>
      <c r="LH8" s="19">
        <f>SQRT(Parameters!$B$5)*Factors!LH3+SQRT(Parameters!$B$6)*Factors!LH5+SQRT(Parameters!$B$7)*Factors!LH9+SQRT(Parameters!$B$9)*NORM.S.INV(RAND())</f>
        <v/>
      </c>
      <c r="LI8" s="19">
        <f>SQRT(Parameters!$B$5)*Factors!LI3+SQRT(Parameters!$B$6)*Factors!LI5+SQRT(Parameters!$B$7)*Factors!LI9+SQRT(Parameters!$B$9)*NORM.S.INV(RAND())</f>
        <v/>
      </c>
      <c r="LJ8" s="19">
        <f>SQRT(Parameters!$B$5)*Factors!LJ3+SQRT(Parameters!$B$6)*Factors!LJ5+SQRT(Parameters!$B$7)*Factors!LJ9+SQRT(Parameters!$B$9)*NORM.S.INV(RAND())</f>
        <v/>
      </c>
      <c r="LK8" s="19">
        <f>SQRT(Parameters!$B$5)*Factors!LK3+SQRT(Parameters!$B$6)*Factors!LK5+SQRT(Parameters!$B$7)*Factors!LK9+SQRT(Parameters!$B$9)*NORM.S.INV(RAND())</f>
        <v/>
      </c>
      <c r="LL8" s="19">
        <f>SQRT(Parameters!$B$5)*Factors!LL3+SQRT(Parameters!$B$6)*Factors!LL5+SQRT(Parameters!$B$7)*Factors!LL9+SQRT(Parameters!$B$9)*NORM.S.INV(RAND())</f>
        <v/>
      </c>
      <c r="LM8" s="19">
        <f>SQRT(Parameters!$B$5)*Factors!LM3+SQRT(Parameters!$B$6)*Factors!LM5+SQRT(Parameters!$B$7)*Factors!LM9+SQRT(Parameters!$B$9)*NORM.S.INV(RAND())</f>
        <v/>
      </c>
      <c r="LN8" s="19">
        <f>SQRT(Parameters!$B$5)*Factors!LN3+SQRT(Parameters!$B$6)*Factors!LN5+SQRT(Parameters!$B$7)*Factors!LN9+SQRT(Parameters!$B$9)*NORM.S.INV(RAND())</f>
        <v/>
      </c>
      <c r="LO8" s="19">
        <f>SQRT(Parameters!$B$5)*Factors!LO3+SQRT(Parameters!$B$6)*Factors!LO5+SQRT(Parameters!$B$7)*Factors!LO9+SQRT(Parameters!$B$9)*NORM.S.INV(RAND())</f>
        <v/>
      </c>
      <c r="LP8" s="19">
        <f>SQRT(Parameters!$B$5)*Factors!LP3+SQRT(Parameters!$B$6)*Factors!LP5+SQRT(Parameters!$B$7)*Factors!LP9+SQRT(Parameters!$B$9)*NORM.S.INV(RAND())</f>
        <v/>
      </c>
      <c r="LQ8" s="19">
        <f>SQRT(Parameters!$B$5)*Factors!LQ3+SQRT(Parameters!$B$6)*Factors!LQ5+SQRT(Parameters!$B$7)*Factors!LQ9+SQRT(Parameters!$B$9)*NORM.S.INV(RAND())</f>
        <v/>
      </c>
      <c r="LR8" s="19">
        <f>SQRT(Parameters!$B$5)*Factors!LR3+SQRT(Parameters!$B$6)*Factors!LR5+SQRT(Parameters!$B$7)*Factors!LR9+SQRT(Parameters!$B$9)*NORM.S.INV(RAND())</f>
        <v/>
      </c>
      <c r="LS8" s="19">
        <f>SQRT(Parameters!$B$5)*Factors!LS3+SQRT(Parameters!$B$6)*Factors!LS5+SQRT(Parameters!$B$7)*Factors!LS9+SQRT(Parameters!$B$9)*NORM.S.INV(RAND())</f>
        <v/>
      </c>
      <c r="LT8" s="19">
        <f>SQRT(Parameters!$B$5)*Factors!LT3+SQRT(Parameters!$B$6)*Factors!LT5+SQRT(Parameters!$B$7)*Factors!LT9+SQRT(Parameters!$B$9)*NORM.S.INV(RAND())</f>
        <v/>
      </c>
      <c r="LU8" s="19">
        <f>SQRT(Parameters!$B$5)*Factors!LU3+SQRT(Parameters!$B$6)*Factors!LU5+SQRT(Parameters!$B$7)*Factors!LU9+SQRT(Parameters!$B$9)*NORM.S.INV(RAND())</f>
        <v/>
      </c>
      <c r="LV8" s="19">
        <f>SQRT(Parameters!$B$5)*Factors!LV3+SQRT(Parameters!$B$6)*Factors!LV5+SQRT(Parameters!$B$7)*Factors!LV9+SQRT(Parameters!$B$9)*NORM.S.INV(RAND())</f>
        <v/>
      </c>
      <c r="LW8" s="19">
        <f>SQRT(Parameters!$B$5)*Factors!LW3+SQRT(Parameters!$B$6)*Factors!LW5+SQRT(Parameters!$B$7)*Factors!LW9+SQRT(Parameters!$B$9)*NORM.S.INV(RAND())</f>
        <v/>
      </c>
      <c r="LX8" s="19">
        <f>SQRT(Parameters!$B$5)*Factors!LX3+SQRT(Parameters!$B$6)*Factors!LX5+SQRT(Parameters!$B$7)*Factors!LX9+SQRT(Parameters!$B$9)*NORM.S.INV(RAND())</f>
        <v/>
      </c>
      <c r="LY8" s="19">
        <f>SQRT(Parameters!$B$5)*Factors!LY3+SQRT(Parameters!$B$6)*Factors!LY5+SQRT(Parameters!$B$7)*Factors!LY9+SQRT(Parameters!$B$9)*NORM.S.INV(RAND())</f>
        <v/>
      </c>
      <c r="LZ8" s="19">
        <f>SQRT(Parameters!$B$5)*Factors!LZ3+SQRT(Parameters!$B$6)*Factors!LZ5+SQRT(Parameters!$B$7)*Factors!LZ9+SQRT(Parameters!$B$9)*NORM.S.INV(RAND())</f>
        <v/>
      </c>
      <c r="MA8" s="19">
        <f>SQRT(Parameters!$B$5)*Factors!MA3+SQRT(Parameters!$B$6)*Factors!MA5+SQRT(Parameters!$B$7)*Factors!MA9+SQRT(Parameters!$B$9)*NORM.S.INV(RAND())</f>
        <v/>
      </c>
      <c r="MB8" s="19">
        <f>SQRT(Parameters!$B$5)*Factors!MB3+SQRT(Parameters!$B$6)*Factors!MB5+SQRT(Parameters!$B$7)*Factors!MB9+SQRT(Parameters!$B$9)*NORM.S.INV(RAND())</f>
        <v/>
      </c>
      <c r="MC8" s="19">
        <f>SQRT(Parameters!$B$5)*Factors!MC3+SQRT(Parameters!$B$6)*Factors!MC5+SQRT(Parameters!$B$7)*Factors!MC9+SQRT(Parameters!$B$9)*NORM.S.INV(RAND())</f>
        <v/>
      </c>
      <c r="MD8" s="19">
        <f>SQRT(Parameters!$B$5)*Factors!MD3+SQRT(Parameters!$B$6)*Factors!MD5+SQRT(Parameters!$B$7)*Factors!MD9+SQRT(Parameters!$B$9)*NORM.S.INV(RAND())</f>
        <v/>
      </c>
      <c r="ME8" s="19">
        <f>SQRT(Parameters!$B$5)*Factors!ME3+SQRT(Parameters!$B$6)*Factors!ME5+SQRT(Parameters!$B$7)*Factors!ME9+SQRT(Parameters!$B$9)*NORM.S.INV(RAND())</f>
        <v/>
      </c>
      <c r="MF8" s="19">
        <f>SQRT(Parameters!$B$5)*Factors!MF3+SQRT(Parameters!$B$6)*Factors!MF5+SQRT(Parameters!$B$7)*Factors!MF9+SQRT(Parameters!$B$9)*NORM.S.INV(RAND())</f>
        <v/>
      </c>
      <c r="MG8" s="19">
        <f>SQRT(Parameters!$B$5)*Factors!MG3+SQRT(Parameters!$B$6)*Factors!MG5+SQRT(Parameters!$B$7)*Factors!MG9+SQRT(Parameters!$B$9)*NORM.S.INV(RAND())</f>
        <v/>
      </c>
      <c r="MH8" s="19">
        <f>SQRT(Parameters!$B$5)*Factors!MH3+SQRT(Parameters!$B$6)*Factors!MH5+SQRT(Parameters!$B$7)*Factors!MH9+SQRT(Parameters!$B$9)*NORM.S.INV(RAND())</f>
        <v/>
      </c>
      <c r="MI8" s="19">
        <f>SQRT(Parameters!$B$5)*Factors!MI3+SQRT(Parameters!$B$6)*Factors!MI5+SQRT(Parameters!$B$7)*Factors!MI9+SQRT(Parameters!$B$9)*NORM.S.INV(RAND())</f>
        <v/>
      </c>
      <c r="MJ8" s="19">
        <f>SQRT(Parameters!$B$5)*Factors!MJ3+SQRT(Parameters!$B$6)*Factors!MJ5+SQRT(Parameters!$B$7)*Factors!MJ9+SQRT(Parameters!$B$9)*NORM.S.INV(RAND())</f>
        <v/>
      </c>
      <c r="MK8" s="19">
        <f>SQRT(Parameters!$B$5)*Factors!MK3+SQRT(Parameters!$B$6)*Factors!MK5+SQRT(Parameters!$B$7)*Factors!MK9+SQRT(Parameters!$B$9)*NORM.S.INV(RAND())</f>
        <v/>
      </c>
      <c r="ML8" s="19">
        <f>SQRT(Parameters!$B$5)*Factors!ML3+SQRT(Parameters!$B$6)*Factors!ML5+SQRT(Parameters!$B$7)*Factors!ML9+SQRT(Parameters!$B$9)*NORM.S.INV(RAND())</f>
        <v/>
      </c>
      <c r="MM8" s="19">
        <f>SQRT(Parameters!$B$5)*Factors!MM3+SQRT(Parameters!$B$6)*Factors!MM5+SQRT(Parameters!$B$7)*Factors!MM9+SQRT(Parameters!$B$9)*NORM.S.INV(RAND())</f>
        <v/>
      </c>
      <c r="MN8" s="19">
        <f>SQRT(Parameters!$B$5)*Factors!MN3+SQRT(Parameters!$B$6)*Factors!MN5+SQRT(Parameters!$B$7)*Factors!MN9+SQRT(Parameters!$B$9)*NORM.S.INV(RAND())</f>
        <v/>
      </c>
      <c r="MO8" s="19">
        <f>SQRT(Parameters!$B$5)*Factors!MO3+SQRT(Parameters!$B$6)*Factors!MO5+SQRT(Parameters!$B$7)*Factors!MO9+SQRT(Parameters!$B$9)*NORM.S.INV(RAND())</f>
        <v/>
      </c>
      <c r="MP8" s="19">
        <f>SQRT(Parameters!$B$5)*Factors!MP3+SQRT(Parameters!$B$6)*Factors!MP5+SQRT(Parameters!$B$7)*Factors!MP9+SQRT(Parameters!$B$9)*NORM.S.INV(RAND())</f>
        <v/>
      </c>
      <c r="MQ8" s="19">
        <f>SQRT(Parameters!$B$5)*Factors!MQ3+SQRT(Parameters!$B$6)*Factors!MQ5+SQRT(Parameters!$B$7)*Factors!MQ9+SQRT(Parameters!$B$9)*NORM.S.INV(RAND())</f>
        <v/>
      </c>
      <c r="MR8" s="19">
        <f>SQRT(Parameters!$B$5)*Factors!MR3+SQRT(Parameters!$B$6)*Factors!MR5+SQRT(Parameters!$B$7)*Factors!MR9+SQRT(Parameters!$B$9)*NORM.S.INV(RAND())</f>
        <v/>
      </c>
      <c r="MS8" s="19">
        <f>SQRT(Parameters!$B$5)*Factors!MS3+SQRT(Parameters!$B$6)*Factors!MS5+SQRT(Parameters!$B$7)*Factors!MS9+SQRT(Parameters!$B$9)*NORM.S.INV(RAND())</f>
        <v/>
      </c>
      <c r="MT8" s="19">
        <f>SQRT(Parameters!$B$5)*Factors!MT3+SQRT(Parameters!$B$6)*Factors!MT5+SQRT(Parameters!$B$7)*Factors!MT9+SQRT(Parameters!$B$9)*NORM.S.INV(RAND())</f>
        <v/>
      </c>
      <c r="MU8" s="19">
        <f>SQRT(Parameters!$B$5)*Factors!MU3+SQRT(Parameters!$B$6)*Factors!MU5+SQRT(Parameters!$B$7)*Factors!MU9+SQRT(Parameters!$B$9)*NORM.S.INV(RAND())</f>
        <v/>
      </c>
      <c r="MV8" s="19">
        <f>SQRT(Parameters!$B$5)*Factors!MV3+SQRT(Parameters!$B$6)*Factors!MV5+SQRT(Parameters!$B$7)*Factors!MV9+SQRT(Parameters!$B$9)*NORM.S.INV(RAND())</f>
        <v/>
      </c>
      <c r="MW8" s="19">
        <f>SQRT(Parameters!$B$5)*Factors!MW3+SQRT(Parameters!$B$6)*Factors!MW5+SQRT(Parameters!$B$7)*Factors!MW9+SQRT(Parameters!$B$9)*NORM.S.INV(RAND())</f>
        <v/>
      </c>
      <c r="MX8" s="19">
        <f>SQRT(Parameters!$B$5)*Factors!MX3+SQRT(Parameters!$B$6)*Factors!MX5+SQRT(Parameters!$B$7)*Factors!MX9+SQRT(Parameters!$B$9)*NORM.S.INV(RAND())</f>
        <v/>
      </c>
      <c r="MY8" s="19">
        <f>SQRT(Parameters!$B$5)*Factors!MY3+SQRT(Parameters!$B$6)*Factors!MY5+SQRT(Parameters!$B$7)*Factors!MY9+SQRT(Parameters!$B$9)*NORM.S.INV(RAND())</f>
        <v/>
      </c>
      <c r="MZ8" s="19">
        <f>SQRT(Parameters!$B$5)*Factors!MZ3+SQRT(Parameters!$B$6)*Factors!MZ5+SQRT(Parameters!$B$7)*Factors!MZ9+SQRT(Parameters!$B$9)*NORM.S.INV(RAND())</f>
        <v/>
      </c>
      <c r="NA8" s="19">
        <f>SQRT(Parameters!$B$5)*Factors!NA3+SQRT(Parameters!$B$6)*Factors!NA5+SQRT(Parameters!$B$7)*Factors!NA9+SQRT(Parameters!$B$9)*NORM.S.INV(RAND())</f>
        <v/>
      </c>
      <c r="NB8" s="19">
        <f>SQRT(Parameters!$B$5)*Factors!NB3+SQRT(Parameters!$B$6)*Factors!NB5+SQRT(Parameters!$B$7)*Factors!NB9+SQRT(Parameters!$B$9)*NORM.S.INV(RAND())</f>
        <v/>
      </c>
      <c r="NC8" s="19">
        <f>SQRT(Parameters!$B$5)*Factors!NC3+SQRT(Parameters!$B$6)*Factors!NC5+SQRT(Parameters!$B$7)*Factors!NC9+SQRT(Parameters!$B$9)*NORM.S.INV(RAND())</f>
        <v/>
      </c>
      <c r="ND8" s="19">
        <f>SQRT(Parameters!$B$5)*Factors!ND3+SQRT(Parameters!$B$6)*Factors!ND5+SQRT(Parameters!$B$7)*Factors!ND9+SQRT(Parameters!$B$9)*NORM.S.INV(RAND())</f>
        <v/>
      </c>
      <c r="NE8" s="19">
        <f>SQRT(Parameters!$B$5)*Factors!NE3+SQRT(Parameters!$B$6)*Factors!NE5+SQRT(Parameters!$B$7)*Factors!NE9+SQRT(Parameters!$B$9)*NORM.S.INV(RAND())</f>
        <v/>
      </c>
      <c r="NF8" s="19">
        <f>SQRT(Parameters!$B$5)*Factors!NF3+SQRT(Parameters!$B$6)*Factors!NF5+SQRT(Parameters!$B$7)*Factors!NF9+SQRT(Parameters!$B$9)*NORM.S.INV(RAND())</f>
        <v/>
      </c>
      <c r="NG8" s="19">
        <f>SQRT(Parameters!$B$5)*Factors!NG3+SQRT(Parameters!$B$6)*Factors!NG5+SQRT(Parameters!$B$7)*Factors!NG9+SQRT(Parameters!$B$9)*NORM.S.INV(RAND())</f>
        <v/>
      </c>
      <c r="NH8" s="19">
        <f>SQRT(Parameters!$B$5)*Factors!NH3+SQRT(Parameters!$B$6)*Factors!NH5+SQRT(Parameters!$B$7)*Factors!NH9+SQRT(Parameters!$B$9)*NORM.S.INV(RAND())</f>
        <v/>
      </c>
      <c r="NI8" s="19">
        <f>SQRT(Parameters!$B$5)*Factors!NI3+SQRT(Parameters!$B$6)*Factors!NI5+SQRT(Parameters!$B$7)*Factors!NI9+SQRT(Parameters!$B$9)*NORM.S.INV(RAND())</f>
        <v/>
      </c>
      <c r="NJ8" s="19">
        <f>SQRT(Parameters!$B$5)*Factors!NJ3+SQRT(Parameters!$B$6)*Factors!NJ5+SQRT(Parameters!$B$7)*Factors!NJ9+SQRT(Parameters!$B$9)*NORM.S.INV(RAND())</f>
        <v/>
      </c>
      <c r="NK8" s="19">
        <f>SQRT(Parameters!$B$5)*Factors!NK3+SQRT(Parameters!$B$6)*Factors!NK5+SQRT(Parameters!$B$7)*Factors!NK9+SQRT(Parameters!$B$9)*NORM.S.INV(RAND())</f>
        <v/>
      </c>
      <c r="NL8" s="19">
        <f>SQRT(Parameters!$B$5)*Factors!NL3+SQRT(Parameters!$B$6)*Factors!NL5+SQRT(Parameters!$B$7)*Factors!NL9+SQRT(Parameters!$B$9)*NORM.S.INV(RAND())</f>
        <v/>
      </c>
      <c r="NM8" s="19">
        <f>SQRT(Parameters!$B$5)*Factors!NM3+SQRT(Parameters!$B$6)*Factors!NM5+SQRT(Parameters!$B$7)*Factors!NM9+SQRT(Parameters!$B$9)*NORM.S.INV(RAND())</f>
        <v/>
      </c>
      <c r="NN8" s="19">
        <f>SQRT(Parameters!$B$5)*Factors!NN3+SQRT(Parameters!$B$6)*Factors!NN5+SQRT(Parameters!$B$7)*Factors!NN9+SQRT(Parameters!$B$9)*NORM.S.INV(RAND())</f>
        <v/>
      </c>
      <c r="NO8" s="19">
        <f>SQRT(Parameters!$B$5)*Factors!NO3+SQRT(Parameters!$B$6)*Factors!NO5+SQRT(Parameters!$B$7)*Factors!NO9+SQRT(Parameters!$B$9)*NORM.S.INV(RAND())</f>
        <v/>
      </c>
      <c r="NP8" s="19">
        <f>SQRT(Parameters!$B$5)*Factors!NP3+SQRT(Parameters!$B$6)*Factors!NP5+SQRT(Parameters!$B$7)*Factors!NP9+SQRT(Parameters!$B$9)*NORM.S.INV(RAND())</f>
        <v/>
      </c>
      <c r="NQ8" s="19">
        <f>SQRT(Parameters!$B$5)*Factors!NQ3+SQRT(Parameters!$B$6)*Factors!NQ5+SQRT(Parameters!$B$7)*Factors!NQ9+SQRT(Parameters!$B$9)*NORM.S.INV(RAND())</f>
        <v/>
      </c>
      <c r="NR8" s="19">
        <f>SQRT(Parameters!$B$5)*Factors!NR3+SQRT(Parameters!$B$6)*Factors!NR5+SQRT(Parameters!$B$7)*Factors!NR9+SQRT(Parameters!$B$9)*NORM.S.INV(RAND())</f>
        <v/>
      </c>
      <c r="NS8" s="19">
        <f>SQRT(Parameters!$B$5)*Factors!NS3+SQRT(Parameters!$B$6)*Factors!NS5+SQRT(Parameters!$B$7)*Factors!NS9+SQRT(Parameters!$B$9)*NORM.S.INV(RAND())</f>
        <v/>
      </c>
      <c r="NT8" s="19">
        <f>SQRT(Parameters!$B$5)*Factors!NT3+SQRT(Parameters!$B$6)*Factors!NT5+SQRT(Parameters!$B$7)*Factors!NT9+SQRT(Parameters!$B$9)*NORM.S.INV(RAND())</f>
        <v/>
      </c>
      <c r="NU8" s="19">
        <f>SQRT(Parameters!$B$5)*Factors!NU3+SQRT(Parameters!$B$6)*Factors!NU5+SQRT(Parameters!$B$7)*Factors!NU9+SQRT(Parameters!$B$9)*NORM.S.INV(RAND())</f>
        <v/>
      </c>
      <c r="NV8" s="19">
        <f>SQRT(Parameters!$B$5)*Factors!NV3+SQRT(Parameters!$B$6)*Factors!NV5+SQRT(Parameters!$B$7)*Factors!NV9+SQRT(Parameters!$B$9)*NORM.S.INV(RAND())</f>
        <v/>
      </c>
      <c r="NW8" s="19">
        <f>SQRT(Parameters!$B$5)*Factors!NW3+SQRT(Parameters!$B$6)*Factors!NW5+SQRT(Parameters!$B$7)*Factors!NW9+SQRT(Parameters!$B$9)*NORM.S.INV(RAND())</f>
        <v/>
      </c>
      <c r="NX8" s="19">
        <f>SQRT(Parameters!$B$5)*Factors!NX3+SQRT(Parameters!$B$6)*Factors!NX5+SQRT(Parameters!$B$7)*Factors!NX9+SQRT(Parameters!$B$9)*NORM.S.INV(RAND())</f>
        <v/>
      </c>
      <c r="NY8" s="19">
        <f>SQRT(Parameters!$B$5)*Factors!NY3+SQRT(Parameters!$B$6)*Factors!NY5+SQRT(Parameters!$B$7)*Factors!NY9+SQRT(Parameters!$B$9)*NORM.S.INV(RAND())</f>
        <v/>
      </c>
      <c r="NZ8" s="19">
        <f>SQRT(Parameters!$B$5)*Factors!NZ3+SQRT(Parameters!$B$6)*Factors!NZ5+SQRT(Parameters!$B$7)*Factors!NZ9+SQRT(Parameters!$B$9)*NORM.S.INV(RAND())</f>
        <v/>
      </c>
      <c r="OA8" s="19">
        <f>SQRT(Parameters!$B$5)*Factors!OA3+SQRT(Parameters!$B$6)*Factors!OA5+SQRT(Parameters!$B$7)*Factors!OA9+SQRT(Parameters!$B$9)*NORM.S.INV(RAND())</f>
        <v/>
      </c>
      <c r="OB8" s="19">
        <f>SQRT(Parameters!$B$5)*Factors!OB3+SQRT(Parameters!$B$6)*Factors!OB5+SQRT(Parameters!$B$7)*Factors!OB9+SQRT(Parameters!$B$9)*NORM.S.INV(RAND())</f>
        <v/>
      </c>
      <c r="OC8" s="19">
        <f>SQRT(Parameters!$B$5)*Factors!OC3+SQRT(Parameters!$B$6)*Factors!OC5+SQRT(Parameters!$B$7)*Factors!OC9+SQRT(Parameters!$B$9)*NORM.S.INV(RAND())</f>
        <v/>
      </c>
      <c r="OD8" s="19">
        <f>SQRT(Parameters!$B$5)*Factors!OD3+SQRT(Parameters!$B$6)*Factors!OD5+SQRT(Parameters!$B$7)*Factors!OD9+SQRT(Parameters!$B$9)*NORM.S.INV(RAND())</f>
        <v/>
      </c>
      <c r="OE8" s="19">
        <f>SQRT(Parameters!$B$5)*Factors!OE3+SQRT(Parameters!$B$6)*Factors!OE5+SQRT(Parameters!$B$7)*Factors!OE9+SQRT(Parameters!$B$9)*NORM.S.INV(RAND())</f>
        <v/>
      </c>
      <c r="OF8" s="19">
        <f>SQRT(Parameters!$B$5)*Factors!OF3+SQRT(Parameters!$B$6)*Factors!OF5+SQRT(Parameters!$B$7)*Factors!OF9+SQRT(Parameters!$B$9)*NORM.S.INV(RAND())</f>
        <v/>
      </c>
      <c r="OG8" s="19">
        <f>SQRT(Parameters!$B$5)*Factors!OG3+SQRT(Parameters!$B$6)*Factors!OG5+SQRT(Parameters!$B$7)*Factors!OG9+SQRT(Parameters!$B$9)*NORM.S.INV(RAND())</f>
        <v/>
      </c>
      <c r="OH8" s="19">
        <f>SQRT(Parameters!$B$5)*Factors!OH3+SQRT(Parameters!$B$6)*Factors!OH5+SQRT(Parameters!$B$7)*Factors!OH9+SQRT(Parameters!$B$9)*NORM.S.INV(RAND())</f>
        <v/>
      </c>
      <c r="OI8" s="19">
        <f>SQRT(Parameters!$B$5)*Factors!OI3+SQRT(Parameters!$B$6)*Factors!OI5+SQRT(Parameters!$B$7)*Factors!OI9+SQRT(Parameters!$B$9)*NORM.S.INV(RAND())</f>
        <v/>
      </c>
      <c r="OJ8" s="19">
        <f>SQRT(Parameters!$B$5)*Factors!OJ3+SQRT(Parameters!$B$6)*Factors!OJ5+SQRT(Parameters!$B$7)*Factors!OJ9+SQRT(Parameters!$B$9)*NORM.S.INV(RAND())</f>
        <v/>
      </c>
      <c r="OK8" s="19">
        <f>SQRT(Parameters!$B$5)*Factors!OK3+SQRT(Parameters!$B$6)*Factors!OK5+SQRT(Parameters!$B$7)*Factors!OK9+SQRT(Parameters!$B$9)*NORM.S.INV(RAND())</f>
        <v/>
      </c>
      <c r="OL8" s="19">
        <f>SQRT(Parameters!$B$5)*Factors!OL3+SQRT(Parameters!$B$6)*Factors!OL5+SQRT(Parameters!$B$7)*Factors!OL9+SQRT(Parameters!$B$9)*NORM.S.INV(RAND())</f>
        <v/>
      </c>
      <c r="OM8" s="19">
        <f>SQRT(Parameters!$B$5)*Factors!OM3+SQRT(Parameters!$B$6)*Factors!OM5+SQRT(Parameters!$B$7)*Factors!OM9+SQRT(Parameters!$B$9)*NORM.S.INV(RAND())</f>
        <v/>
      </c>
      <c r="ON8" s="19">
        <f>SQRT(Parameters!$B$5)*Factors!ON3+SQRT(Parameters!$B$6)*Factors!ON5+SQRT(Parameters!$B$7)*Factors!ON9+SQRT(Parameters!$B$9)*NORM.S.INV(RAND())</f>
        <v/>
      </c>
      <c r="OO8" s="19">
        <f>SQRT(Parameters!$B$5)*Factors!OO3+SQRT(Parameters!$B$6)*Factors!OO5+SQRT(Parameters!$B$7)*Factors!OO9+SQRT(Parameters!$B$9)*NORM.S.INV(RAND())</f>
        <v/>
      </c>
      <c r="OP8" s="19">
        <f>SQRT(Parameters!$B$5)*Factors!OP3+SQRT(Parameters!$B$6)*Factors!OP5+SQRT(Parameters!$B$7)*Factors!OP9+SQRT(Parameters!$B$9)*NORM.S.INV(RAND())</f>
        <v/>
      </c>
      <c r="OQ8" s="19">
        <f>SQRT(Parameters!$B$5)*Factors!OQ3+SQRT(Parameters!$B$6)*Factors!OQ5+SQRT(Parameters!$B$7)*Factors!OQ9+SQRT(Parameters!$B$9)*NORM.S.INV(RAND())</f>
        <v/>
      </c>
      <c r="OR8" s="19">
        <f>SQRT(Parameters!$B$5)*Factors!OR3+SQRT(Parameters!$B$6)*Factors!OR5+SQRT(Parameters!$B$7)*Factors!OR9+SQRT(Parameters!$B$9)*NORM.S.INV(RAND())</f>
        <v/>
      </c>
      <c r="OS8" s="19">
        <f>SQRT(Parameters!$B$5)*Factors!OS3+SQRT(Parameters!$B$6)*Factors!OS5+SQRT(Parameters!$B$7)*Factors!OS9+SQRT(Parameters!$B$9)*NORM.S.INV(RAND())</f>
        <v/>
      </c>
      <c r="OT8" s="19">
        <f>SQRT(Parameters!$B$5)*Factors!OT3+SQRT(Parameters!$B$6)*Factors!OT5+SQRT(Parameters!$B$7)*Factors!OT9+SQRT(Parameters!$B$9)*NORM.S.INV(RAND())</f>
        <v/>
      </c>
      <c r="OU8" s="19">
        <f>SQRT(Parameters!$B$5)*Factors!OU3+SQRT(Parameters!$B$6)*Factors!OU5+SQRT(Parameters!$B$7)*Factors!OU9+SQRT(Parameters!$B$9)*NORM.S.INV(RAND())</f>
        <v/>
      </c>
      <c r="OV8" s="19">
        <f>SQRT(Parameters!$B$5)*Factors!OV3+SQRT(Parameters!$B$6)*Factors!OV5+SQRT(Parameters!$B$7)*Factors!OV9+SQRT(Parameters!$B$9)*NORM.S.INV(RAND())</f>
        <v/>
      </c>
      <c r="OW8" s="19">
        <f>SQRT(Parameters!$B$5)*Factors!OW3+SQRT(Parameters!$B$6)*Factors!OW5+SQRT(Parameters!$B$7)*Factors!OW9+SQRT(Parameters!$B$9)*NORM.S.INV(RAND())</f>
        <v/>
      </c>
      <c r="OX8" s="19">
        <f>SQRT(Parameters!$B$5)*Factors!OX3+SQRT(Parameters!$B$6)*Factors!OX5+SQRT(Parameters!$B$7)*Factors!OX9+SQRT(Parameters!$B$9)*NORM.S.INV(RAND())</f>
        <v/>
      </c>
      <c r="OY8" s="19">
        <f>SQRT(Parameters!$B$5)*Factors!OY3+SQRT(Parameters!$B$6)*Factors!OY5+SQRT(Parameters!$B$7)*Factors!OY9+SQRT(Parameters!$B$9)*NORM.S.INV(RAND())</f>
        <v/>
      </c>
      <c r="OZ8" s="19">
        <f>SQRT(Parameters!$B$5)*Factors!OZ3+SQRT(Parameters!$B$6)*Factors!OZ5+SQRT(Parameters!$B$7)*Factors!OZ9+SQRT(Parameters!$B$9)*NORM.S.INV(RAND())</f>
        <v/>
      </c>
      <c r="PA8" s="19">
        <f>SQRT(Parameters!$B$5)*Factors!PA3+SQRT(Parameters!$B$6)*Factors!PA5+SQRT(Parameters!$B$7)*Factors!PA9+SQRT(Parameters!$B$9)*NORM.S.INV(RAND())</f>
        <v/>
      </c>
      <c r="PB8" s="19">
        <f>SQRT(Parameters!$B$5)*Factors!PB3+SQRT(Parameters!$B$6)*Factors!PB5+SQRT(Parameters!$B$7)*Factors!PB9+SQRT(Parameters!$B$9)*NORM.S.INV(RAND())</f>
        <v/>
      </c>
      <c r="PC8" s="19">
        <f>SQRT(Parameters!$B$5)*Factors!PC3+SQRT(Parameters!$B$6)*Factors!PC5+SQRT(Parameters!$B$7)*Factors!PC9+SQRT(Parameters!$B$9)*NORM.S.INV(RAND())</f>
        <v/>
      </c>
      <c r="PD8" s="19">
        <f>SQRT(Parameters!$B$5)*Factors!PD3+SQRT(Parameters!$B$6)*Factors!PD5+SQRT(Parameters!$B$7)*Factors!PD9+SQRT(Parameters!$B$9)*NORM.S.INV(RAND())</f>
        <v/>
      </c>
      <c r="PE8" s="19">
        <f>SQRT(Parameters!$B$5)*Factors!PE3+SQRT(Parameters!$B$6)*Factors!PE5+SQRT(Parameters!$B$7)*Factors!PE9+SQRT(Parameters!$B$9)*NORM.S.INV(RAND())</f>
        <v/>
      </c>
      <c r="PF8" s="19">
        <f>SQRT(Parameters!$B$5)*Factors!PF3+SQRT(Parameters!$B$6)*Factors!PF5+SQRT(Parameters!$B$7)*Factors!PF9+SQRT(Parameters!$B$9)*NORM.S.INV(RAND())</f>
        <v/>
      </c>
      <c r="PG8" s="19">
        <f>SQRT(Parameters!$B$5)*Factors!PG3+SQRT(Parameters!$B$6)*Factors!PG5+SQRT(Parameters!$B$7)*Factors!PG9+SQRT(Parameters!$B$9)*NORM.S.INV(RAND())</f>
        <v/>
      </c>
      <c r="PH8" s="19">
        <f>SQRT(Parameters!$B$5)*Factors!PH3+SQRT(Parameters!$B$6)*Factors!PH5+SQRT(Parameters!$B$7)*Factors!PH9+SQRT(Parameters!$B$9)*NORM.S.INV(RAND())</f>
        <v/>
      </c>
      <c r="PI8" s="19">
        <f>SQRT(Parameters!$B$5)*Factors!PI3+SQRT(Parameters!$B$6)*Factors!PI5+SQRT(Parameters!$B$7)*Factors!PI9+SQRT(Parameters!$B$9)*NORM.S.INV(RAND())</f>
        <v/>
      </c>
      <c r="PJ8" s="19">
        <f>SQRT(Parameters!$B$5)*Factors!PJ3+SQRT(Parameters!$B$6)*Factors!PJ5+SQRT(Parameters!$B$7)*Factors!PJ9+SQRT(Parameters!$B$9)*NORM.S.INV(RAND())</f>
        <v/>
      </c>
      <c r="PK8" s="19">
        <f>SQRT(Parameters!$B$5)*Factors!PK3+SQRT(Parameters!$B$6)*Factors!PK5+SQRT(Parameters!$B$7)*Factors!PK9+SQRT(Parameters!$B$9)*NORM.S.INV(RAND())</f>
        <v/>
      </c>
      <c r="PL8" s="19">
        <f>SQRT(Parameters!$B$5)*Factors!PL3+SQRT(Parameters!$B$6)*Factors!PL5+SQRT(Parameters!$B$7)*Factors!PL9+SQRT(Parameters!$B$9)*NORM.S.INV(RAND())</f>
        <v/>
      </c>
      <c r="PM8" s="19">
        <f>SQRT(Parameters!$B$5)*Factors!PM3+SQRT(Parameters!$B$6)*Factors!PM5+SQRT(Parameters!$B$7)*Factors!PM9+SQRT(Parameters!$B$9)*NORM.S.INV(RAND())</f>
        <v/>
      </c>
      <c r="PN8" s="19">
        <f>SQRT(Parameters!$B$5)*Factors!PN3+SQRT(Parameters!$B$6)*Factors!PN5+SQRT(Parameters!$B$7)*Factors!PN9+SQRT(Parameters!$B$9)*NORM.S.INV(RAND())</f>
        <v/>
      </c>
      <c r="PO8" s="19">
        <f>SQRT(Parameters!$B$5)*Factors!PO3+SQRT(Parameters!$B$6)*Factors!PO5+SQRT(Parameters!$B$7)*Factors!PO9+SQRT(Parameters!$B$9)*NORM.S.INV(RAND())</f>
        <v/>
      </c>
      <c r="PP8" s="19">
        <f>SQRT(Parameters!$B$5)*Factors!PP3+SQRT(Parameters!$B$6)*Factors!PP5+SQRT(Parameters!$B$7)*Factors!PP9+SQRT(Parameters!$B$9)*NORM.S.INV(RAND())</f>
        <v/>
      </c>
      <c r="PQ8" s="19">
        <f>SQRT(Parameters!$B$5)*Factors!PQ3+SQRT(Parameters!$B$6)*Factors!PQ5+SQRT(Parameters!$B$7)*Factors!PQ9+SQRT(Parameters!$B$9)*NORM.S.INV(RAND())</f>
        <v/>
      </c>
      <c r="PR8" s="19">
        <f>SQRT(Parameters!$B$5)*Factors!PR3+SQRT(Parameters!$B$6)*Factors!PR5+SQRT(Parameters!$B$7)*Factors!PR9+SQRT(Parameters!$B$9)*NORM.S.INV(RAND())</f>
        <v/>
      </c>
      <c r="PS8" s="19">
        <f>SQRT(Parameters!$B$5)*Factors!PS3+SQRT(Parameters!$B$6)*Factors!PS5+SQRT(Parameters!$B$7)*Factors!PS9+SQRT(Parameters!$B$9)*NORM.S.INV(RAND())</f>
        <v/>
      </c>
      <c r="PT8" s="19">
        <f>SQRT(Parameters!$B$5)*Factors!PT3+SQRT(Parameters!$B$6)*Factors!PT5+SQRT(Parameters!$B$7)*Factors!PT9+SQRT(Parameters!$B$9)*NORM.S.INV(RAND())</f>
        <v/>
      </c>
      <c r="PU8" s="19">
        <f>SQRT(Parameters!$B$5)*Factors!PU3+SQRT(Parameters!$B$6)*Factors!PU5+SQRT(Parameters!$B$7)*Factors!PU9+SQRT(Parameters!$B$9)*NORM.S.INV(RAND())</f>
        <v/>
      </c>
      <c r="PV8" s="19">
        <f>SQRT(Parameters!$B$5)*Factors!PV3+SQRT(Parameters!$B$6)*Factors!PV5+SQRT(Parameters!$B$7)*Factors!PV9+SQRT(Parameters!$B$9)*NORM.S.INV(RAND())</f>
        <v/>
      </c>
      <c r="PW8" s="19">
        <f>SQRT(Parameters!$B$5)*Factors!PW3+SQRT(Parameters!$B$6)*Factors!PW5+SQRT(Parameters!$B$7)*Factors!PW9+SQRT(Parameters!$B$9)*NORM.S.INV(RAND())</f>
        <v/>
      </c>
      <c r="PX8" s="19">
        <f>SQRT(Parameters!$B$5)*Factors!PX3+SQRT(Parameters!$B$6)*Factors!PX5+SQRT(Parameters!$B$7)*Factors!PX9+SQRT(Parameters!$B$9)*NORM.S.INV(RAND())</f>
        <v/>
      </c>
      <c r="PY8" s="19">
        <f>SQRT(Parameters!$B$5)*Factors!PY3+SQRT(Parameters!$B$6)*Factors!PY5+SQRT(Parameters!$B$7)*Factors!PY9+SQRT(Parameters!$B$9)*NORM.S.INV(RAND())</f>
        <v/>
      </c>
      <c r="PZ8" s="19">
        <f>SQRT(Parameters!$B$5)*Factors!PZ3+SQRT(Parameters!$B$6)*Factors!PZ5+SQRT(Parameters!$B$7)*Factors!PZ9+SQRT(Parameters!$B$9)*NORM.S.INV(RAND())</f>
        <v/>
      </c>
      <c r="QA8" s="19">
        <f>SQRT(Parameters!$B$5)*Factors!QA3+SQRT(Parameters!$B$6)*Factors!QA5+SQRT(Parameters!$B$7)*Factors!QA9+SQRT(Parameters!$B$9)*NORM.S.INV(RAND())</f>
        <v/>
      </c>
      <c r="QB8" s="19">
        <f>SQRT(Parameters!$B$5)*Factors!QB3+SQRT(Parameters!$B$6)*Factors!QB5+SQRT(Parameters!$B$7)*Factors!QB9+SQRT(Parameters!$B$9)*NORM.S.INV(RAND())</f>
        <v/>
      </c>
      <c r="QC8" s="19">
        <f>SQRT(Parameters!$B$5)*Factors!QC3+SQRT(Parameters!$B$6)*Factors!QC5+SQRT(Parameters!$B$7)*Factors!QC9+SQRT(Parameters!$B$9)*NORM.S.INV(RAND())</f>
        <v/>
      </c>
      <c r="QD8" s="19">
        <f>SQRT(Parameters!$B$5)*Factors!QD3+SQRT(Parameters!$B$6)*Factors!QD5+SQRT(Parameters!$B$7)*Factors!QD9+SQRT(Parameters!$B$9)*NORM.S.INV(RAND())</f>
        <v/>
      </c>
      <c r="QE8" s="19">
        <f>SQRT(Parameters!$B$5)*Factors!QE3+SQRT(Parameters!$B$6)*Factors!QE5+SQRT(Parameters!$B$7)*Factors!QE9+SQRT(Parameters!$B$9)*NORM.S.INV(RAND())</f>
        <v/>
      </c>
      <c r="QF8" s="19">
        <f>SQRT(Parameters!$B$5)*Factors!QF3+SQRT(Parameters!$B$6)*Factors!QF5+SQRT(Parameters!$B$7)*Factors!QF9+SQRT(Parameters!$B$9)*NORM.S.INV(RAND())</f>
        <v/>
      </c>
      <c r="QG8" s="19">
        <f>SQRT(Parameters!$B$5)*Factors!QG3+SQRT(Parameters!$B$6)*Factors!QG5+SQRT(Parameters!$B$7)*Factors!QG9+SQRT(Parameters!$B$9)*NORM.S.INV(RAND())</f>
        <v/>
      </c>
      <c r="QH8" s="19">
        <f>SQRT(Parameters!$B$5)*Factors!QH3+SQRT(Parameters!$B$6)*Factors!QH5+SQRT(Parameters!$B$7)*Factors!QH9+SQRT(Parameters!$B$9)*NORM.S.INV(RAND())</f>
        <v/>
      </c>
      <c r="QI8" s="19">
        <f>SQRT(Parameters!$B$5)*Factors!QI3+SQRT(Parameters!$B$6)*Factors!QI5+SQRT(Parameters!$B$7)*Factors!QI9+SQRT(Parameters!$B$9)*NORM.S.INV(RAND())</f>
        <v/>
      </c>
      <c r="QJ8" s="19">
        <f>SQRT(Parameters!$B$5)*Factors!QJ3+SQRT(Parameters!$B$6)*Factors!QJ5+SQRT(Parameters!$B$7)*Factors!QJ9+SQRT(Parameters!$B$9)*NORM.S.INV(RAND())</f>
        <v/>
      </c>
      <c r="QK8" s="19">
        <f>SQRT(Parameters!$B$5)*Factors!QK3+SQRT(Parameters!$B$6)*Factors!QK5+SQRT(Parameters!$B$7)*Factors!QK9+SQRT(Parameters!$B$9)*NORM.S.INV(RAND())</f>
        <v/>
      </c>
      <c r="QL8" s="19">
        <f>SQRT(Parameters!$B$5)*Factors!QL3+SQRT(Parameters!$B$6)*Factors!QL5+SQRT(Parameters!$B$7)*Factors!QL9+SQRT(Parameters!$B$9)*NORM.S.INV(RAND())</f>
        <v/>
      </c>
      <c r="QM8" s="19">
        <f>SQRT(Parameters!$B$5)*Factors!QM3+SQRT(Parameters!$B$6)*Factors!QM5+SQRT(Parameters!$B$7)*Factors!QM9+SQRT(Parameters!$B$9)*NORM.S.INV(RAND())</f>
        <v/>
      </c>
      <c r="QN8" s="19">
        <f>SQRT(Parameters!$B$5)*Factors!QN3+SQRT(Parameters!$B$6)*Factors!QN5+SQRT(Parameters!$B$7)*Factors!QN9+SQRT(Parameters!$B$9)*NORM.S.INV(RAND())</f>
        <v/>
      </c>
      <c r="QO8" s="19">
        <f>SQRT(Parameters!$B$5)*Factors!QO3+SQRT(Parameters!$B$6)*Factors!QO5+SQRT(Parameters!$B$7)*Factors!QO9+SQRT(Parameters!$B$9)*NORM.S.INV(RAND())</f>
        <v/>
      </c>
      <c r="QP8" s="19">
        <f>SQRT(Parameters!$B$5)*Factors!QP3+SQRT(Parameters!$B$6)*Factors!QP5+SQRT(Parameters!$B$7)*Factors!QP9+SQRT(Parameters!$B$9)*NORM.S.INV(RAND())</f>
        <v/>
      </c>
      <c r="QQ8" s="19">
        <f>SQRT(Parameters!$B$5)*Factors!QQ3+SQRT(Parameters!$B$6)*Factors!QQ5+SQRT(Parameters!$B$7)*Factors!QQ9+SQRT(Parameters!$B$9)*NORM.S.INV(RAND())</f>
        <v/>
      </c>
      <c r="QR8" s="19">
        <f>SQRT(Parameters!$B$5)*Factors!QR3+SQRT(Parameters!$B$6)*Factors!QR5+SQRT(Parameters!$B$7)*Factors!QR9+SQRT(Parameters!$B$9)*NORM.S.INV(RAND())</f>
        <v/>
      </c>
      <c r="QS8" s="19">
        <f>SQRT(Parameters!$B$5)*Factors!QS3+SQRT(Parameters!$B$6)*Factors!QS5+SQRT(Parameters!$B$7)*Factors!QS9+SQRT(Parameters!$B$9)*NORM.S.INV(RAND())</f>
        <v/>
      </c>
      <c r="QT8" s="19">
        <f>SQRT(Parameters!$B$5)*Factors!QT3+SQRT(Parameters!$B$6)*Factors!QT5+SQRT(Parameters!$B$7)*Factors!QT9+SQRT(Parameters!$B$9)*NORM.S.INV(RAND())</f>
        <v/>
      </c>
      <c r="QU8" s="19">
        <f>SQRT(Parameters!$B$5)*Factors!QU3+SQRT(Parameters!$B$6)*Factors!QU5+SQRT(Parameters!$B$7)*Factors!QU9+SQRT(Parameters!$B$9)*NORM.S.INV(RAND())</f>
        <v/>
      </c>
      <c r="QV8" s="19">
        <f>SQRT(Parameters!$B$5)*Factors!QV3+SQRT(Parameters!$B$6)*Factors!QV5+SQRT(Parameters!$B$7)*Factors!QV9+SQRT(Parameters!$B$9)*NORM.S.INV(RAND())</f>
        <v/>
      </c>
      <c r="QW8" s="19">
        <f>SQRT(Parameters!$B$5)*Factors!QW3+SQRT(Parameters!$B$6)*Factors!QW5+SQRT(Parameters!$B$7)*Factors!QW9+SQRT(Parameters!$B$9)*NORM.S.INV(RAND())</f>
        <v/>
      </c>
      <c r="QX8" s="19">
        <f>SQRT(Parameters!$B$5)*Factors!QX3+SQRT(Parameters!$B$6)*Factors!QX5+SQRT(Parameters!$B$7)*Factors!QX9+SQRT(Parameters!$B$9)*NORM.S.INV(RAND())</f>
        <v/>
      </c>
      <c r="QY8" s="19">
        <f>SQRT(Parameters!$B$5)*Factors!QY3+SQRT(Parameters!$B$6)*Factors!QY5+SQRT(Parameters!$B$7)*Factors!QY9+SQRT(Parameters!$B$9)*NORM.S.INV(RAND())</f>
        <v/>
      </c>
      <c r="QZ8" s="19">
        <f>SQRT(Parameters!$B$5)*Factors!QZ3+SQRT(Parameters!$B$6)*Factors!QZ5+SQRT(Parameters!$B$7)*Factors!QZ9+SQRT(Parameters!$B$9)*NORM.S.INV(RAND())</f>
        <v/>
      </c>
      <c r="RA8" s="19">
        <f>SQRT(Parameters!$B$5)*Factors!RA3+SQRT(Parameters!$B$6)*Factors!RA5+SQRT(Parameters!$B$7)*Factors!RA9+SQRT(Parameters!$B$9)*NORM.S.INV(RAND())</f>
        <v/>
      </c>
      <c r="RB8" s="19">
        <f>SQRT(Parameters!$B$5)*Factors!RB3+SQRT(Parameters!$B$6)*Factors!RB5+SQRT(Parameters!$B$7)*Factors!RB9+SQRT(Parameters!$B$9)*NORM.S.INV(RAND())</f>
        <v/>
      </c>
      <c r="RC8" s="19">
        <f>SQRT(Parameters!$B$5)*Factors!RC3+SQRT(Parameters!$B$6)*Factors!RC5+SQRT(Parameters!$B$7)*Factors!RC9+SQRT(Parameters!$B$9)*NORM.S.INV(RAND())</f>
        <v/>
      </c>
      <c r="RD8" s="19">
        <f>SQRT(Parameters!$B$5)*Factors!RD3+SQRT(Parameters!$B$6)*Factors!RD5+SQRT(Parameters!$B$7)*Factors!RD9+SQRT(Parameters!$B$9)*NORM.S.INV(RAND())</f>
        <v/>
      </c>
      <c r="RE8" s="19">
        <f>SQRT(Parameters!$B$5)*Factors!RE3+SQRT(Parameters!$B$6)*Factors!RE5+SQRT(Parameters!$B$7)*Factors!RE9+SQRT(Parameters!$B$9)*NORM.S.INV(RAND())</f>
        <v/>
      </c>
      <c r="RF8" s="19">
        <f>SQRT(Parameters!$B$5)*Factors!RF3+SQRT(Parameters!$B$6)*Factors!RF5+SQRT(Parameters!$B$7)*Factors!RF9+SQRT(Parameters!$B$9)*NORM.S.INV(RAND())</f>
        <v/>
      </c>
      <c r="RG8" s="19">
        <f>SQRT(Parameters!$B$5)*Factors!RG3+SQRT(Parameters!$B$6)*Factors!RG5+SQRT(Parameters!$B$7)*Factors!RG9+SQRT(Parameters!$B$9)*NORM.S.INV(RAND())</f>
        <v/>
      </c>
      <c r="RH8" s="19">
        <f>SQRT(Parameters!$B$5)*Factors!RH3+SQRT(Parameters!$B$6)*Factors!RH5+SQRT(Parameters!$B$7)*Factors!RH9+SQRT(Parameters!$B$9)*NORM.S.INV(RAND())</f>
        <v/>
      </c>
      <c r="RI8" s="19">
        <f>SQRT(Parameters!$B$5)*Factors!RI3+SQRT(Parameters!$B$6)*Factors!RI5+SQRT(Parameters!$B$7)*Factors!RI9+SQRT(Parameters!$B$9)*NORM.S.INV(RAND())</f>
        <v/>
      </c>
      <c r="RJ8" s="19">
        <f>SQRT(Parameters!$B$5)*Factors!RJ3+SQRT(Parameters!$B$6)*Factors!RJ5+SQRT(Parameters!$B$7)*Factors!RJ9+SQRT(Parameters!$B$9)*NORM.S.INV(RAND())</f>
        <v/>
      </c>
      <c r="RK8" s="19">
        <f>SQRT(Parameters!$B$5)*Factors!RK3+SQRT(Parameters!$B$6)*Factors!RK5+SQRT(Parameters!$B$7)*Factors!RK9+SQRT(Parameters!$B$9)*NORM.S.INV(RAND())</f>
        <v/>
      </c>
      <c r="RL8" s="19">
        <f>SQRT(Parameters!$B$5)*Factors!RL3+SQRT(Parameters!$B$6)*Factors!RL5+SQRT(Parameters!$B$7)*Factors!RL9+SQRT(Parameters!$B$9)*NORM.S.INV(RAND())</f>
        <v/>
      </c>
      <c r="RM8" s="19">
        <f>SQRT(Parameters!$B$5)*Factors!RM3+SQRT(Parameters!$B$6)*Factors!RM5+SQRT(Parameters!$B$7)*Factors!RM9+SQRT(Parameters!$B$9)*NORM.S.INV(RAND())</f>
        <v/>
      </c>
      <c r="RN8" s="19">
        <f>SQRT(Parameters!$B$5)*Factors!RN3+SQRT(Parameters!$B$6)*Factors!RN5+SQRT(Parameters!$B$7)*Factors!RN9+SQRT(Parameters!$B$9)*NORM.S.INV(RAND())</f>
        <v/>
      </c>
      <c r="RO8" s="19">
        <f>SQRT(Parameters!$B$5)*Factors!RO3+SQRT(Parameters!$B$6)*Factors!RO5+SQRT(Parameters!$B$7)*Factors!RO9+SQRT(Parameters!$B$9)*NORM.S.INV(RAND())</f>
        <v/>
      </c>
      <c r="RP8" s="19">
        <f>SQRT(Parameters!$B$5)*Factors!RP3+SQRT(Parameters!$B$6)*Factors!RP5+SQRT(Parameters!$B$7)*Factors!RP9+SQRT(Parameters!$B$9)*NORM.S.INV(RAND())</f>
        <v/>
      </c>
      <c r="RQ8" s="19">
        <f>SQRT(Parameters!$B$5)*Factors!RQ3+SQRT(Parameters!$B$6)*Factors!RQ5+SQRT(Parameters!$B$7)*Factors!RQ9+SQRT(Parameters!$B$9)*NORM.S.INV(RAND())</f>
        <v/>
      </c>
      <c r="RR8" s="19">
        <f>SQRT(Parameters!$B$5)*Factors!RR3+SQRT(Parameters!$B$6)*Factors!RR5+SQRT(Parameters!$B$7)*Factors!RR9+SQRT(Parameters!$B$9)*NORM.S.INV(RAND())</f>
        <v/>
      </c>
      <c r="RS8" s="19">
        <f>SQRT(Parameters!$B$5)*Factors!RS3+SQRT(Parameters!$B$6)*Factors!RS5+SQRT(Parameters!$B$7)*Factors!RS9+SQRT(Parameters!$B$9)*NORM.S.INV(RAND())</f>
        <v/>
      </c>
      <c r="RT8" s="19">
        <f>SQRT(Parameters!$B$5)*Factors!RT3+SQRT(Parameters!$B$6)*Factors!RT5+SQRT(Parameters!$B$7)*Factors!RT9+SQRT(Parameters!$B$9)*NORM.S.INV(RAND())</f>
        <v/>
      </c>
      <c r="RU8" s="19">
        <f>SQRT(Parameters!$B$5)*Factors!RU3+SQRT(Parameters!$B$6)*Factors!RU5+SQRT(Parameters!$B$7)*Factors!RU9+SQRT(Parameters!$B$9)*NORM.S.INV(RAND())</f>
        <v/>
      </c>
      <c r="RV8" s="19">
        <f>SQRT(Parameters!$B$5)*Factors!RV3+SQRT(Parameters!$B$6)*Factors!RV5+SQRT(Parameters!$B$7)*Factors!RV9+SQRT(Parameters!$B$9)*NORM.S.INV(RAND())</f>
        <v/>
      </c>
      <c r="RW8" s="19">
        <f>SQRT(Parameters!$B$5)*Factors!RW3+SQRT(Parameters!$B$6)*Factors!RW5+SQRT(Parameters!$B$7)*Factors!RW9+SQRT(Parameters!$B$9)*NORM.S.INV(RAND())</f>
        <v/>
      </c>
      <c r="RX8" s="19">
        <f>SQRT(Parameters!$B$5)*Factors!RX3+SQRT(Parameters!$B$6)*Factors!RX5+SQRT(Parameters!$B$7)*Factors!RX9+SQRT(Parameters!$B$9)*NORM.S.INV(RAND())</f>
        <v/>
      </c>
      <c r="RY8" s="19">
        <f>SQRT(Parameters!$B$5)*Factors!RY3+SQRT(Parameters!$B$6)*Factors!RY5+SQRT(Parameters!$B$7)*Factors!RY9+SQRT(Parameters!$B$9)*NORM.S.INV(RAND())</f>
        <v/>
      </c>
      <c r="RZ8" s="19">
        <f>SQRT(Parameters!$B$5)*Factors!RZ3+SQRT(Parameters!$B$6)*Factors!RZ5+SQRT(Parameters!$B$7)*Factors!RZ9+SQRT(Parameters!$B$9)*NORM.S.INV(RAND())</f>
        <v/>
      </c>
      <c r="SA8" s="19">
        <f>SQRT(Parameters!$B$5)*Factors!SA3+SQRT(Parameters!$B$6)*Factors!SA5+SQRT(Parameters!$B$7)*Factors!SA9+SQRT(Parameters!$B$9)*NORM.S.INV(RAND())</f>
        <v/>
      </c>
      <c r="SB8" s="19">
        <f>SQRT(Parameters!$B$5)*Factors!SB3+SQRT(Parameters!$B$6)*Factors!SB5+SQRT(Parameters!$B$7)*Factors!SB9+SQRT(Parameters!$B$9)*NORM.S.INV(RAND())</f>
        <v/>
      </c>
      <c r="SC8" s="19">
        <f>SQRT(Parameters!$B$5)*Factors!SC3+SQRT(Parameters!$B$6)*Factors!SC5+SQRT(Parameters!$B$7)*Factors!SC9+SQRT(Parameters!$B$9)*NORM.S.INV(RAND())</f>
        <v/>
      </c>
      <c r="SD8" s="19">
        <f>SQRT(Parameters!$B$5)*Factors!SD3+SQRT(Parameters!$B$6)*Factors!SD5+SQRT(Parameters!$B$7)*Factors!SD9+SQRT(Parameters!$B$9)*NORM.S.INV(RAND())</f>
        <v/>
      </c>
      <c r="SE8" s="19">
        <f>SQRT(Parameters!$B$5)*Factors!SE3+SQRT(Parameters!$B$6)*Factors!SE5+SQRT(Parameters!$B$7)*Factors!SE9+SQRT(Parameters!$B$9)*NORM.S.INV(RAND())</f>
        <v/>
      </c>
      <c r="SF8" s="19">
        <f>SQRT(Parameters!$B$5)*Factors!SF3+SQRT(Parameters!$B$6)*Factors!SF5+SQRT(Parameters!$B$7)*Factors!SF9+SQRT(Parameters!$B$9)*NORM.S.INV(RAND())</f>
        <v/>
      </c>
      <c r="SG8" s="19">
        <f>SQRT(Parameters!$B$5)*Factors!SG3+SQRT(Parameters!$B$6)*Factors!SG5+SQRT(Parameters!$B$7)*Factors!SG9+SQRT(Parameters!$B$9)*NORM.S.INV(RAND())</f>
        <v/>
      </c>
    </row>
    <row r="9">
      <c r="A9" s="17" t="inlineStr">
        <is>
          <t>OBL-008</t>
        </is>
      </c>
      <c r="B9" s="19">
        <f>SQRT(Parameters!$B$5)*Factors!B3+SQRT(Parameters!$B$6)*Factors!B8+SQRT(Parameters!$B$7)*Factors!B9+SQRT(Parameters!$B$9)*NORM.S.INV(RAND())</f>
        <v/>
      </c>
      <c r="C9" s="19">
        <f>SQRT(Parameters!$B$5)*Factors!C3+SQRT(Parameters!$B$6)*Factors!C8+SQRT(Parameters!$B$7)*Factors!C9+SQRT(Parameters!$B$9)*NORM.S.INV(RAND())</f>
        <v/>
      </c>
      <c r="D9" s="19">
        <f>SQRT(Parameters!$B$5)*Factors!D3+SQRT(Parameters!$B$6)*Factors!D8+SQRT(Parameters!$B$7)*Factors!D9+SQRT(Parameters!$B$9)*NORM.S.INV(RAND())</f>
        <v/>
      </c>
      <c r="E9" s="19">
        <f>SQRT(Parameters!$B$5)*Factors!E3+SQRT(Parameters!$B$6)*Factors!E8+SQRT(Parameters!$B$7)*Factors!E9+SQRT(Parameters!$B$9)*NORM.S.INV(RAND())</f>
        <v/>
      </c>
      <c r="F9" s="19">
        <f>SQRT(Parameters!$B$5)*Factors!F3+SQRT(Parameters!$B$6)*Factors!F8+SQRT(Parameters!$B$7)*Factors!F9+SQRT(Parameters!$B$9)*NORM.S.INV(RAND())</f>
        <v/>
      </c>
      <c r="G9" s="19">
        <f>SQRT(Parameters!$B$5)*Factors!G3+SQRT(Parameters!$B$6)*Factors!G8+SQRT(Parameters!$B$7)*Factors!G9+SQRT(Parameters!$B$9)*NORM.S.INV(RAND())</f>
        <v/>
      </c>
      <c r="H9" s="19">
        <f>SQRT(Parameters!$B$5)*Factors!H3+SQRT(Parameters!$B$6)*Factors!H8+SQRT(Parameters!$B$7)*Factors!H9+SQRT(Parameters!$B$9)*NORM.S.INV(RAND())</f>
        <v/>
      </c>
      <c r="I9" s="19">
        <f>SQRT(Parameters!$B$5)*Factors!I3+SQRT(Parameters!$B$6)*Factors!I8+SQRT(Parameters!$B$7)*Factors!I9+SQRT(Parameters!$B$9)*NORM.S.INV(RAND())</f>
        <v/>
      </c>
      <c r="J9" s="19">
        <f>SQRT(Parameters!$B$5)*Factors!J3+SQRT(Parameters!$B$6)*Factors!J8+SQRT(Parameters!$B$7)*Factors!J9+SQRT(Parameters!$B$9)*NORM.S.INV(RAND())</f>
        <v/>
      </c>
      <c r="K9" s="19">
        <f>SQRT(Parameters!$B$5)*Factors!K3+SQRT(Parameters!$B$6)*Factors!K8+SQRT(Parameters!$B$7)*Factors!K9+SQRT(Parameters!$B$9)*NORM.S.INV(RAND())</f>
        <v/>
      </c>
      <c r="L9" s="19">
        <f>SQRT(Parameters!$B$5)*Factors!L3+SQRT(Parameters!$B$6)*Factors!L8+SQRT(Parameters!$B$7)*Factors!L9+SQRT(Parameters!$B$9)*NORM.S.INV(RAND())</f>
        <v/>
      </c>
      <c r="M9" s="19">
        <f>SQRT(Parameters!$B$5)*Factors!M3+SQRT(Parameters!$B$6)*Factors!M8+SQRT(Parameters!$B$7)*Factors!M9+SQRT(Parameters!$B$9)*NORM.S.INV(RAND())</f>
        <v/>
      </c>
      <c r="N9" s="19">
        <f>SQRT(Parameters!$B$5)*Factors!N3+SQRT(Parameters!$B$6)*Factors!N8+SQRT(Parameters!$B$7)*Factors!N9+SQRT(Parameters!$B$9)*NORM.S.INV(RAND())</f>
        <v/>
      </c>
      <c r="O9" s="19">
        <f>SQRT(Parameters!$B$5)*Factors!O3+SQRT(Parameters!$B$6)*Factors!O8+SQRT(Parameters!$B$7)*Factors!O9+SQRT(Parameters!$B$9)*NORM.S.INV(RAND())</f>
        <v/>
      </c>
      <c r="P9" s="19">
        <f>SQRT(Parameters!$B$5)*Factors!P3+SQRT(Parameters!$B$6)*Factors!P8+SQRT(Parameters!$B$7)*Factors!P9+SQRT(Parameters!$B$9)*NORM.S.INV(RAND())</f>
        <v/>
      </c>
      <c r="Q9" s="19">
        <f>SQRT(Parameters!$B$5)*Factors!Q3+SQRT(Parameters!$B$6)*Factors!Q8+SQRT(Parameters!$B$7)*Factors!Q9+SQRT(Parameters!$B$9)*NORM.S.INV(RAND())</f>
        <v/>
      </c>
      <c r="R9" s="19">
        <f>SQRT(Parameters!$B$5)*Factors!R3+SQRT(Parameters!$B$6)*Factors!R8+SQRT(Parameters!$B$7)*Factors!R9+SQRT(Parameters!$B$9)*NORM.S.INV(RAND())</f>
        <v/>
      </c>
      <c r="S9" s="19">
        <f>SQRT(Parameters!$B$5)*Factors!S3+SQRT(Parameters!$B$6)*Factors!S8+SQRT(Parameters!$B$7)*Factors!S9+SQRT(Parameters!$B$9)*NORM.S.INV(RAND())</f>
        <v/>
      </c>
      <c r="T9" s="19">
        <f>SQRT(Parameters!$B$5)*Factors!T3+SQRT(Parameters!$B$6)*Factors!T8+SQRT(Parameters!$B$7)*Factors!T9+SQRT(Parameters!$B$9)*NORM.S.INV(RAND())</f>
        <v/>
      </c>
      <c r="U9" s="19">
        <f>SQRT(Parameters!$B$5)*Factors!U3+SQRT(Parameters!$B$6)*Factors!U8+SQRT(Parameters!$B$7)*Factors!U9+SQRT(Parameters!$B$9)*NORM.S.INV(RAND())</f>
        <v/>
      </c>
      <c r="V9" s="19">
        <f>SQRT(Parameters!$B$5)*Factors!V3+SQRT(Parameters!$B$6)*Factors!V8+SQRT(Parameters!$B$7)*Factors!V9+SQRT(Parameters!$B$9)*NORM.S.INV(RAND())</f>
        <v/>
      </c>
      <c r="W9" s="19">
        <f>SQRT(Parameters!$B$5)*Factors!W3+SQRT(Parameters!$B$6)*Factors!W8+SQRT(Parameters!$B$7)*Factors!W9+SQRT(Parameters!$B$9)*NORM.S.INV(RAND())</f>
        <v/>
      </c>
      <c r="X9" s="19">
        <f>SQRT(Parameters!$B$5)*Factors!X3+SQRT(Parameters!$B$6)*Factors!X8+SQRT(Parameters!$B$7)*Factors!X9+SQRT(Parameters!$B$9)*NORM.S.INV(RAND())</f>
        <v/>
      </c>
      <c r="Y9" s="19">
        <f>SQRT(Parameters!$B$5)*Factors!Y3+SQRT(Parameters!$B$6)*Factors!Y8+SQRT(Parameters!$B$7)*Factors!Y9+SQRT(Parameters!$B$9)*NORM.S.INV(RAND())</f>
        <v/>
      </c>
      <c r="Z9" s="19">
        <f>SQRT(Parameters!$B$5)*Factors!Z3+SQRT(Parameters!$B$6)*Factors!Z8+SQRT(Parameters!$B$7)*Factors!Z9+SQRT(Parameters!$B$9)*NORM.S.INV(RAND())</f>
        <v/>
      </c>
      <c r="AA9" s="19">
        <f>SQRT(Parameters!$B$5)*Factors!AA3+SQRT(Parameters!$B$6)*Factors!AA8+SQRT(Parameters!$B$7)*Factors!AA9+SQRT(Parameters!$B$9)*NORM.S.INV(RAND())</f>
        <v/>
      </c>
      <c r="AB9" s="19">
        <f>SQRT(Parameters!$B$5)*Factors!AB3+SQRT(Parameters!$B$6)*Factors!AB8+SQRT(Parameters!$B$7)*Factors!AB9+SQRT(Parameters!$B$9)*NORM.S.INV(RAND())</f>
        <v/>
      </c>
      <c r="AC9" s="19">
        <f>SQRT(Parameters!$B$5)*Factors!AC3+SQRT(Parameters!$B$6)*Factors!AC8+SQRT(Parameters!$B$7)*Factors!AC9+SQRT(Parameters!$B$9)*NORM.S.INV(RAND())</f>
        <v/>
      </c>
      <c r="AD9" s="19">
        <f>SQRT(Parameters!$B$5)*Factors!AD3+SQRT(Parameters!$B$6)*Factors!AD8+SQRT(Parameters!$B$7)*Factors!AD9+SQRT(Parameters!$B$9)*NORM.S.INV(RAND())</f>
        <v/>
      </c>
      <c r="AE9" s="19">
        <f>SQRT(Parameters!$B$5)*Factors!AE3+SQRT(Parameters!$B$6)*Factors!AE8+SQRT(Parameters!$B$7)*Factors!AE9+SQRT(Parameters!$B$9)*NORM.S.INV(RAND())</f>
        <v/>
      </c>
      <c r="AF9" s="19">
        <f>SQRT(Parameters!$B$5)*Factors!AF3+SQRT(Parameters!$B$6)*Factors!AF8+SQRT(Parameters!$B$7)*Factors!AF9+SQRT(Parameters!$B$9)*NORM.S.INV(RAND())</f>
        <v/>
      </c>
      <c r="AG9" s="19">
        <f>SQRT(Parameters!$B$5)*Factors!AG3+SQRT(Parameters!$B$6)*Factors!AG8+SQRT(Parameters!$B$7)*Factors!AG9+SQRT(Parameters!$B$9)*NORM.S.INV(RAND())</f>
        <v/>
      </c>
      <c r="AH9" s="19">
        <f>SQRT(Parameters!$B$5)*Factors!AH3+SQRT(Parameters!$B$6)*Factors!AH8+SQRT(Parameters!$B$7)*Factors!AH9+SQRT(Parameters!$B$9)*NORM.S.INV(RAND())</f>
        <v/>
      </c>
      <c r="AI9" s="19">
        <f>SQRT(Parameters!$B$5)*Factors!AI3+SQRT(Parameters!$B$6)*Factors!AI8+SQRT(Parameters!$B$7)*Factors!AI9+SQRT(Parameters!$B$9)*NORM.S.INV(RAND())</f>
        <v/>
      </c>
      <c r="AJ9" s="19">
        <f>SQRT(Parameters!$B$5)*Factors!AJ3+SQRT(Parameters!$B$6)*Factors!AJ8+SQRT(Parameters!$B$7)*Factors!AJ9+SQRT(Parameters!$B$9)*NORM.S.INV(RAND())</f>
        <v/>
      </c>
      <c r="AK9" s="19">
        <f>SQRT(Parameters!$B$5)*Factors!AK3+SQRT(Parameters!$B$6)*Factors!AK8+SQRT(Parameters!$B$7)*Factors!AK9+SQRT(Parameters!$B$9)*NORM.S.INV(RAND())</f>
        <v/>
      </c>
      <c r="AL9" s="19">
        <f>SQRT(Parameters!$B$5)*Factors!AL3+SQRT(Parameters!$B$6)*Factors!AL8+SQRT(Parameters!$B$7)*Factors!AL9+SQRT(Parameters!$B$9)*NORM.S.INV(RAND())</f>
        <v/>
      </c>
      <c r="AM9" s="19">
        <f>SQRT(Parameters!$B$5)*Factors!AM3+SQRT(Parameters!$B$6)*Factors!AM8+SQRT(Parameters!$B$7)*Factors!AM9+SQRT(Parameters!$B$9)*NORM.S.INV(RAND())</f>
        <v/>
      </c>
      <c r="AN9" s="19">
        <f>SQRT(Parameters!$B$5)*Factors!AN3+SQRT(Parameters!$B$6)*Factors!AN8+SQRT(Parameters!$B$7)*Factors!AN9+SQRT(Parameters!$B$9)*NORM.S.INV(RAND())</f>
        <v/>
      </c>
      <c r="AO9" s="19">
        <f>SQRT(Parameters!$B$5)*Factors!AO3+SQRT(Parameters!$B$6)*Factors!AO8+SQRT(Parameters!$B$7)*Factors!AO9+SQRT(Parameters!$B$9)*NORM.S.INV(RAND())</f>
        <v/>
      </c>
      <c r="AP9" s="19">
        <f>SQRT(Parameters!$B$5)*Factors!AP3+SQRT(Parameters!$B$6)*Factors!AP8+SQRT(Parameters!$B$7)*Factors!AP9+SQRT(Parameters!$B$9)*NORM.S.INV(RAND())</f>
        <v/>
      </c>
      <c r="AQ9" s="19">
        <f>SQRT(Parameters!$B$5)*Factors!AQ3+SQRT(Parameters!$B$6)*Factors!AQ8+SQRT(Parameters!$B$7)*Factors!AQ9+SQRT(Parameters!$B$9)*NORM.S.INV(RAND())</f>
        <v/>
      </c>
      <c r="AR9" s="19">
        <f>SQRT(Parameters!$B$5)*Factors!AR3+SQRT(Parameters!$B$6)*Factors!AR8+SQRT(Parameters!$B$7)*Factors!AR9+SQRT(Parameters!$B$9)*NORM.S.INV(RAND())</f>
        <v/>
      </c>
      <c r="AS9" s="19">
        <f>SQRT(Parameters!$B$5)*Factors!AS3+SQRT(Parameters!$B$6)*Factors!AS8+SQRT(Parameters!$B$7)*Factors!AS9+SQRT(Parameters!$B$9)*NORM.S.INV(RAND())</f>
        <v/>
      </c>
      <c r="AT9" s="19">
        <f>SQRT(Parameters!$B$5)*Factors!AT3+SQRT(Parameters!$B$6)*Factors!AT8+SQRT(Parameters!$B$7)*Factors!AT9+SQRT(Parameters!$B$9)*NORM.S.INV(RAND())</f>
        <v/>
      </c>
      <c r="AU9" s="19">
        <f>SQRT(Parameters!$B$5)*Factors!AU3+SQRT(Parameters!$B$6)*Factors!AU8+SQRT(Parameters!$B$7)*Factors!AU9+SQRT(Parameters!$B$9)*NORM.S.INV(RAND())</f>
        <v/>
      </c>
      <c r="AV9" s="19">
        <f>SQRT(Parameters!$B$5)*Factors!AV3+SQRT(Parameters!$B$6)*Factors!AV8+SQRT(Parameters!$B$7)*Factors!AV9+SQRT(Parameters!$B$9)*NORM.S.INV(RAND())</f>
        <v/>
      </c>
      <c r="AW9" s="19">
        <f>SQRT(Parameters!$B$5)*Factors!AW3+SQRT(Parameters!$B$6)*Factors!AW8+SQRT(Parameters!$B$7)*Factors!AW9+SQRT(Parameters!$B$9)*NORM.S.INV(RAND())</f>
        <v/>
      </c>
      <c r="AX9" s="19">
        <f>SQRT(Parameters!$B$5)*Factors!AX3+SQRT(Parameters!$B$6)*Factors!AX8+SQRT(Parameters!$B$7)*Factors!AX9+SQRT(Parameters!$B$9)*NORM.S.INV(RAND())</f>
        <v/>
      </c>
      <c r="AY9" s="19">
        <f>SQRT(Parameters!$B$5)*Factors!AY3+SQRT(Parameters!$B$6)*Factors!AY8+SQRT(Parameters!$B$7)*Factors!AY9+SQRT(Parameters!$B$9)*NORM.S.INV(RAND())</f>
        <v/>
      </c>
      <c r="AZ9" s="19">
        <f>SQRT(Parameters!$B$5)*Factors!AZ3+SQRT(Parameters!$B$6)*Factors!AZ8+SQRT(Parameters!$B$7)*Factors!AZ9+SQRT(Parameters!$B$9)*NORM.S.INV(RAND())</f>
        <v/>
      </c>
      <c r="BA9" s="19">
        <f>SQRT(Parameters!$B$5)*Factors!BA3+SQRT(Parameters!$B$6)*Factors!BA8+SQRT(Parameters!$B$7)*Factors!BA9+SQRT(Parameters!$B$9)*NORM.S.INV(RAND())</f>
        <v/>
      </c>
      <c r="BB9" s="19">
        <f>SQRT(Parameters!$B$5)*Factors!BB3+SQRT(Parameters!$B$6)*Factors!BB8+SQRT(Parameters!$B$7)*Factors!BB9+SQRT(Parameters!$B$9)*NORM.S.INV(RAND())</f>
        <v/>
      </c>
      <c r="BC9" s="19">
        <f>SQRT(Parameters!$B$5)*Factors!BC3+SQRT(Parameters!$B$6)*Factors!BC8+SQRT(Parameters!$B$7)*Factors!BC9+SQRT(Parameters!$B$9)*NORM.S.INV(RAND())</f>
        <v/>
      </c>
      <c r="BD9" s="19">
        <f>SQRT(Parameters!$B$5)*Factors!BD3+SQRT(Parameters!$B$6)*Factors!BD8+SQRT(Parameters!$B$7)*Factors!BD9+SQRT(Parameters!$B$9)*NORM.S.INV(RAND())</f>
        <v/>
      </c>
      <c r="BE9" s="19">
        <f>SQRT(Parameters!$B$5)*Factors!BE3+SQRT(Parameters!$B$6)*Factors!BE8+SQRT(Parameters!$B$7)*Factors!BE9+SQRT(Parameters!$B$9)*NORM.S.INV(RAND())</f>
        <v/>
      </c>
      <c r="BF9" s="19">
        <f>SQRT(Parameters!$B$5)*Factors!BF3+SQRT(Parameters!$B$6)*Factors!BF8+SQRT(Parameters!$B$7)*Factors!BF9+SQRT(Parameters!$B$9)*NORM.S.INV(RAND())</f>
        <v/>
      </c>
      <c r="BG9" s="19">
        <f>SQRT(Parameters!$B$5)*Factors!BG3+SQRT(Parameters!$B$6)*Factors!BG8+SQRT(Parameters!$B$7)*Factors!BG9+SQRT(Parameters!$B$9)*NORM.S.INV(RAND())</f>
        <v/>
      </c>
      <c r="BH9" s="19">
        <f>SQRT(Parameters!$B$5)*Factors!BH3+SQRT(Parameters!$B$6)*Factors!BH8+SQRT(Parameters!$B$7)*Factors!BH9+SQRT(Parameters!$B$9)*NORM.S.INV(RAND())</f>
        <v/>
      </c>
      <c r="BI9" s="19">
        <f>SQRT(Parameters!$B$5)*Factors!BI3+SQRT(Parameters!$B$6)*Factors!BI8+SQRT(Parameters!$B$7)*Factors!BI9+SQRT(Parameters!$B$9)*NORM.S.INV(RAND())</f>
        <v/>
      </c>
      <c r="BJ9" s="19">
        <f>SQRT(Parameters!$B$5)*Factors!BJ3+SQRT(Parameters!$B$6)*Factors!BJ8+SQRT(Parameters!$B$7)*Factors!BJ9+SQRT(Parameters!$B$9)*NORM.S.INV(RAND())</f>
        <v/>
      </c>
      <c r="BK9" s="19">
        <f>SQRT(Parameters!$B$5)*Factors!BK3+SQRT(Parameters!$B$6)*Factors!BK8+SQRT(Parameters!$B$7)*Factors!BK9+SQRT(Parameters!$B$9)*NORM.S.INV(RAND())</f>
        <v/>
      </c>
      <c r="BL9" s="19">
        <f>SQRT(Parameters!$B$5)*Factors!BL3+SQRT(Parameters!$B$6)*Factors!BL8+SQRT(Parameters!$B$7)*Factors!BL9+SQRT(Parameters!$B$9)*NORM.S.INV(RAND())</f>
        <v/>
      </c>
      <c r="BM9" s="19">
        <f>SQRT(Parameters!$B$5)*Factors!BM3+SQRT(Parameters!$B$6)*Factors!BM8+SQRT(Parameters!$B$7)*Factors!BM9+SQRT(Parameters!$B$9)*NORM.S.INV(RAND())</f>
        <v/>
      </c>
      <c r="BN9" s="19">
        <f>SQRT(Parameters!$B$5)*Factors!BN3+SQRT(Parameters!$B$6)*Factors!BN8+SQRT(Parameters!$B$7)*Factors!BN9+SQRT(Parameters!$B$9)*NORM.S.INV(RAND())</f>
        <v/>
      </c>
      <c r="BO9" s="19">
        <f>SQRT(Parameters!$B$5)*Factors!BO3+SQRT(Parameters!$B$6)*Factors!BO8+SQRT(Parameters!$B$7)*Factors!BO9+SQRT(Parameters!$B$9)*NORM.S.INV(RAND())</f>
        <v/>
      </c>
      <c r="BP9" s="19">
        <f>SQRT(Parameters!$B$5)*Factors!BP3+SQRT(Parameters!$B$6)*Factors!BP8+SQRT(Parameters!$B$7)*Factors!BP9+SQRT(Parameters!$B$9)*NORM.S.INV(RAND())</f>
        <v/>
      </c>
      <c r="BQ9" s="19">
        <f>SQRT(Parameters!$B$5)*Factors!BQ3+SQRT(Parameters!$B$6)*Factors!BQ8+SQRT(Parameters!$B$7)*Factors!BQ9+SQRT(Parameters!$B$9)*NORM.S.INV(RAND())</f>
        <v/>
      </c>
      <c r="BR9" s="19">
        <f>SQRT(Parameters!$B$5)*Factors!BR3+SQRT(Parameters!$B$6)*Factors!BR8+SQRT(Parameters!$B$7)*Factors!BR9+SQRT(Parameters!$B$9)*NORM.S.INV(RAND())</f>
        <v/>
      </c>
      <c r="BS9" s="19">
        <f>SQRT(Parameters!$B$5)*Factors!BS3+SQRT(Parameters!$B$6)*Factors!BS8+SQRT(Parameters!$B$7)*Factors!BS9+SQRT(Parameters!$B$9)*NORM.S.INV(RAND())</f>
        <v/>
      </c>
      <c r="BT9" s="19">
        <f>SQRT(Parameters!$B$5)*Factors!BT3+SQRT(Parameters!$B$6)*Factors!BT8+SQRT(Parameters!$B$7)*Factors!BT9+SQRT(Parameters!$B$9)*NORM.S.INV(RAND())</f>
        <v/>
      </c>
      <c r="BU9" s="19">
        <f>SQRT(Parameters!$B$5)*Factors!BU3+SQRT(Parameters!$B$6)*Factors!BU8+SQRT(Parameters!$B$7)*Factors!BU9+SQRT(Parameters!$B$9)*NORM.S.INV(RAND())</f>
        <v/>
      </c>
      <c r="BV9" s="19">
        <f>SQRT(Parameters!$B$5)*Factors!BV3+SQRT(Parameters!$B$6)*Factors!BV8+SQRT(Parameters!$B$7)*Factors!BV9+SQRT(Parameters!$B$9)*NORM.S.INV(RAND())</f>
        <v/>
      </c>
      <c r="BW9" s="19">
        <f>SQRT(Parameters!$B$5)*Factors!BW3+SQRT(Parameters!$B$6)*Factors!BW8+SQRT(Parameters!$B$7)*Factors!BW9+SQRT(Parameters!$B$9)*NORM.S.INV(RAND())</f>
        <v/>
      </c>
      <c r="BX9" s="19">
        <f>SQRT(Parameters!$B$5)*Factors!BX3+SQRT(Parameters!$B$6)*Factors!BX8+SQRT(Parameters!$B$7)*Factors!BX9+SQRT(Parameters!$B$9)*NORM.S.INV(RAND())</f>
        <v/>
      </c>
      <c r="BY9" s="19">
        <f>SQRT(Parameters!$B$5)*Factors!BY3+SQRT(Parameters!$B$6)*Factors!BY8+SQRT(Parameters!$B$7)*Factors!BY9+SQRT(Parameters!$B$9)*NORM.S.INV(RAND())</f>
        <v/>
      </c>
      <c r="BZ9" s="19">
        <f>SQRT(Parameters!$B$5)*Factors!BZ3+SQRT(Parameters!$B$6)*Factors!BZ8+SQRT(Parameters!$B$7)*Factors!BZ9+SQRT(Parameters!$B$9)*NORM.S.INV(RAND())</f>
        <v/>
      </c>
      <c r="CA9" s="19">
        <f>SQRT(Parameters!$B$5)*Factors!CA3+SQRT(Parameters!$B$6)*Factors!CA8+SQRT(Parameters!$B$7)*Factors!CA9+SQRT(Parameters!$B$9)*NORM.S.INV(RAND())</f>
        <v/>
      </c>
      <c r="CB9" s="19">
        <f>SQRT(Parameters!$B$5)*Factors!CB3+SQRT(Parameters!$B$6)*Factors!CB8+SQRT(Parameters!$B$7)*Factors!CB9+SQRT(Parameters!$B$9)*NORM.S.INV(RAND())</f>
        <v/>
      </c>
      <c r="CC9" s="19">
        <f>SQRT(Parameters!$B$5)*Factors!CC3+SQRT(Parameters!$B$6)*Factors!CC8+SQRT(Parameters!$B$7)*Factors!CC9+SQRT(Parameters!$B$9)*NORM.S.INV(RAND())</f>
        <v/>
      </c>
      <c r="CD9" s="19">
        <f>SQRT(Parameters!$B$5)*Factors!CD3+SQRT(Parameters!$B$6)*Factors!CD8+SQRT(Parameters!$B$7)*Factors!CD9+SQRT(Parameters!$B$9)*NORM.S.INV(RAND())</f>
        <v/>
      </c>
      <c r="CE9" s="19">
        <f>SQRT(Parameters!$B$5)*Factors!CE3+SQRT(Parameters!$B$6)*Factors!CE8+SQRT(Parameters!$B$7)*Factors!CE9+SQRT(Parameters!$B$9)*NORM.S.INV(RAND())</f>
        <v/>
      </c>
      <c r="CF9" s="19">
        <f>SQRT(Parameters!$B$5)*Factors!CF3+SQRT(Parameters!$B$6)*Factors!CF8+SQRT(Parameters!$B$7)*Factors!CF9+SQRT(Parameters!$B$9)*NORM.S.INV(RAND())</f>
        <v/>
      </c>
      <c r="CG9" s="19">
        <f>SQRT(Parameters!$B$5)*Factors!CG3+SQRT(Parameters!$B$6)*Factors!CG8+SQRT(Parameters!$B$7)*Factors!CG9+SQRT(Parameters!$B$9)*NORM.S.INV(RAND())</f>
        <v/>
      </c>
      <c r="CH9" s="19">
        <f>SQRT(Parameters!$B$5)*Factors!CH3+SQRT(Parameters!$B$6)*Factors!CH8+SQRT(Parameters!$B$7)*Factors!CH9+SQRT(Parameters!$B$9)*NORM.S.INV(RAND())</f>
        <v/>
      </c>
      <c r="CI9" s="19">
        <f>SQRT(Parameters!$B$5)*Factors!CI3+SQRT(Parameters!$B$6)*Factors!CI8+SQRT(Parameters!$B$7)*Factors!CI9+SQRT(Parameters!$B$9)*NORM.S.INV(RAND())</f>
        <v/>
      </c>
      <c r="CJ9" s="19">
        <f>SQRT(Parameters!$B$5)*Factors!CJ3+SQRT(Parameters!$B$6)*Factors!CJ8+SQRT(Parameters!$B$7)*Factors!CJ9+SQRT(Parameters!$B$9)*NORM.S.INV(RAND())</f>
        <v/>
      </c>
      <c r="CK9" s="19">
        <f>SQRT(Parameters!$B$5)*Factors!CK3+SQRT(Parameters!$B$6)*Factors!CK8+SQRT(Parameters!$B$7)*Factors!CK9+SQRT(Parameters!$B$9)*NORM.S.INV(RAND())</f>
        <v/>
      </c>
      <c r="CL9" s="19">
        <f>SQRT(Parameters!$B$5)*Factors!CL3+SQRT(Parameters!$B$6)*Factors!CL8+SQRT(Parameters!$B$7)*Factors!CL9+SQRT(Parameters!$B$9)*NORM.S.INV(RAND())</f>
        <v/>
      </c>
      <c r="CM9" s="19">
        <f>SQRT(Parameters!$B$5)*Factors!CM3+SQRT(Parameters!$B$6)*Factors!CM8+SQRT(Parameters!$B$7)*Factors!CM9+SQRT(Parameters!$B$9)*NORM.S.INV(RAND())</f>
        <v/>
      </c>
      <c r="CN9" s="19">
        <f>SQRT(Parameters!$B$5)*Factors!CN3+SQRT(Parameters!$B$6)*Factors!CN8+SQRT(Parameters!$B$7)*Factors!CN9+SQRT(Parameters!$B$9)*NORM.S.INV(RAND())</f>
        <v/>
      </c>
      <c r="CO9" s="19">
        <f>SQRT(Parameters!$B$5)*Factors!CO3+SQRT(Parameters!$B$6)*Factors!CO8+SQRT(Parameters!$B$7)*Factors!CO9+SQRT(Parameters!$B$9)*NORM.S.INV(RAND())</f>
        <v/>
      </c>
      <c r="CP9" s="19">
        <f>SQRT(Parameters!$B$5)*Factors!CP3+SQRT(Parameters!$B$6)*Factors!CP8+SQRT(Parameters!$B$7)*Factors!CP9+SQRT(Parameters!$B$9)*NORM.S.INV(RAND())</f>
        <v/>
      </c>
      <c r="CQ9" s="19">
        <f>SQRT(Parameters!$B$5)*Factors!CQ3+SQRT(Parameters!$B$6)*Factors!CQ8+SQRT(Parameters!$B$7)*Factors!CQ9+SQRT(Parameters!$B$9)*NORM.S.INV(RAND())</f>
        <v/>
      </c>
      <c r="CR9" s="19">
        <f>SQRT(Parameters!$B$5)*Factors!CR3+SQRT(Parameters!$B$6)*Factors!CR8+SQRT(Parameters!$B$7)*Factors!CR9+SQRT(Parameters!$B$9)*NORM.S.INV(RAND())</f>
        <v/>
      </c>
      <c r="CS9" s="19">
        <f>SQRT(Parameters!$B$5)*Factors!CS3+SQRT(Parameters!$B$6)*Factors!CS8+SQRT(Parameters!$B$7)*Factors!CS9+SQRT(Parameters!$B$9)*NORM.S.INV(RAND())</f>
        <v/>
      </c>
      <c r="CT9" s="19">
        <f>SQRT(Parameters!$B$5)*Factors!CT3+SQRT(Parameters!$B$6)*Factors!CT8+SQRT(Parameters!$B$7)*Factors!CT9+SQRT(Parameters!$B$9)*NORM.S.INV(RAND())</f>
        <v/>
      </c>
      <c r="CU9" s="19">
        <f>SQRT(Parameters!$B$5)*Factors!CU3+SQRT(Parameters!$B$6)*Factors!CU8+SQRT(Parameters!$B$7)*Factors!CU9+SQRT(Parameters!$B$9)*NORM.S.INV(RAND())</f>
        <v/>
      </c>
      <c r="CV9" s="19">
        <f>SQRT(Parameters!$B$5)*Factors!CV3+SQRT(Parameters!$B$6)*Factors!CV8+SQRT(Parameters!$B$7)*Factors!CV9+SQRT(Parameters!$B$9)*NORM.S.INV(RAND())</f>
        <v/>
      </c>
      <c r="CW9" s="19">
        <f>SQRT(Parameters!$B$5)*Factors!CW3+SQRT(Parameters!$B$6)*Factors!CW8+SQRT(Parameters!$B$7)*Factors!CW9+SQRT(Parameters!$B$9)*NORM.S.INV(RAND())</f>
        <v/>
      </c>
      <c r="CX9" s="19">
        <f>SQRT(Parameters!$B$5)*Factors!CX3+SQRT(Parameters!$B$6)*Factors!CX8+SQRT(Parameters!$B$7)*Factors!CX9+SQRT(Parameters!$B$9)*NORM.S.INV(RAND())</f>
        <v/>
      </c>
      <c r="CY9" s="19">
        <f>SQRT(Parameters!$B$5)*Factors!CY3+SQRT(Parameters!$B$6)*Factors!CY8+SQRT(Parameters!$B$7)*Factors!CY9+SQRT(Parameters!$B$9)*NORM.S.INV(RAND())</f>
        <v/>
      </c>
      <c r="CZ9" s="19">
        <f>SQRT(Parameters!$B$5)*Factors!CZ3+SQRT(Parameters!$B$6)*Factors!CZ8+SQRT(Parameters!$B$7)*Factors!CZ9+SQRT(Parameters!$B$9)*NORM.S.INV(RAND())</f>
        <v/>
      </c>
      <c r="DA9" s="19">
        <f>SQRT(Parameters!$B$5)*Factors!DA3+SQRT(Parameters!$B$6)*Factors!DA8+SQRT(Parameters!$B$7)*Factors!DA9+SQRT(Parameters!$B$9)*NORM.S.INV(RAND())</f>
        <v/>
      </c>
      <c r="DB9" s="19">
        <f>SQRT(Parameters!$B$5)*Factors!DB3+SQRT(Parameters!$B$6)*Factors!DB8+SQRT(Parameters!$B$7)*Factors!DB9+SQRT(Parameters!$B$9)*NORM.S.INV(RAND())</f>
        <v/>
      </c>
      <c r="DC9" s="19">
        <f>SQRT(Parameters!$B$5)*Factors!DC3+SQRT(Parameters!$B$6)*Factors!DC8+SQRT(Parameters!$B$7)*Factors!DC9+SQRT(Parameters!$B$9)*NORM.S.INV(RAND())</f>
        <v/>
      </c>
      <c r="DD9" s="19">
        <f>SQRT(Parameters!$B$5)*Factors!DD3+SQRT(Parameters!$B$6)*Factors!DD8+SQRT(Parameters!$B$7)*Factors!DD9+SQRT(Parameters!$B$9)*NORM.S.INV(RAND())</f>
        <v/>
      </c>
      <c r="DE9" s="19">
        <f>SQRT(Parameters!$B$5)*Factors!DE3+SQRT(Parameters!$B$6)*Factors!DE8+SQRT(Parameters!$B$7)*Factors!DE9+SQRT(Parameters!$B$9)*NORM.S.INV(RAND())</f>
        <v/>
      </c>
      <c r="DF9" s="19">
        <f>SQRT(Parameters!$B$5)*Factors!DF3+SQRT(Parameters!$B$6)*Factors!DF8+SQRT(Parameters!$B$7)*Factors!DF9+SQRT(Parameters!$B$9)*NORM.S.INV(RAND())</f>
        <v/>
      </c>
      <c r="DG9" s="19">
        <f>SQRT(Parameters!$B$5)*Factors!DG3+SQRT(Parameters!$B$6)*Factors!DG8+SQRT(Parameters!$B$7)*Factors!DG9+SQRT(Parameters!$B$9)*NORM.S.INV(RAND())</f>
        <v/>
      </c>
      <c r="DH9" s="19">
        <f>SQRT(Parameters!$B$5)*Factors!DH3+SQRT(Parameters!$B$6)*Factors!DH8+SQRT(Parameters!$B$7)*Factors!DH9+SQRT(Parameters!$B$9)*NORM.S.INV(RAND())</f>
        <v/>
      </c>
      <c r="DI9" s="19">
        <f>SQRT(Parameters!$B$5)*Factors!DI3+SQRT(Parameters!$B$6)*Factors!DI8+SQRT(Parameters!$B$7)*Factors!DI9+SQRT(Parameters!$B$9)*NORM.S.INV(RAND())</f>
        <v/>
      </c>
      <c r="DJ9" s="19">
        <f>SQRT(Parameters!$B$5)*Factors!DJ3+SQRT(Parameters!$B$6)*Factors!DJ8+SQRT(Parameters!$B$7)*Factors!DJ9+SQRT(Parameters!$B$9)*NORM.S.INV(RAND())</f>
        <v/>
      </c>
      <c r="DK9" s="19">
        <f>SQRT(Parameters!$B$5)*Factors!DK3+SQRT(Parameters!$B$6)*Factors!DK8+SQRT(Parameters!$B$7)*Factors!DK9+SQRT(Parameters!$B$9)*NORM.S.INV(RAND())</f>
        <v/>
      </c>
      <c r="DL9" s="19">
        <f>SQRT(Parameters!$B$5)*Factors!DL3+SQRT(Parameters!$B$6)*Factors!DL8+SQRT(Parameters!$B$7)*Factors!DL9+SQRT(Parameters!$B$9)*NORM.S.INV(RAND())</f>
        <v/>
      </c>
      <c r="DM9" s="19">
        <f>SQRT(Parameters!$B$5)*Factors!DM3+SQRT(Parameters!$B$6)*Factors!DM8+SQRT(Parameters!$B$7)*Factors!DM9+SQRT(Parameters!$B$9)*NORM.S.INV(RAND())</f>
        <v/>
      </c>
      <c r="DN9" s="19">
        <f>SQRT(Parameters!$B$5)*Factors!DN3+SQRT(Parameters!$B$6)*Factors!DN8+SQRT(Parameters!$B$7)*Factors!DN9+SQRT(Parameters!$B$9)*NORM.S.INV(RAND())</f>
        <v/>
      </c>
      <c r="DO9" s="19">
        <f>SQRT(Parameters!$B$5)*Factors!DO3+SQRT(Parameters!$B$6)*Factors!DO8+SQRT(Parameters!$B$7)*Factors!DO9+SQRT(Parameters!$B$9)*NORM.S.INV(RAND())</f>
        <v/>
      </c>
      <c r="DP9" s="19">
        <f>SQRT(Parameters!$B$5)*Factors!DP3+SQRT(Parameters!$B$6)*Factors!DP8+SQRT(Parameters!$B$7)*Factors!DP9+SQRT(Parameters!$B$9)*NORM.S.INV(RAND())</f>
        <v/>
      </c>
      <c r="DQ9" s="19">
        <f>SQRT(Parameters!$B$5)*Factors!DQ3+SQRT(Parameters!$B$6)*Factors!DQ8+SQRT(Parameters!$B$7)*Factors!DQ9+SQRT(Parameters!$B$9)*NORM.S.INV(RAND())</f>
        <v/>
      </c>
      <c r="DR9" s="19">
        <f>SQRT(Parameters!$B$5)*Factors!DR3+SQRT(Parameters!$B$6)*Factors!DR8+SQRT(Parameters!$B$7)*Factors!DR9+SQRT(Parameters!$B$9)*NORM.S.INV(RAND())</f>
        <v/>
      </c>
      <c r="DS9" s="19">
        <f>SQRT(Parameters!$B$5)*Factors!DS3+SQRT(Parameters!$B$6)*Factors!DS8+SQRT(Parameters!$B$7)*Factors!DS9+SQRT(Parameters!$B$9)*NORM.S.INV(RAND())</f>
        <v/>
      </c>
      <c r="DT9" s="19">
        <f>SQRT(Parameters!$B$5)*Factors!DT3+SQRT(Parameters!$B$6)*Factors!DT8+SQRT(Parameters!$B$7)*Factors!DT9+SQRT(Parameters!$B$9)*NORM.S.INV(RAND())</f>
        <v/>
      </c>
      <c r="DU9" s="19">
        <f>SQRT(Parameters!$B$5)*Factors!DU3+SQRT(Parameters!$B$6)*Factors!DU8+SQRT(Parameters!$B$7)*Factors!DU9+SQRT(Parameters!$B$9)*NORM.S.INV(RAND())</f>
        <v/>
      </c>
      <c r="DV9" s="19">
        <f>SQRT(Parameters!$B$5)*Factors!DV3+SQRT(Parameters!$B$6)*Factors!DV8+SQRT(Parameters!$B$7)*Factors!DV9+SQRT(Parameters!$B$9)*NORM.S.INV(RAND())</f>
        <v/>
      </c>
      <c r="DW9" s="19">
        <f>SQRT(Parameters!$B$5)*Factors!DW3+SQRT(Parameters!$B$6)*Factors!DW8+SQRT(Parameters!$B$7)*Factors!DW9+SQRT(Parameters!$B$9)*NORM.S.INV(RAND())</f>
        <v/>
      </c>
      <c r="DX9" s="19">
        <f>SQRT(Parameters!$B$5)*Factors!DX3+SQRT(Parameters!$B$6)*Factors!DX8+SQRT(Parameters!$B$7)*Factors!DX9+SQRT(Parameters!$B$9)*NORM.S.INV(RAND())</f>
        <v/>
      </c>
      <c r="DY9" s="19">
        <f>SQRT(Parameters!$B$5)*Factors!DY3+SQRT(Parameters!$B$6)*Factors!DY8+SQRT(Parameters!$B$7)*Factors!DY9+SQRT(Parameters!$B$9)*NORM.S.INV(RAND())</f>
        <v/>
      </c>
      <c r="DZ9" s="19">
        <f>SQRT(Parameters!$B$5)*Factors!DZ3+SQRT(Parameters!$B$6)*Factors!DZ8+SQRT(Parameters!$B$7)*Factors!DZ9+SQRT(Parameters!$B$9)*NORM.S.INV(RAND())</f>
        <v/>
      </c>
      <c r="EA9" s="19">
        <f>SQRT(Parameters!$B$5)*Factors!EA3+SQRT(Parameters!$B$6)*Factors!EA8+SQRT(Parameters!$B$7)*Factors!EA9+SQRT(Parameters!$B$9)*NORM.S.INV(RAND())</f>
        <v/>
      </c>
      <c r="EB9" s="19">
        <f>SQRT(Parameters!$B$5)*Factors!EB3+SQRT(Parameters!$B$6)*Factors!EB8+SQRT(Parameters!$B$7)*Factors!EB9+SQRT(Parameters!$B$9)*NORM.S.INV(RAND())</f>
        <v/>
      </c>
      <c r="EC9" s="19">
        <f>SQRT(Parameters!$B$5)*Factors!EC3+SQRT(Parameters!$B$6)*Factors!EC8+SQRT(Parameters!$B$7)*Factors!EC9+SQRT(Parameters!$B$9)*NORM.S.INV(RAND())</f>
        <v/>
      </c>
      <c r="ED9" s="19">
        <f>SQRT(Parameters!$B$5)*Factors!ED3+SQRT(Parameters!$B$6)*Factors!ED8+SQRT(Parameters!$B$7)*Factors!ED9+SQRT(Parameters!$B$9)*NORM.S.INV(RAND())</f>
        <v/>
      </c>
      <c r="EE9" s="19">
        <f>SQRT(Parameters!$B$5)*Factors!EE3+SQRT(Parameters!$B$6)*Factors!EE8+SQRT(Parameters!$B$7)*Factors!EE9+SQRT(Parameters!$B$9)*NORM.S.INV(RAND())</f>
        <v/>
      </c>
      <c r="EF9" s="19">
        <f>SQRT(Parameters!$B$5)*Factors!EF3+SQRT(Parameters!$B$6)*Factors!EF8+SQRT(Parameters!$B$7)*Factors!EF9+SQRT(Parameters!$B$9)*NORM.S.INV(RAND())</f>
        <v/>
      </c>
      <c r="EG9" s="19">
        <f>SQRT(Parameters!$B$5)*Factors!EG3+SQRT(Parameters!$B$6)*Factors!EG8+SQRT(Parameters!$B$7)*Factors!EG9+SQRT(Parameters!$B$9)*NORM.S.INV(RAND())</f>
        <v/>
      </c>
      <c r="EH9" s="19">
        <f>SQRT(Parameters!$B$5)*Factors!EH3+SQRT(Parameters!$B$6)*Factors!EH8+SQRT(Parameters!$B$7)*Factors!EH9+SQRT(Parameters!$B$9)*NORM.S.INV(RAND())</f>
        <v/>
      </c>
      <c r="EI9" s="19">
        <f>SQRT(Parameters!$B$5)*Factors!EI3+SQRT(Parameters!$B$6)*Factors!EI8+SQRT(Parameters!$B$7)*Factors!EI9+SQRT(Parameters!$B$9)*NORM.S.INV(RAND())</f>
        <v/>
      </c>
      <c r="EJ9" s="19">
        <f>SQRT(Parameters!$B$5)*Factors!EJ3+SQRT(Parameters!$B$6)*Factors!EJ8+SQRT(Parameters!$B$7)*Factors!EJ9+SQRT(Parameters!$B$9)*NORM.S.INV(RAND())</f>
        <v/>
      </c>
      <c r="EK9" s="19">
        <f>SQRT(Parameters!$B$5)*Factors!EK3+SQRT(Parameters!$B$6)*Factors!EK8+SQRT(Parameters!$B$7)*Factors!EK9+SQRT(Parameters!$B$9)*NORM.S.INV(RAND())</f>
        <v/>
      </c>
      <c r="EL9" s="19">
        <f>SQRT(Parameters!$B$5)*Factors!EL3+SQRT(Parameters!$B$6)*Factors!EL8+SQRT(Parameters!$B$7)*Factors!EL9+SQRT(Parameters!$B$9)*NORM.S.INV(RAND())</f>
        <v/>
      </c>
      <c r="EM9" s="19">
        <f>SQRT(Parameters!$B$5)*Factors!EM3+SQRT(Parameters!$B$6)*Factors!EM8+SQRT(Parameters!$B$7)*Factors!EM9+SQRT(Parameters!$B$9)*NORM.S.INV(RAND())</f>
        <v/>
      </c>
      <c r="EN9" s="19">
        <f>SQRT(Parameters!$B$5)*Factors!EN3+SQRT(Parameters!$B$6)*Factors!EN8+SQRT(Parameters!$B$7)*Factors!EN9+SQRT(Parameters!$B$9)*NORM.S.INV(RAND())</f>
        <v/>
      </c>
      <c r="EO9" s="19">
        <f>SQRT(Parameters!$B$5)*Factors!EO3+SQRT(Parameters!$B$6)*Factors!EO8+SQRT(Parameters!$B$7)*Factors!EO9+SQRT(Parameters!$B$9)*NORM.S.INV(RAND())</f>
        <v/>
      </c>
      <c r="EP9" s="19">
        <f>SQRT(Parameters!$B$5)*Factors!EP3+SQRT(Parameters!$B$6)*Factors!EP8+SQRT(Parameters!$B$7)*Factors!EP9+SQRT(Parameters!$B$9)*NORM.S.INV(RAND())</f>
        <v/>
      </c>
      <c r="EQ9" s="19">
        <f>SQRT(Parameters!$B$5)*Factors!EQ3+SQRT(Parameters!$B$6)*Factors!EQ8+SQRT(Parameters!$B$7)*Factors!EQ9+SQRT(Parameters!$B$9)*NORM.S.INV(RAND())</f>
        <v/>
      </c>
      <c r="ER9" s="19">
        <f>SQRT(Parameters!$B$5)*Factors!ER3+SQRT(Parameters!$B$6)*Factors!ER8+SQRT(Parameters!$B$7)*Factors!ER9+SQRT(Parameters!$B$9)*NORM.S.INV(RAND())</f>
        <v/>
      </c>
      <c r="ES9" s="19">
        <f>SQRT(Parameters!$B$5)*Factors!ES3+SQRT(Parameters!$B$6)*Factors!ES8+SQRT(Parameters!$B$7)*Factors!ES9+SQRT(Parameters!$B$9)*NORM.S.INV(RAND())</f>
        <v/>
      </c>
      <c r="ET9" s="19">
        <f>SQRT(Parameters!$B$5)*Factors!ET3+SQRT(Parameters!$B$6)*Factors!ET8+SQRT(Parameters!$B$7)*Factors!ET9+SQRT(Parameters!$B$9)*NORM.S.INV(RAND())</f>
        <v/>
      </c>
      <c r="EU9" s="19">
        <f>SQRT(Parameters!$B$5)*Factors!EU3+SQRT(Parameters!$B$6)*Factors!EU8+SQRT(Parameters!$B$7)*Factors!EU9+SQRT(Parameters!$B$9)*NORM.S.INV(RAND())</f>
        <v/>
      </c>
      <c r="EV9" s="19">
        <f>SQRT(Parameters!$B$5)*Factors!EV3+SQRT(Parameters!$B$6)*Factors!EV8+SQRT(Parameters!$B$7)*Factors!EV9+SQRT(Parameters!$B$9)*NORM.S.INV(RAND())</f>
        <v/>
      </c>
      <c r="EW9" s="19">
        <f>SQRT(Parameters!$B$5)*Factors!EW3+SQRT(Parameters!$B$6)*Factors!EW8+SQRT(Parameters!$B$7)*Factors!EW9+SQRT(Parameters!$B$9)*NORM.S.INV(RAND())</f>
        <v/>
      </c>
      <c r="EX9" s="19">
        <f>SQRT(Parameters!$B$5)*Factors!EX3+SQRT(Parameters!$B$6)*Factors!EX8+SQRT(Parameters!$B$7)*Factors!EX9+SQRT(Parameters!$B$9)*NORM.S.INV(RAND())</f>
        <v/>
      </c>
      <c r="EY9" s="19">
        <f>SQRT(Parameters!$B$5)*Factors!EY3+SQRT(Parameters!$B$6)*Factors!EY8+SQRT(Parameters!$B$7)*Factors!EY9+SQRT(Parameters!$B$9)*NORM.S.INV(RAND())</f>
        <v/>
      </c>
      <c r="EZ9" s="19">
        <f>SQRT(Parameters!$B$5)*Factors!EZ3+SQRT(Parameters!$B$6)*Factors!EZ8+SQRT(Parameters!$B$7)*Factors!EZ9+SQRT(Parameters!$B$9)*NORM.S.INV(RAND())</f>
        <v/>
      </c>
      <c r="FA9" s="19">
        <f>SQRT(Parameters!$B$5)*Factors!FA3+SQRT(Parameters!$B$6)*Factors!FA8+SQRT(Parameters!$B$7)*Factors!FA9+SQRT(Parameters!$B$9)*NORM.S.INV(RAND())</f>
        <v/>
      </c>
      <c r="FB9" s="19">
        <f>SQRT(Parameters!$B$5)*Factors!FB3+SQRT(Parameters!$B$6)*Factors!FB8+SQRT(Parameters!$B$7)*Factors!FB9+SQRT(Parameters!$B$9)*NORM.S.INV(RAND())</f>
        <v/>
      </c>
      <c r="FC9" s="19">
        <f>SQRT(Parameters!$B$5)*Factors!FC3+SQRT(Parameters!$B$6)*Factors!FC8+SQRT(Parameters!$B$7)*Factors!FC9+SQRT(Parameters!$B$9)*NORM.S.INV(RAND())</f>
        <v/>
      </c>
      <c r="FD9" s="19">
        <f>SQRT(Parameters!$B$5)*Factors!FD3+SQRT(Parameters!$B$6)*Factors!FD8+SQRT(Parameters!$B$7)*Factors!FD9+SQRT(Parameters!$B$9)*NORM.S.INV(RAND())</f>
        <v/>
      </c>
      <c r="FE9" s="19">
        <f>SQRT(Parameters!$B$5)*Factors!FE3+SQRT(Parameters!$B$6)*Factors!FE8+SQRT(Parameters!$B$7)*Factors!FE9+SQRT(Parameters!$B$9)*NORM.S.INV(RAND())</f>
        <v/>
      </c>
      <c r="FF9" s="19">
        <f>SQRT(Parameters!$B$5)*Factors!FF3+SQRT(Parameters!$B$6)*Factors!FF8+SQRT(Parameters!$B$7)*Factors!FF9+SQRT(Parameters!$B$9)*NORM.S.INV(RAND())</f>
        <v/>
      </c>
      <c r="FG9" s="19">
        <f>SQRT(Parameters!$B$5)*Factors!FG3+SQRT(Parameters!$B$6)*Factors!FG8+SQRT(Parameters!$B$7)*Factors!FG9+SQRT(Parameters!$B$9)*NORM.S.INV(RAND())</f>
        <v/>
      </c>
      <c r="FH9" s="19">
        <f>SQRT(Parameters!$B$5)*Factors!FH3+SQRT(Parameters!$B$6)*Factors!FH8+SQRT(Parameters!$B$7)*Factors!FH9+SQRT(Parameters!$B$9)*NORM.S.INV(RAND())</f>
        <v/>
      </c>
      <c r="FI9" s="19">
        <f>SQRT(Parameters!$B$5)*Factors!FI3+SQRT(Parameters!$B$6)*Factors!FI8+SQRT(Parameters!$B$7)*Factors!FI9+SQRT(Parameters!$B$9)*NORM.S.INV(RAND())</f>
        <v/>
      </c>
      <c r="FJ9" s="19">
        <f>SQRT(Parameters!$B$5)*Factors!FJ3+SQRT(Parameters!$B$6)*Factors!FJ8+SQRT(Parameters!$B$7)*Factors!FJ9+SQRT(Parameters!$B$9)*NORM.S.INV(RAND())</f>
        <v/>
      </c>
      <c r="FK9" s="19">
        <f>SQRT(Parameters!$B$5)*Factors!FK3+SQRT(Parameters!$B$6)*Factors!FK8+SQRT(Parameters!$B$7)*Factors!FK9+SQRT(Parameters!$B$9)*NORM.S.INV(RAND())</f>
        <v/>
      </c>
      <c r="FL9" s="19">
        <f>SQRT(Parameters!$B$5)*Factors!FL3+SQRT(Parameters!$B$6)*Factors!FL8+SQRT(Parameters!$B$7)*Factors!FL9+SQRT(Parameters!$B$9)*NORM.S.INV(RAND())</f>
        <v/>
      </c>
      <c r="FM9" s="19">
        <f>SQRT(Parameters!$B$5)*Factors!FM3+SQRT(Parameters!$B$6)*Factors!FM8+SQRT(Parameters!$B$7)*Factors!FM9+SQRT(Parameters!$B$9)*NORM.S.INV(RAND())</f>
        <v/>
      </c>
      <c r="FN9" s="19">
        <f>SQRT(Parameters!$B$5)*Factors!FN3+SQRT(Parameters!$B$6)*Factors!FN8+SQRT(Parameters!$B$7)*Factors!FN9+SQRT(Parameters!$B$9)*NORM.S.INV(RAND())</f>
        <v/>
      </c>
      <c r="FO9" s="19">
        <f>SQRT(Parameters!$B$5)*Factors!FO3+SQRT(Parameters!$B$6)*Factors!FO8+SQRT(Parameters!$B$7)*Factors!FO9+SQRT(Parameters!$B$9)*NORM.S.INV(RAND())</f>
        <v/>
      </c>
      <c r="FP9" s="19">
        <f>SQRT(Parameters!$B$5)*Factors!FP3+SQRT(Parameters!$B$6)*Factors!FP8+SQRT(Parameters!$B$7)*Factors!FP9+SQRT(Parameters!$B$9)*NORM.S.INV(RAND())</f>
        <v/>
      </c>
      <c r="FQ9" s="19">
        <f>SQRT(Parameters!$B$5)*Factors!FQ3+SQRT(Parameters!$B$6)*Factors!FQ8+SQRT(Parameters!$B$7)*Factors!FQ9+SQRT(Parameters!$B$9)*NORM.S.INV(RAND())</f>
        <v/>
      </c>
      <c r="FR9" s="19">
        <f>SQRT(Parameters!$B$5)*Factors!FR3+SQRT(Parameters!$B$6)*Factors!FR8+SQRT(Parameters!$B$7)*Factors!FR9+SQRT(Parameters!$B$9)*NORM.S.INV(RAND())</f>
        <v/>
      </c>
      <c r="FS9" s="19">
        <f>SQRT(Parameters!$B$5)*Factors!FS3+SQRT(Parameters!$B$6)*Factors!FS8+SQRT(Parameters!$B$7)*Factors!FS9+SQRT(Parameters!$B$9)*NORM.S.INV(RAND())</f>
        <v/>
      </c>
      <c r="FT9" s="19">
        <f>SQRT(Parameters!$B$5)*Factors!FT3+SQRT(Parameters!$B$6)*Factors!FT8+SQRT(Parameters!$B$7)*Factors!FT9+SQRT(Parameters!$B$9)*NORM.S.INV(RAND())</f>
        <v/>
      </c>
      <c r="FU9" s="19">
        <f>SQRT(Parameters!$B$5)*Factors!FU3+SQRT(Parameters!$B$6)*Factors!FU8+SQRT(Parameters!$B$7)*Factors!FU9+SQRT(Parameters!$B$9)*NORM.S.INV(RAND())</f>
        <v/>
      </c>
      <c r="FV9" s="19">
        <f>SQRT(Parameters!$B$5)*Factors!FV3+SQRT(Parameters!$B$6)*Factors!FV8+SQRT(Parameters!$B$7)*Factors!FV9+SQRT(Parameters!$B$9)*NORM.S.INV(RAND())</f>
        <v/>
      </c>
      <c r="FW9" s="19">
        <f>SQRT(Parameters!$B$5)*Factors!FW3+SQRT(Parameters!$B$6)*Factors!FW8+SQRT(Parameters!$B$7)*Factors!FW9+SQRT(Parameters!$B$9)*NORM.S.INV(RAND())</f>
        <v/>
      </c>
      <c r="FX9" s="19">
        <f>SQRT(Parameters!$B$5)*Factors!FX3+SQRT(Parameters!$B$6)*Factors!FX8+SQRT(Parameters!$B$7)*Factors!FX9+SQRT(Parameters!$B$9)*NORM.S.INV(RAND())</f>
        <v/>
      </c>
      <c r="FY9" s="19">
        <f>SQRT(Parameters!$B$5)*Factors!FY3+SQRT(Parameters!$B$6)*Factors!FY8+SQRT(Parameters!$B$7)*Factors!FY9+SQRT(Parameters!$B$9)*NORM.S.INV(RAND())</f>
        <v/>
      </c>
      <c r="FZ9" s="19">
        <f>SQRT(Parameters!$B$5)*Factors!FZ3+SQRT(Parameters!$B$6)*Factors!FZ8+SQRT(Parameters!$B$7)*Factors!FZ9+SQRT(Parameters!$B$9)*NORM.S.INV(RAND())</f>
        <v/>
      </c>
      <c r="GA9" s="19">
        <f>SQRT(Parameters!$B$5)*Factors!GA3+SQRT(Parameters!$B$6)*Factors!GA8+SQRT(Parameters!$B$7)*Factors!GA9+SQRT(Parameters!$B$9)*NORM.S.INV(RAND())</f>
        <v/>
      </c>
      <c r="GB9" s="19">
        <f>SQRT(Parameters!$B$5)*Factors!GB3+SQRT(Parameters!$B$6)*Factors!GB8+SQRT(Parameters!$B$7)*Factors!GB9+SQRT(Parameters!$B$9)*NORM.S.INV(RAND())</f>
        <v/>
      </c>
      <c r="GC9" s="19">
        <f>SQRT(Parameters!$B$5)*Factors!GC3+SQRT(Parameters!$B$6)*Factors!GC8+SQRT(Parameters!$B$7)*Factors!GC9+SQRT(Parameters!$B$9)*NORM.S.INV(RAND())</f>
        <v/>
      </c>
      <c r="GD9" s="19">
        <f>SQRT(Parameters!$B$5)*Factors!GD3+SQRT(Parameters!$B$6)*Factors!GD8+SQRT(Parameters!$B$7)*Factors!GD9+SQRT(Parameters!$B$9)*NORM.S.INV(RAND())</f>
        <v/>
      </c>
      <c r="GE9" s="19">
        <f>SQRT(Parameters!$B$5)*Factors!GE3+SQRT(Parameters!$B$6)*Factors!GE8+SQRT(Parameters!$B$7)*Factors!GE9+SQRT(Parameters!$B$9)*NORM.S.INV(RAND())</f>
        <v/>
      </c>
      <c r="GF9" s="19">
        <f>SQRT(Parameters!$B$5)*Factors!GF3+SQRT(Parameters!$B$6)*Factors!GF8+SQRT(Parameters!$B$7)*Factors!GF9+SQRT(Parameters!$B$9)*NORM.S.INV(RAND())</f>
        <v/>
      </c>
      <c r="GG9" s="19">
        <f>SQRT(Parameters!$B$5)*Factors!GG3+SQRT(Parameters!$B$6)*Factors!GG8+SQRT(Parameters!$B$7)*Factors!GG9+SQRT(Parameters!$B$9)*NORM.S.INV(RAND())</f>
        <v/>
      </c>
      <c r="GH9" s="19">
        <f>SQRT(Parameters!$B$5)*Factors!GH3+SQRT(Parameters!$B$6)*Factors!GH8+SQRT(Parameters!$B$7)*Factors!GH9+SQRT(Parameters!$B$9)*NORM.S.INV(RAND())</f>
        <v/>
      </c>
      <c r="GI9" s="19">
        <f>SQRT(Parameters!$B$5)*Factors!GI3+SQRT(Parameters!$B$6)*Factors!GI8+SQRT(Parameters!$B$7)*Factors!GI9+SQRT(Parameters!$B$9)*NORM.S.INV(RAND())</f>
        <v/>
      </c>
      <c r="GJ9" s="19">
        <f>SQRT(Parameters!$B$5)*Factors!GJ3+SQRT(Parameters!$B$6)*Factors!GJ8+SQRT(Parameters!$B$7)*Factors!GJ9+SQRT(Parameters!$B$9)*NORM.S.INV(RAND())</f>
        <v/>
      </c>
      <c r="GK9" s="19">
        <f>SQRT(Parameters!$B$5)*Factors!GK3+SQRT(Parameters!$B$6)*Factors!GK8+SQRT(Parameters!$B$7)*Factors!GK9+SQRT(Parameters!$B$9)*NORM.S.INV(RAND())</f>
        <v/>
      </c>
      <c r="GL9" s="19">
        <f>SQRT(Parameters!$B$5)*Factors!GL3+SQRT(Parameters!$B$6)*Factors!GL8+SQRT(Parameters!$B$7)*Factors!GL9+SQRT(Parameters!$B$9)*NORM.S.INV(RAND())</f>
        <v/>
      </c>
      <c r="GM9" s="19">
        <f>SQRT(Parameters!$B$5)*Factors!GM3+SQRT(Parameters!$B$6)*Factors!GM8+SQRT(Parameters!$B$7)*Factors!GM9+SQRT(Parameters!$B$9)*NORM.S.INV(RAND())</f>
        <v/>
      </c>
      <c r="GN9" s="19">
        <f>SQRT(Parameters!$B$5)*Factors!GN3+SQRT(Parameters!$B$6)*Factors!GN8+SQRT(Parameters!$B$7)*Factors!GN9+SQRT(Parameters!$B$9)*NORM.S.INV(RAND())</f>
        <v/>
      </c>
      <c r="GO9" s="19">
        <f>SQRT(Parameters!$B$5)*Factors!GO3+SQRT(Parameters!$B$6)*Factors!GO8+SQRT(Parameters!$B$7)*Factors!GO9+SQRT(Parameters!$B$9)*NORM.S.INV(RAND())</f>
        <v/>
      </c>
      <c r="GP9" s="19">
        <f>SQRT(Parameters!$B$5)*Factors!GP3+SQRT(Parameters!$B$6)*Factors!GP8+SQRT(Parameters!$B$7)*Factors!GP9+SQRT(Parameters!$B$9)*NORM.S.INV(RAND())</f>
        <v/>
      </c>
      <c r="GQ9" s="19">
        <f>SQRT(Parameters!$B$5)*Factors!GQ3+SQRT(Parameters!$B$6)*Factors!GQ8+SQRT(Parameters!$B$7)*Factors!GQ9+SQRT(Parameters!$B$9)*NORM.S.INV(RAND())</f>
        <v/>
      </c>
      <c r="GR9" s="19">
        <f>SQRT(Parameters!$B$5)*Factors!GR3+SQRT(Parameters!$B$6)*Factors!GR8+SQRT(Parameters!$B$7)*Factors!GR9+SQRT(Parameters!$B$9)*NORM.S.INV(RAND())</f>
        <v/>
      </c>
      <c r="GS9" s="19">
        <f>SQRT(Parameters!$B$5)*Factors!GS3+SQRT(Parameters!$B$6)*Factors!GS8+SQRT(Parameters!$B$7)*Factors!GS9+SQRT(Parameters!$B$9)*NORM.S.INV(RAND())</f>
        <v/>
      </c>
      <c r="GT9" s="19">
        <f>SQRT(Parameters!$B$5)*Factors!GT3+SQRT(Parameters!$B$6)*Factors!GT8+SQRT(Parameters!$B$7)*Factors!GT9+SQRT(Parameters!$B$9)*NORM.S.INV(RAND())</f>
        <v/>
      </c>
      <c r="GU9" s="19">
        <f>SQRT(Parameters!$B$5)*Factors!GU3+SQRT(Parameters!$B$6)*Factors!GU8+SQRT(Parameters!$B$7)*Factors!GU9+SQRT(Parameters!$B$9)*NORM.S.INV(RAND())</f>
        <v/>
      </c>
      <c r="GV9" s="19">
        <f>SQRT(Parameters!$B$5)*Factors!GV3+SQRT(Parameters!$B$6)*Factors!GV8+SQRT(Parameters!$B$7)*Factors!GV9+SQRT(Parameters!$B$9)*NORM.S.INV(RAND())</f>
        <v/>
      </c>
      <c r="GW9" s="19">
        <f>SQRT(Parameters!$B$5)*Factors!GW3+SQRT(Parameters!$B$6)*Factors!GW8+SQRT(Parameters!$B$7)*Factors!GW9+SQRT(Parameters!$B$9)*NORM.S.INV(RAND())</f>
        <v/>
      </c>
      <c r="GX9" s="19">
        <f>SQRT(Parameters!$B$5)*Factors!GX3+SQRT(Parameters!$B$6)*Factors!GX8+SQRT(Parameters!$B$7)*Factors!GX9+SQRT(Parameters!$B$9)*NORM.S.INV(RAND())</f>
        <v/>
      </c>
      <c r="GY9" s="19">
        <f>SQRT(Parameters!$B$5)*Factors!GY3+SQRT(Parameters!$B$6)*Factors!GY8+SQRT(Parameters!$B$7)*Factors!GY9+SQRT(Parameters!$B$9)*NORM.S.INV(RAND())</f>
        <v/>
      </c>
      <c r="GZ9" s="19">
        <f>SQRT(Parameters!$B$5)*Factors!GZ3+SQRT(Parameters!$B$6)*Factors!GZ8+SQRT(Parameters!$B$7)*Factors!GZ9+SQRT(Parameters!$B$9)*NORM.S.INV(RAND())</f>
        <v/>
      </c>
      <c r="HA9" s="19">
        <f>SQRT(Parameters!$B$5)*Factors!HA3+SQRT(Parameters!$B$6)*Factors!HA8+SQRT(Parameters!$B$7)*Factors!HA9+SQRT(Parameters!$B$9)*NORM.S.INV(RAND())</f>
        <v/>
      </c>
      <c r="HB9" s="19">
        <f>SQRT(Parameters!$B$5)*Factors!HB3+SQRT(Parameters!$B$6)*Factors!HB8+SQRT(Parameters!$B$7)*Factors!HB9+SQRT(Parameters!$B$9)*NORM.S.INV(RAND())</f>
        <v/>
      </c>
      <c r="HC9" s="19">
        <f>SQRT(Parameters!$B$5)*Factors!HC3+SQRT(Parameters!$B$6)*Factors!HC8+SQRT(Parameters!$B$7)*Factors!HC9+SQRT(Parameters!$B$9)*NORM.S.INV(RAND())</f>
        <v/>
      </c>
      <c r="HD9" s="19">
        <f>SQRT(Parameters!$B$5)*Factors!HD3+SQRT(Parameters!$B$6)*Factors!HD8+SQRT(Parameters!$B$7)*Factors!HD9+SQRT(Parameters!$B$9)*NORM.S.INV(RAND())</f>
        <v/>
      </c>
      <c r="HE9" s="19">
        <f>SQRT(Parameters!$B$5)*Factors!HE3+SQRT(Parameters!$B$6)*Factors!HE8+SQRT(Parameters!$B$7)*Factors!HE9+SQRT(Parameters!$B$9)*NORM.S.INV(RAND())</f>
        <v/>
      </c>
      <c r="HF9" s="19">
        <f>SQRT(Parameters!$B$5)*Factors!HF3+SQRT(Parameters!$B$6)*Factors!HF8+SQRT(Parameters!$B$7)*Factors!HF9+SQRT(Parameters!$B$9)*NORM.S.INV(RAND())</f>
        <v/>
      </c>
      <c r="HG9" s="19">
        <f>SQRT(Parameters!$B$5)*Factors!HG3+SQRT(Parameters!$B$6)*Factors!HG8+SQRT(Parameters!$B$7)*Factors!HG9+SQRT(Parameters!$B$9)*NORM.S.INV(RAND())</f>
        <v/>
      </c>
      <c r="HH9" s="19">
        <f>SQRT(Parameters!$B$5)*Factors!HH3+SQRT(Parameters!$B$6)*Factors!HH8+SQRT(Parameters!$B$7)*Factors!HH9+SQRT(Parameters!$B$9)*NORM.S.INV(RAND())</f>
        <v/>
      </c>
      <c r="HI9" s="19">
        <f>SQRT(Parameters!$B$5)*Factors!HI3+SQRT(Parameters!$B$6)*Factors!HI8+SQRT(Parameters!$B$7)*Factors!HI9+SQRT(Parameters!$B$9)*NORM.S.INV(RAND())</f>
        <v/>
      </c>
      <c r="HJ9" s="19">
        <f>SQRT(Parameters!$B$5)*Factors!HJ3+SQRT(Parameters!$B$6)*Factors!HJ8+SQRT(Parameters!$B$7)*Factors!HJ9+SQRT(Parameters!$B$9)*NORM.S.INV(RAND())</f>
        <v/>
      </c>
      <c r="HK9" s="19">
        <f>SQRT(Parameters!$B$5)*Factors!HK3+SQRT(Parameters!$B$6)*Factors!HK8+SQRT(Parameters!$B$7)*Factors!HK9+SQRT(Parameters!$B$9)*NORM.S.INV(RAND())</f>
        <v/>
      </c>
      <c r="HL9" s="19">
        <f>SQRT(Parameters!$B$5)*Factors!HL3+SQRT(Parameters!$B$6)*Factors!HL8+SQRT(Parameters!$B$7)*Factors!HL9+SQRT(Parameters!$B$9)*NORM.S.INV(RAND())</f>
        <v/>
      </c>
      <c r="HM9" s="19">
        <f>SQRT(Parameters!$B$5)*Factors!HM3+SQRT(Parameters!$B$6)*Factors!HM8+SQRT(Parameters!$B$7)*Factors!HM9+SQRT(Parameters!$B$9)*NORM.S.INV(RAND())</f>
        <v/>
      </c>
      <c r="HN9" s="19">
        <f>SQRT(Parameters!$B$5)*Factors!HN3+SQRT(Parameters!$B$6)*Factors!HN8+SQRT(Parameters!$B$7)*Factors!HN9+SQRT(Parameters!$B$9)*NORM.S.INV(RAND())</f>
        <v/>
      </c>
      <c r="HO9" s="19">
        <f>SQRT(Parameters!$B$5)*Factors!HO3+SQRT(Parameters!$B$6)*Factors!HO8+SQRT(Parameters!$B$7)*Factors!HO9+SQRT(Parameters!$B$9)*NORM.S.INV(RAND())</f>
        <v/>
      </c>
      <c r="HP9" s="19">
        <f>SQRT(Parameters!$B$5)*Factors!HP3+SQRT(Parameters!$B$6)*Factors!HP8+SQRT(Parameters!$B$7)*Factors!HP9+SQRT(Parameters!$B$9)*NORM.S.INV(RAND())</f>
        <v/>
      </c>
      <c r="HQ9" s="19">
        <f>SQRT(Parameters!$B$5)*Factors!HQ3+SQRT(Parameters!$B$6)*Factors!HQ8+SQRT(Parameters!$B$7)*Factors!HQ9+SQRT(Parameters!$B$9)*NORM.S.INV(RAND())</f>
        <v/>
      </c>
      <c r="HR9" s="19">
        <f>SQRT(Parameters!$B$5)*Factors!HR3+SQRT(Parameters!$B$6)*Factors!HR8+SQRT(Parameters!$B$7)*Factors!HR9+SQRT(Parameters!$B$9)*NORM.S.INV(RAND())</f>
        <v/>
      </c>
      <c r="HS9" s="19">
        <f>SQRT(Parameters!$B$5)*Factors!HS3+SQRT(Parameters!$B$6)*Factors!HS8+SQRT(Parameters!$B$7)*Factors!HS9+SQRT(Parameters!$B$9)*NORM.S.INV(RAND())</f>
        <v/>
      </c>
      <c r="HT9" s="19">
        <f>SQRT(Parameters!$B$5)*Factors!HT3+SQRT(Parameters!$B$6)*Factors!HT8+SQRT(Parameters!$B$7)*Factors!HT9+SQRT(Parameters!$B$9)*NORM.S.INV(RAND())</f>
        <v/>
      </c>
      <c r="HU9" s="19">
        <f>SQRT(Parameters!$B$5)*Factors!HU3+SQRT(Parameters!$B$6)*Factors!HU8+SQRT(Parameters!$B$7)*Factors!HU9+SQRT(Parameters!$B$9)*NORM.S.INV(RAND())</f>
        <v/>
      </c>
      <c r="HV9" s="19">
        <f>SQRT(Parameters!$B$5)*Factors!HV3+SQRT(Parameters!$B$6)*Factors!HV8+SQRT(Parameters!$B$7)*Factors!HV9+SQRT(Parameters!$B$9)*NORM.S.INV(RAND())</f>
        <v/>
      </c>
      <c r="HW9" s="19">
        <f>SQRT(Parameters!$B$5)*Factors!HW3+SQRT(Parameters!$B$6)*Factors!HW8+SQRT(Parameters!$B$7)*Factors!HW9+SQRT(Parameters!$B$9)*NORM.S.INV(RAND())</f>
        <v/>
      </c>
      <c r="HX9" s="19">
        <f>SQRT(Parameters!$B$5)*Factors!HX3+SQRT(Parameters!$B$6)*Factors!HX8+SQRT(Parameters!$B$7)*Factors!HX9+SQRT(Parameters!$B$9)*NORM.S.INV(RAND())</f>
        <v/>
      </c>
      <c r="HY9" s="19">
        <f>SQRT(Parameters!$B$5)*Factors!HY3+SQRT(Parameters!$B$6)*Factors!HY8+SQRT(Parameters!$B$7)*Factors!HY9+SQRT(Parameters!$B$9)*NORM.S.INV(RAND())</f>
        <v/>
      </c>
      <c r="HZ9" s="19">
        <f>SQRT(Parameters!$B$5)*Factors!HZ3+SQRT(Parameters!$B$6)*Factors!HZ8+SQRT(Parameters!$B$7)*Factors!HZ9+SQRT(Parameters!$B$9)*NORM.S.INV(RAND())</f>
        <v/>
      </c>
      <c r="IA9" s="19">
        <f>SQRT(Parameters!$B$5)*Factors!IA3+SQRT(Parameters!$B$6)*Factors!IA8+SQRT(Parameters!$B$7)*Factors!IA9+SQRT(Parameters!$B$9)*NORM.S.INV(RAND())</f>
        <v/>
      </c>
      <c r="IB9" s="19">
        <f>SQRT(Parameters!$B$5)*Factors!IB3+SQRT(Parameters!$B$6)*Factors!IB8+SQRT(Parameters!$B$7)*Factors!IB9+SQRT(Parameters!$B$9)*NORM.S.INV(RAND())</f>
        <v/>
      </c>
      <c r="IC9" s="19">
        <f>SQRT(Parameters!$B$5)*Factors!IC3+SQRT(Parameters!$B$6)*Factors!IC8+SQRT(Parameters!$B$7)*Factors!IC9+SQRT(Parameters!$B$9)*NORM.S.INV(RAND())</f>
        <v/>
      </c>
      <c r="ID9" s="19">
        <f>SQRT(Parameters!$B$5)*Factors!ID3+SQRT(Parameters!$B$6)*Factors!ID8+SQRT(Parameters!$B$7)*Factors!ID9+SQRT(Parameters!$B$9)*NORM.S.INV(RAND())</f>
        <v/>
      </c>
      <c r="IE9" s="19">
        <f>SQRT(Parameters!$B$5)*Factors!IE3+SQRT(Parameters!$B$6)*Factors!IE8+SQRT(Parameters!$B$7)*Factors!IE9+SQRT(Parameters!$B$9)*NORM.S.INV(RAND())</f>
        <v/>
      </c>
      <c r="IF9" s="19">
        <f>SQRT(Parameters!$B$5)*Factors!IF3+SQRT(Parameters!$B$6)*Factors!IF8+SQRT(Parameters!$B$7)*Factors!IF9+SQRT(Parameters!$B$9)*NORM.S.INV(RAND())</f>
        <v/>
      </c>
      <c r="IG9" s="19">
        <f>SQRT(Parameters!$B$5)*Factors!IG3+SQRT(Parameters!$B$6)*Factors!IG8+SQRT(Parameters!$B$7)*Factors!IG9+SQRT(Parameters!$B$9)*NORM.S.INV(RAND())</f>
        <v/>
      </c>
      <c r="IH9" s="19">
        <f>SQRT(Parameters!$B$5)*Factors!IH3+SQRT(Parameters!$B$6)*Factors!IH8+SQRT(Parameters!$B$7)*Factors!IH9+SQRT(Parameters!$B$9)*NORM.S.INV(RAND())</f>
        <v/>
      </c>
      <c r="II9" s="19">
        <f>SQRT(Parameters!$B$5)*Factors!II3+SQRT(Parameters!$B$6)*Factors!II8+SQRT(Parameters!$B$7)*Factors!II9+SQRT(Parameters!$B$9)*NORM.S.INV(RAND())</f>
        <v/>
      </c>
      <c r="IJ9" s="19">
        <f>SQRT(Parameters!$B$5)*Factors!IJ3+SQRT(Parameters!$B$6)*Factors!IJ8+SQRT(Parameters!$B$7)*Factors!IJ9+SQRT(Parameters!$B$9)*NORM.S.INV(RAND())</f>
        <v/>
      </c>
      <c r="IK9" s="19">
        <f>SQRT(Parameters!$B$5)*Factors!IK3+SQRT(Parameters!$B$6)*Factors!IK8+SQRT(Parameters!$B$7)*Factors!IK9+SQRT(Parameters!$B$9)*NORM.S.INV(RAND())</f>
        <v/>
      </c>
      <c r="IL9" s="19">
        <f>SQRT(Parameters!$B$5)*Factors!IL3+SQRT(Parameters!$B$6)*Factors!IL8+SQRT(Parameters!$B$7)*Factors!IL9+SQRT(Parameters!$B$9)*NORM.S.INV(RAND())</f>
        <v/>
      </c>
      <c r="IM9" s="19">
        <f>SQRT(Parameters!$B$5)*Factors!IM3+SQRT(Parameters!$B$6)*Factors!IM8+SQRT(Parameters!$B$7)*Factors!IM9+SQRT(Parameters!$B$9)*NORM.S.INV(RAND())</f>
        <v/>
      </c>
      <c r="IN9" s="19">
        <f>SQRT(Parameters!$B$5)*Factors!IN3+SQRT(Parameters!$B$6)*Factors!IN8+SQRT(Parameters!$B$7)*Factors!IN9+SQRT(Parameters!$B$9)*NORM.S.INV(RAND())</f>
        <v/>
      </c>
      <c r="IO9" s="19">
        <f>SQRT(Parameters!$B$5)*Factors!IO3+SQRT(Parameters!$B$6)*Factors!IO8+SQRT(Parameters!$B$7)*Factors!IO9+SQRT(Parameters!$B$9)*NORM.S.INV(RAND())</f>
        <v/>
      </c>
      <c r="IP9" s="19">
        <f>SQRT(Parameters!$B$5)*Factors!IP3+SQRT(Parameters!$B$6)*Factors!IP8+SQRT(Parameters!$B$7)*Factors!IP9+SQRT(Parameters!$B$9)*NORM.S.INV(RAND())</f>
        <v/>
      </c>
      <c r="IQ9" s="19">
        <f>SQRT(Parameters!$B$5)*Factors!IQ3+SQRT(Parameters!$B$6)*Factors!IQ8+SQRT(Parameters!$B$7)*Factors!IQ9+SQRT(Parameters!$B$9)*NORM.S.INV(RAND())</f>
        <v/>
      </c>
      <c r="IR9" s="19">
        <f>SQRT(Parameters!$B$5)*Factors!IR3+SQRT(Parameters!$B$6)*Factors!IR8+SQRT(Parameters!$B$7)*Factors!IR9+SQRT(Parameters!$B$9)*NORM.S.INV(RAND())</f>
        <v/>
      </c>
      <c r="IS9" s="19">
        <f>SQRT(Parameters!$B$5)*Factors!IS3+SQRT(Parameters!$B$6)*Factors!IS8+SQRT(Parameters!$B$7)*Factors!IS9+SQRT(Parameters!$B$9)*NORM.S.INV(RAND())</f>
        <v/>
      </c>
      <c r="IT9" s="19">
        <f>SQRT(Parameters!$B$5)*Factors!IT3+SQRT(Parameters!$B$6)*Factors!IT8+SQRT(Parameters!$B$7)*Factors!IT9+SQRT(Parameters!$B$9)*NORM.S.INV(RAND())</f>
        <v/>
      </c>
      <c r="IU9" s="19">
        <f>SQRT(Parameters!$B$5)*Factors!IU3+SQRT(Parameters!$B$6)*Factors!IU8+SQRT(Parameters!$B$7)*Factors!IU9+SQRT(Parameters!$B$9)*NORM.S.INV(RAND())</f>
        <v/>
      </c>
      <c r="IV9" s="19">
        <f>SQRT(Parameters!$B$5)*Factors!IV3+SQRT(Parameters!$B$6)*Factors!IV8+SQRT(Parameters!$B$7)*Factors!IV9+SQRT(Parameters!$B$9)*NORM.S.INV(RAND())</f>
        <v/>
      </c>
      <c r="IW9" s="19">
        <f>SQRT(Parameters!$B$5)*Factors!IW3+SQRT(Parameters!$B$6)*Factors!IW8+SQRT(Parameters!$B$7)*Factors!IW9+SQRT(Parameters!$B$9)*NORM.S.INV(RAND())</f>
        <v/>
      </c>
      <c r="IX9" s="19">
        <f>SQRT(Parameters!$B$5)*Factors!IX3+SQRT(Parameters!$B$6)*Factors!IX8+SQRT(Parameters!$B$7)*Factors!IX9+SQRT(Parameters!$B$9)*NORM.S.INV(RAND())</f>
        <v/>
      </c>
      <c r="IY9" s="19">
        <f>SQRT(Parameters!$B$5)*Factors!IY3+SQRT(Parameters!$B$6)*Factors!IY8+SQRT(Parameters!$B$7)*Factors!IY9+SQRT(Parameters!$B$9)*NORM.S.INV(RAND())</f>
        <v/>
      </c>
      <c r="IZ9" s="19">
        <f>SQRT(Parameters!$B$5)*Factors!IZ3+SQRT(Parameters!$B$6)*Factors!IZ8+SQRT(Parameters!$B$7)*Factors!IZ9+SQRT(Parameters!$B$9)*NORM.S.INV(RAND())</f>
        <v/>
      </c>
      <c r="JA9" s="19">
        <f>SQRT(Parameters!$B$5)*Factors!JA3+SQRT(Parameters!$B$6)*Factors!JA8+SQRT(Parameters!$B$7)*Factors!JA9+SQRT(Parameters!$B$9)*NORM.S.INV(RAND())</f>
        <v/>
      </c>
      <c r="JB9" s="19">
        <f>SQRT(Parameters!$B$5)*Factors!JB3+SQRT(Parameters!$B$6)*Factors!JB8+SQRT(Parameters!$B$7)*Factors!JB9+SQRT(Parameters!$B$9)*NORM.S.INV(RAND())</f>
        <v/>
      </c>
      <c r="JC9" s="19">
        <f>SQRT(Parameters!$B$5)*Factors!JC3+SQRT(Parameters!$B$6)*Factors!JC8+SQRT(Parameters!$B$7)*Factors!JC9+SQRT(Parameters!$B$9)*NORM.S.INV(RAND())</f>
        <v/>
      </c>
      <c r="JD9" s="19">
        <f>SQRT(Parameters!$B$5)*Factors!JD3+SQRT(Parameters!$B$6)*Factors!JD8+SQRT(Parameters!$B$7)*Factors!JD9+SQRT(Parameters!$B$9)*NORM.S.INV(RAND())</f>
        <v/>
      </c>
      <c r="JE9" s="19">
        <f>SQRT(Parameters!$B$5)*Factors!JE3+SQRT(Parameters!$B$6)*Factors!JE8+SQRT(Parameters!$B$7)*Factors!JE9+SQRT(Parameters!$B$9)*NORM.S.INV(RAND())</f>
        <v/>
      </c>
      <c r="JF9" s="19">
        <f>SQRT(Parameters!$B$5)*Factors!JF3+SQRT(Parameters!$B$6)*Factors!JF8+SQRT(Parameters!$B$7)*Factors!JF9+SQRT(Parameters!$B$9)*NORM.S.INV(RAND())</f>
        <v/>
      </c>
      <c r="JG9" s="19">
        <f>SQRT(Parameters!$B$5)*Factors!JG3+SQRT(Parameters!$B$6)*Factors!JG8+SQRT(Parameters!$B$7)*Factors!JG9+SQRT(Parameters!$B$9)*NORM.S.INV(RAND())</f>
        <v/>
      </c>
      <c r="JH9" s="19">
        <f>SQRT(Parameters!$B$5)*Factors!JH3+SQRT(Parameters!$B$6)*Factors!JH8+SQRT(Parameters!$B$7)*Factors!JH9+SQRT(Parameters!$B$9)*NORM.S.INV(RAND())</f>
        <v/>
      </c>
      <c r="JI9" s="19">
        <f>SQRT(Parameters!$B$5)*Factors!JI3+SQRT(Parameters!$B$6)*Factors!JI8+SQRT(Parameters!$B$7)*Factors!JI9+SQRT(Parameters!$B$9)*NORM.S.INV(RAND())</f>
        <v/>
      </c>
      <c r="JJ9" s="19">
        <f>SQRT(Parameters!$B$5)*Factors!JJ3+SQRT(Parameters!$B$6)*Factors!JJ8+SQRT(Parameters!$B$7)*Factors!JJ9+SQRT(Parameters!$B$9)*NORM.S.INV(RAND())</f>
        <v/>
      </c>
      <c r="JK9" s="19">
        <f>SQRT(Parameters!$B$5)*Factors!JK3+SQRT(Parameters!$B$6)*Factors!JK8+SQRT(Parameters!$B$7)*Factors!JK9+SQRT(Parameters!$B$9)*NORM.S.INV(RAND())</f>
        <v/>
      </c>
      <c r="JL9" s="19">
        <f>SQRT(Parameters!$B$5)*Factors!JL3+SQRT(Parameters!$B$6)*Factors!JL8+SQRT(Parameters!$B$7)*Factors!JL9+SQRT(Parameters!$B$9)*NORM.S.INV(RAND())</f>
        <v/>
      </c>
      <c r="JM9" s="19">
        <f>SQRT(Parameters!$B$5)*Factors!JM3+SQRT(Parameters!$B$6)*Factors!JM8+SQRT(Parameters!$B$7)*Factors!JM9+SQRT(Parameters!$B$9)*NORM.S.INV(RAND())</f>
        <v/>
      </c>
      <c r="JN9" s="19">
        <f>SQRT(Parameters!$B$5)*Factors!JN3+SQRT(Parameters!$B$6)*Factors!JN8+SQRT(Parameters!$B$7)*Factors!JN9+SQRT(Parameters!$B$9)*NORM.S.INV(RAND())</f>
        <v/>
      </c>
      <c r="JO9" s="19">
        <f>SQRT(Parameters!$B$5)*Factors!JO3+SQRT(Parameters!$B$6)*Factors!JO8+SQRT(Parameters!$B$7)*Factors!JO9+SQRT(Parameters!$B$9)*NORM.S.INV(RAND())</f>
        <v/>
      </c>
      <c r="JP9" s="19">
        <f>SQRT(Parameters!$B$5)*Factors!JP3+SQRT(Parameters!$B$6)*Factors!JP8+SQRT(Parameters!$B$7)*Factors!JP9+SQRT(Parameters!$B$9)*NORM.S.INV(RAND())</f>
        <v/>
      </c>
      <c r="JQ9" s="19">
        <f>SQRT(Parameters!$B$5)*Factors!JQ3+SQRT(Parameters!$B$6)*Factors!JQ8+SQRT(Parameters!$B$7)*Factors!JQ9+SQRT(Parameters!$B$9)*NORM.S.INV(RAND())</f>
        <v/>
      </c>
      <c r="JR9" s="19">
        <f>SQRT(Parameters!$B$5)*Factors!JR3+SQRT(Parameters!$B$6)*Factors!JR8+SQRT(Parameters!$B$7)*Factors!JR9+SQRT(Parameters!$B$9)*NORM.S.INV(RAND())</f>
        <v/>
      </c>
      <c r="JS9" s="19">
        <f>SQRT(Parameters!$B$5)*Factors!JS3+SQRT(Parameters!$B$6)*Factors!JS8+SQRT(Parameters!$B$7)*Factors!JS9+SQRT(Parameters!$B$9)*NORM.S.INV(RAND())</f>
        <v/>
      </c>
      <c r="JT9" s="19">
        <f>SQRT(Parameters!$B$5)*Factors!JT3+SQRT(Parameters!$B$6)*Factors!JT8+SQRT(Parameters!$B$7)*Factors!JT9+SQRT(Parameters!$B$9)*NORM.S.INV(RAND())</f>
        <v/>
      </c>
      <c r="JU9" s="19">
        <f>SQRT(Parameters!$B$5)*Factors!JU3+SQRT(Parameters!$B$6)*Factors!JU8+SQRT(Parameters!$B$7)*Factors!JU9+SQRT(Parameters!$B$9)*NORM.S.INV(RAND())</f>
        <v/>
      </c>
      <c r="JV9" s="19">
        <f>SQRT(Parameters!$B$5)*Factors!JV3+SQRT(Parameters!$B$6)*Factors!JV8+SQRT(Parameters!$B$7)*Factors!JV9+SQRT(Parameters!$B$9)*NORM.S.INV(RAND())</f>
        <v/>
      </c>
      <c r="JW9" s="19">
        <f>SQRT(Parameters!$B$5)*Factors!JW3+SQRT(Parameters!$B$6)*Factors!JW8+SQRT(Parameters!$B$7)*Factors!JW9+SQRT(Parameters!$B$9)*NORM.S.INV(RAND())</f>
        <v/>
      </c>
      <c r="JX9" s="19">
        <f>SQRT(Parameters!$B$5)*Factors!JX3+SQRT(Parameters!$B$6)*Factors!JX8+SQRT(Parameters!$B$7)*Factors!JX9+SQRT(Parameters!$B$9)*NORM.S.INV(RAND())</f>
        <v/>
      </c>
      <c r="JY9" s="19">
        <f>SQRT(Parameters!$B$5)*Factors!JY3+SQRT(Parameters!$B$6)*Factors!JY8+SQRT(Parameters!$B$7)*Factors!JY9+SQRT(Parameters!$B$9)*NORM.S.INV(RAND())</f>
        <v/>
      </c>
      <c r="JZ9" s="19">
        <f>SQRT(Parameters!$B$5)*Factors!JZ3+SQRT(Parameters!$B$6)*Factors!JZ8+SQRT(Parameters!$B$7)*Factors!JZ9+SQRT(Parameters!$B$9)*NORM.S.INV(RAND())</f>
        <v/>
      </c>
      <c r="KA9" s="19">
        <f>SQRT(Parameters!$B$5)*Factors!KA3+SQRT(Parameters!$B$6)*Factors!KA8+SQRT(Parameters!$B$7)*Factors!KA9+SQRT(Parameters!$B$9)*NORM.S.INV(RAND())</f>
        <v/>
      </c>
      <c r="KB9" s="19">
        <f>SQRT(Parameters!$B$5)*Factors!KB3+SQRT(Parameters!$B$6)*Factors!KB8+SQRT(Parameters!$B$7)*Factors!KB9+SQRT(Parameters!$B$9)*NORM.S.INV(RAND())</f>
        <v/>
      </c>
      <c r="KC9" s="19">
        <f>SQRT(Parameters!$B$5)*Factors!KC3+SQRT(Parameters!$B$6)*Factors!KC8+SQRT(Parameters!$B$7)*Factors!KC9+SQRT(Parameters!$B$9)*NORM.S.INV(RAND())</f>
        <v/>
      </c>
      <c r="KD9" s="19">
        <f>SQRT(Parameters!$B$5)*Factors!KD3+SQRT(Parameters!$B$6)*Factors!KD8+SQRT(Parameters!$B$7)*Factors!KD9+SQRT(Parameters!$B$9)*NORM.S.INV(RAND())</f>
        <v/>
      </c>
      <c r="KE9" s="19">
        <f>SQRT(Parameters!$B$5)*Factors!KE3+SQRT(Parameters!$B$6)*Factors!KE8+SQRT(Parameters!$B$7)*Factors!KE9+SQRT(Parameters!$B$9)*NORM.S.INV(RAND())</f>
        <v/>
      </c>
      <c r="KF9" s="19">
        <f>SQRT(Parameters!$B$5)*Factors!KF3+SQRT(Parameters!$B$6)*Factors!KF8+SQRT(Parameters!$B$7)*Factors!KF9+SQRT(Parameters!$B$9)*NORM.S.INV(RAND())</f>
        <v/>
      </c>
      <c r="KG9" s="19">
        <f>SQRT(Parameters!$B$5)*Factors!KG3+SQRT(Parameters!$B$6)*Factors!KG8+SQRT(Parameters!$B$7)*Factors!KG9+SQRT(Parameters!$B$9)*NORM.S.INV(RAND())</f>
        <v/>
      </c>
      <c r="KH9" s="19">
        <f>SQRT(Parameters!$B$5)*Factors!KH3+SQRT(Parameters!$B$6)*Factors!KH8+SQRT(Parameters!$B$7)*Factors!KH9+SQRT(Parameters!$B$9)*NORM.S.INV(RAND())</f>
        <v/>
      </c>
      <c r="KI9" s="19">
        <f>SQRT(Parameters!$B$5)*Factors!KI3+SQRT(Parameters!$B$6)*Factors!KI8+SQRT(Parameters!$B$7)*Factors!KI9+SQRT(Parameters!$B$9)*NORM.S.INV(RAND())</f>
        <v/>
      </c>
      <c r="KJ9" s="19">
        <f>SQRT(Parameters!$B$5)*Factors!KJ3+SQRT(Parameters!$B$6)*Factors!KJ8+SQRT(Parameters!$B$7)*Factors!KJ9+SQRT(Parameters!$B$9)*NORM.S.INV(RAND())</f>
        <v/>
      </c>
      <c r="KK9" s="19">
        <f>SQRT(Parameters!$B$5)*Factors!KK3+SQRT(Parameters!$B$6)*Factors!KK8+SQRT(Parameters!$B$7)*Factors!KK9+SQRT(Parameters!$B$9)*NORM.S.INV(RAND())</f>
        <v/>
      </c>
      <c r="KL9" s="19">
        <f>SQRT(Parameters!$B$5)*Factors!KL3+SQRT(Parameters!$B$6)*Factors!KL8+SQRT(Parameters!$B$7)*Factors!KL9+SQRT(Parameters!$B$9)*NORM.S.INV(RAND())</f>
        <v/>
      </c>
      <c r="KM9" s="19">
        <f>SQRT(Parameters!$B$5)*Factors!KM3+SQRT(Parameters!$B$6)*Factors!KM8+SQRT(Parameters!$B$7)*Factors!KM9+SQRT(Parameters!$B$9)*NORM.S.INV(RAND())</f>
        <v/>
      </c>
      <c r="KN9" s="19">
        <f>SQRT(Parameters!$B$5)*Factors!KN3+SQRT(Parameters!$B$6)*Factors!KN8+SQRT(Parameters!$B$7)*Factors!KN9+SQRT(Parameters!$B$9)*NORM.S.INV(RAND())</f>
        <v/>
      </c>
      <c r="KO9" s="19">
        <f>SQRT(Parameters!$B$5)*Factors!KO3+SQRT(Parameters!$B$6)*Factors!KO8+SQRT(Parameters!$B$7)*Factors!KO9+SQRT(Parameters!$B$9)*NORM.S.INV(RAND())</f>
        <v/>
      </c>
      <c r="KP9" s="19">
        <f>SQRT(Parameters!$B$5)*Factors!KP3+SQRT(Parameters!$B$6)*Factors!KP8+SQRT(Parameters!$B$7)*Factors!KP9+SQRT(Parameters!$B$9)*NORM.S.INV(RAND())</f>
        <v/>
      </c>
      <c r="KQ9" s="19">
        <f>SQRT(Parameters!$B$5)*Factors!KQ3+SQRT(Parameters!$B$6)*Factors!KQ8+SQRT(Parameters!$B$7)*Factors!KQ9+SQRT(Parameters!$B$9)*NORM.S.INV(RAND())</f>
        <v/>
      </c>
      <c r="KR9" s="19">
        <f>SQRT(Parameters!$B$5)*Factors!KR3+SQRT(Parameters!$B$6)*Factors!KR8+SQRT(Parameters!$B$7)*Factors!KR9+SQRT(Parameters!$B$9)*NORM.S.INV(RAND())</f>
        <v/>
      </c>
      <c r="KS9" s="19">
        <f>SQRT(Parameters!$B$5)*Factors!KS3+SQRT(Parameters!$B$6)*Factors!KS8+SQRT(Parameters!$B$7)*Factors!KS9+SQRT(Parameters!$B$9)*NORM.S.INV(RAND())</f>
        <v/>
      </c>
      <c r="KT9" s="19">
        <f>SQRT(Parameters!$B$5)*Factors!KT3+SQRT(Parameters!$B$6)*Factors!KT8+SQRT(Parameters!$B$7)*Factors!KT9+SQRT(Parameters!$B$9)*NORM.S.INV(RAND())</f>
        <v/>
      </c>
      <c r="KU9" s="19">
        <f>SQRT(Parameters!$B$5)*Factors!KU3+SQRT(Parameters!$B$6)*Factors!KU8+SQRT(Parameters!$B$7)*Factors!KU9+SQRT(Parameters!$B$9)*NORM.S.INV(RAND())</f>
        <v/>
      </c>
      <c r="KV9" s="19">
        <f>SQRT(Parameters!$B$5)*Factors!KV3+SQRT(Parameters!$B$6)*Factors!KV8+SQRT(Parameters!$B$7)*Factors!KV9+SQRT(Parameters!$B$9)*NORM.S.INV(RAND())</f>
        <v/>
      </c>
      <c r="KW9" s="19">
        <f>SQRT(Parameters!$B$5)*Factors!KW3+SQRT(Parameters!$B$6)*Factors!KW8+SQRT(Parameters!$B$7)*Factors!KW9+SQRT(Parameters!$B$9)*NORM.S.INV(RAND())</f>
        <v/>
      </c>
      <c r="KX9" s="19">
        <f>SQRT(Parameters!$B$5)*Factors!KX3+SQRT(Parameters!$B$6)*Factors!KX8+SQRT(Parameters!$B$7)*Factors!KX9+SQRT(Parameters!$B$9)*NORM.S.INV(RAND())</f>
        <v/>
      </c>
      <c r="KY9" s="19">
        <f>SQRT(Parameters!$B$5)*Factors!KY3+SQRT(Parameters!$B$6)*Factors!KY8+SQRT(Parameters!$B$7)*Factors!KY9+SQRT(Parameters!$B$9)*NORM.S.INV(RAND())</f>
        <v/>
      </c>
      <c r="KZ9" s="19">
        <f>SQRT(Parameters!$B$5)*Factors!KZ3+SQRT(Parameters!$B$6)*Factors!KZ8+SQRT(Parameters!$B$7)*Factors!KZ9+SQRT(Parameters!$B$9)*NORM.S.INV(RAND())</f>
        <v/>
      </c>
      <c r="LA9" s="19">
        <f>SQRT(Parameters!$B$5)*Factors!LA3+SQRT(Parameters!$B$6)*Factors!LA8+SQRT(Parameters!$B$7)*Factors!LA9+SQRT(Parameters!$B$9)*NORM.S.INV(RAND())</f>
        <v/>
      </c>
      <c r="LB9" s="19">
        <f>SQRT(Parameters!$B$5)*Factors!LB3+SQRT(Parameters!$B$6)*Factors!LB8+SQRT(Parameters!$B$7)*Factors!LB9+SQRT(Parameters!$B$9)*NORM.S.INV(RAND())</f>
        <v/>
      </c>
      <c r="LC9" s="19">
        <f>SQRT(Parameters!$B$5)*Factors!LC3+SQRT(Parameters!$B$6)*Factors!LC8+SQRT(Parameters!$B$7)*Factors!LC9+SQRT(Parameters!$B$9)*NORM.S.INV(RAND())</f>
        <v/>
      </c>
      <c r="LD9" s="19">
        <f>SQRT(Parameters!$B$5)*Factors!LD3+SQRT(Parameters!$B$6)*Factors!LD8+SQRT(Parameters!$B$7)*Factors!LD9+SQRT(Parameters!$B$9)*NORM.S.INV(RAND())</f>
        <v/>
      </c>
      <c r="LE9" s="19">
        <f>SQRT(Parameters!$B$5)*Factors!LE3+SQRT(Parameters!$B$6)*Factors!LE8+SQRT(Parameters!$B$7)*Factors!LE9+SQRT(Parameters!$B$9)*NORM.S.INV(RAND())</f>
        <v/>
      </c>
      <c r="LF9" s="19">
        <f>SQRT(Parameters!$B$5)*Factors!LF3+SQRT(Parameters!$B$6)*Factors!LF8+SQRT(Parameters!$B$7)*Factors!LF9+SQRT(Parameters!$B$9)*NORM.S.INV(RAND())</f>
        <v/>
      </c>
      <c r="LG9" s="19">
        <f>SQRT(Parameters!$B$5)*Factors!LG3+SQRT(Parameters!$B$6)*Factors!LG8+SQRT(Parameters!$B$7)*Factors!LG9+SQRT(Parameters!$B$9)*NORM.S.INV(RAND())</f>
        <v/>
      </c>
      <c r="LH9" s="19">
        <f>SQRT(Parameters!$B$5)*Factors!LH3+SQRT(Parameters!$B$6)*Factors!LH8+SQRT(Parameters!$B$7)*Factors!LH9+SQRT(Parameters!$B$9)*NORM.S.INV(RAND())</f>
        <v/>
      </c>
      <c r="LI9" s="19">
        <f>SQRT(Parameters!$B$5)*Factors!LI3+SQRT(Parameters!$B$6)*Factors!LI8+SQRT(Parameters!$B$7)*Factors!LI9+SQRT(Parameters!$B$9)*NORM.S.INV(RAND())</f>
        <v/>
      </c>
      <c r="LJ9" s="19">
        <f>SQRT(Parameters!$B$5)*Factors!LJ3+SQRT(Parameters!$B$6)*Factors!LJ8+SQRT(Parameters!$B$7)*Factors!LJ9+SQRT(Parameters!$B$9)*NORM.S.INV(RAND())</f>
        <v/>
      </c>
      <c r="LK9" s="19">
        <f>SQRT(Parameters!$B$5)*Factors!LK3+SQRT(Parameters!$B$6)*Factors!LK8+SQRT(Parameters!$B$7)*Factors!LK9+SQRT(Parameters!$B$9)*NORM.S.INV(RAND())</f>
        <v/>
      </c>
      <c r="LL9" s="19">
        <f>SQRT(Parameters!$B$5)*Factors!LL3+SQRT(Parameters!$B$6)*Factors!LL8+SQRT(Parameters!$B$7)*Factors!LL9+SQRT(Parameters!$B$9)*NORM.S.INV(RAND())</f>
        <v/>
      </c>
      <c r="LM9" s="19">
        <f>SQRT(Parameters!$B$5)*Factors!LM3+SQRT(Parameters!$B$6)*Factors!LM8+SQRT(Parameters!$B$7)*Factors!LM9+SQRT(Parameters!$B$9)*NORM.S.INV(RAND())</f>
        <v/>
      </c>
      <c r="LN9" s="19">
        <f>SQRT(Parameters!$B$5)*Factors!LN3+SQRT(Parameters!$B$6)*Factors!LN8+SQRT(Parameters!$B$7)*Factors!LN9+SQRT(Parameters!$B$9)*NORM.S.INV(RAND())</f>
        <v/>
      </c>
      <c r="LO9" s="19">
        <f>SQRT(Parameters!$B$5)*Factors!LO3+SQRT(Parameters!$B$6)*Factors!LO8+SQRT(Parameters!$B$7)*Factors!LO9+SQRT(Parameters!$B$9)*NORM.S.INV(RAND())</f>
        <v/>
      </c>
      <c r="LP9" s="19">
        <f>SQRT(Parameters!$B$5)*Factors!LP3+SQRT(Parameters!$B$6)*Factors!LP8+SQRT(Parameters!$B$7)*Factors!LP9+SQRT(Parameters!$B$9)*NORM.S.INV(RAND())</f>
        <v/>
      </c>
      <c r="LQ9" s="19">
        <f>SQRT(Parameters!$B$5)*Factors!LQ3+SQRT(Parameters!$B$6)*Factors!LQ8+SQRT(Parameters!$B$7)*Factors!LQ9+SQRT(Parameters!$B$9)*NORM.S.INV(RAND())</f>
        <v/>
      </c>
      <c r="LR9" s="19">
        <f>SQRT(Parameters!$B$5)*Factors!LR3+SQRT(Parameters!$B$6)*Factors!LR8+SQRT(Parameters!$B$7)*Factors!LR9+SQRT(Parameters!$B$9)*NORM.S.INV(RAND())</f>
        <v/>
      </c>
      <c r="LS9" s="19">
        <f>SQRT(Parameters!$B$5)*Factors!LS3+SQRT(Parameters!$B$6)*Factors!LS8+SQRT(Parameters!$B$7)*Factors!LS9+SQRT(Parameters!$B$9)*NORM.S.INV(RAND())</f>
        <v/>
      </c>
      <c r="LT9" s="19">
        <f>SQRT(Parameters!$B$5)*Factors!LT3+SQRT(Parameters!$B$6)*Factors!LT8+SQRT(Parameters!$B$7)*Factors!LT9+SQRT(Parameters!$B$9)*NORM.S.INV(RAND())</f>
        <v/>
      </c>
      <c r="LU9" s="19">
        <f>SQRT(Parameters!$B$5)*Factors!LU3+SQRT(Parameters!$B$6)*Factors!LU8+SQRT(Parameters!$B$7)*Factors!LU9+SQRT(Parameters!$B$9)*NORM.S.INV(RAND())</f>
        <v/>
      </c>
      <c r="LV9" s="19">
        <f>SQRT(Parameters!$B$5)*Factors!LV3+SQRT(Parameters!$B$6)*Factors!LV8+SQRT(Parameters!$B$7)*Factors!LV9+SQRT(Parameters!$B$9)*NORM.S.INV(RAND())</f>
        <v/>
      </c>
      <c r="LW9" s="19">
        <f>SQRT(Parameters!$B$5)*Factors!LW3+SQRT(Parameters!$B$6)*Factors!LW8+SQRT(Parameters!$B$7)*Factors!LW9+SQRT(Parameters!$B$9)*NORM.S.INV(RAND())</f>
        <v/>
      </c>
      <c r="LX9" s="19">
        <f>SQRT(Parameters!$B$5)*Factors!LX3+SQRT(Parameters!$B$6)*Factors!LX8+SQRT(Parameters!$B$7)*Factors!LX9+SQRT(Parameters!$B$9)*NORM.S.INV(RAND())</f>
        <v/>
      </c>
      <c r="LY9" s="19">
        <f>SQRT(Parameters!$B$5)*Factors!LY3+SQRT(Parameters!$B$6)*Factors!LY8+SQRT(Parameters!$B$7)*Factors!LY9+SQRT(Parameters!$B$9)*NORM.S.INV(RAND())</f>
        <v/>
      </c>
      <c r="LZ9" s="19">
        <f>SQRT(Parameters!$B$5)*Factors!LZ3+SQRT(Parameters!$B$6)*Factors!LZ8+SQRT(Parameters!$B$7)*Factors!LZ9+SQRT(Parameters!$B$9)*NORM.S.INV(RAND())</f>
        <v/>
      </c>
      <c r="MA9" s="19">
        <f>SQRT(Parameters!$B$5)*Factors!MA3+SQRT(Parameters!$B$6)*Factors!MA8+SQRT(Parameters!$B$7)*Factors!MA9+SQRT(Parameters!$B$9)*NORM.S.INV(RAND())</f>
        <v/>
      </c>
      <c r="MB9" s="19">
        <f>SQRT(Parameters!$B$5)*Factors!MB3+SQRT(Parameters!$B$6)*Factors!MB8+SQRT(Parameters!$B$7)*Factors!MB9+SQRT(Parameters!$B$9)*NORM.S.INV(RAND())</f>
        <v/>
      </c>
      <c r="MC9" s="19">
        <f>SQRT(Parameters!$B$5)*Factors!MC3+SQRT(Parameters!$B$6)*Factors!MC8+SQRT(Parameters!$B$7)*Factors!MC9+SQRT(Parameters!$B$9)*NORM.S.INV(RAND())</f>
        <v/>
      </c>
      <c r="MD9" s="19">
        <f>SQRT(Parameters!$B$5)*Factors!MD3+SQRT(Parameters!$B$6)*Factors!MD8+SQRT(Parameters!$B$7)*Factors!MD9+SQRT(Parameters!$B$9)*NORM.S.INV(RAND())</f>
        <v/>
      </c>
      <c r="ME9" s="19">
        <f>SQRT(Parameters!$B$5)*Factors!ME3+SQRT(Parameters!$B$6)*Factors!ME8+SQRT(Parameters!$B$7)*Factors!ME9+SQRT(Parameters!$B$9)*NORM.S.INV(RAND())</f>
        <v/>
      </c>
      <c r="MF9" s="19">
        <f>SQRT(Parameters!$B$5)*Factors!MF3+SQRT(Parameters!$B$6)*Factors!MF8+SQRT(Parameters!$B$7)*Factors!MF9+SQRT(Parameters!$B$9)*NORM.S.INV(RAND())</f>
        <v/>
      </c>
      <c r="MG9" s="19">
        <f>SQRT(Parameters!$B$5)*Factors!MG3+SQRT(Parameters!$B$6)*Factors!MG8+SQRT(Parameters!$B$7)*Factors!MG9+SQRT(Parameters!$B$9)*NORM.S.INV(RAND())</f>
        <v/>
      </c>
      <c r="MH9" s="19">
        <f>SQRT(Parameters!$B$5)*Factors!MH3+SQRT(Parameters!$B$6)*Factors!MH8+SQRT(Parameters!$B$7)*Factors!MH9+SQRT(Parameters!$B$9)*NORM.S.INV(RAND())</f>
        <v/>
      </c>
      <c r="MI9" s="19">
        <f>SQRT(Parameters!$B$5)*Factors!MI3+SQRT(Parameters!$B$6)*Factors!MI8+SQRT(Parameters!$B$7)*Factors!MI9+SQRT(Parameters!$B$9)*NORM.S.INV(RAND())</f>
        <v/>
      </c>
      <c r="MJ9" s="19">
        <f>SQRT(Parameters!$B$5)*Factors!MJ3+SQRT(Parameters!$B$6)*Factors!MJ8+SQRT(Parameters!$B$7)*Factors!MJ9+SQRT(Parameters!$B$9)*NORM.S.INV(RAND())</f>
        <v/>
      </c>
      <c r="MK9" s="19">
        <f>SQRT(Parameters!$B$5)*Factors!MK3+SQRT(Parameters!$B$6)*Factors!MK8+SQRT(Parameters!$B$7)*Factors!MK9+SQRT(Parameters!$B$9)*NORM.S.INV(RAND())</f>
        <v/>
      </c>
      <c r="ML9" s="19">
        <f>SQRT(Parameters!$B$5)*Factors!ML3+SQRT(Parameters!$B$6)*Factors!ML8+SQRT(Parameters!$B$7)*Factors!ML9+SQRT(Parameters!$B$9)*NORM.S.INV(RAND())</f>
        <v/>
      </c>
      <c r="MM9" s="19">
        <f>SQRT(Parameters!$B$5)*Factors!MM3+SQRT(Parameters!$B$6)*Factors!MM8+SQRT(Parameters!$B$7)*Factors!MM9+SQRT(Parameters!$B$9)*NORM.S.INV(RAND())</f>
        <v/>
      </c>
      <c r="MN9" s="19">
        <f>SQRT(Parameters!$B$5)*Factors!MN3+SQRT(Parameters!$B$6)*Factors!MN8+SQRT(Parameters!$B$7)*Factors!MN9+SQRT(Parameters!$B$9)*NORM.S.INV(RAND())</f>
        <v/>
      </c>
      <c r="MO9" s="19">
        <f>SQRT(Parameters!$B$5)*Factors!MO3+SQRT(Parameters!$B$6)*Factors!MO8+SQRT(Parameters!$B$7)*Factors!MO9+SQRT(Parameters!$B$9)*NORM.S.INV(RAND())</f>
        <v/>
      </c>
      <c r="MP9" s="19">
        <f>SQRT(Parameters!$B$5)*Factors!MP3+SQRT(Parameters!$B$6)*Factors!MP8+SQRT(Parameters!$B$7)*Factors!MP9+SQRT(Parameters!$B$9)*NORM.S.INV(RAND())</f>
        <v/>
      </c>
      <c r="MQ9" s="19">
        <f>SQRT(Parameters!$B$5)*Factors!MQ3+SQRT(Parameters!$B$6)*Factors!MQ8+SQRT(Parameters!$B$7)*Factors!MQ9+SQRT(Parameters!$B$9)*NORM.S.INV(RAND())</f>
        <v/>
      </c>
      <c r="MR9" s="19">
        <f>SQRT(Parameters!$B$5)*Factors!MR3+SQRT(Parameters!$B$6)*Factors!MR8+SQRT(Parameters!$B$7)*Factors!MR9+SQRT(Parameters!$B$9)*NORM.S.INV(RAND())</f>
        <v/>
      </c>
      <c r="MS9" s="19">
        <f>SQRT(Parameters!$B$5)*Factors!MS3+SQRT(Parameters!$B$6)*Factors!MS8+SQRT(Parameters!$B$7)*Factors!MS9+SQRT(Parameters!$B$9)*NORM.S.INV(RAND())</f>
        <v/>
      </c>
      <c r="MT9" s="19">
        <f>SQRT(Parameters!$B$5)*Factors!MT3+SQRT(Parameters!$B$6)*Factors!MT8+SQRT(Parameters!$B$7)*Factors!MT9+SQRT(Parameters!$B$9)*NORM.S.INV(RAND())</f>
        <v/>
      </c>
      <c r="MU9" s="19">
        <f>SQRT(Parameters!$B$5)*Factors!MU3+SQRT(Parameters!$B$6)*Factors!MU8+SQRT(Parameters!$B$7)*Factors!MU9+SQRT(Parameters!$B$9)*NORM.S.INV(RAND())</f>
        <v/>
      </c>
      <c r="MV9" s="19">
        <f>SQRT(Parameters!$B$5)*Factors!MV3+SQRT(Parameters!$B$6)*Factors!MV8+SQRT(Parameters!$B$7)*Factors!MV9+SQRT(Parameters!$B$9)*NORM.S.INV(RAND())</f>
        <v/>
      </c>
      <c r="MW9" s="19">
        <f>SQRT(Parameters!$B$5)*Factors!MW3+SQRT(Parameters!$B$6)*Factors!MW8+SQRT(Parameters!$B$7)*Factors!MW9+SQRT(Parameters!$B$9)*NORM.S.INV(RAND())</f>
        <v/>
      </c>
      <c r="MX9" s="19">
        <f>SQRT(Parameters!$B$5)*Factors!MX3+SQRT(Parameters!$B$6)*Factors!MX8+SQRT(Parameters!$B$7)*Factors!MX9+SQRT(Parameters!$B$9)*NORM.S.INV(RAND())</f>
        <v/>
      </c>
      <c r="MY9" s="19">
        <f>SQRT(Parameters!$B$5)*Factors!MY3+SQRT(Parameters!$B$6)*Factors!MY8+SQRT(Parameters!$B$7)*Factors!MY9+SQRT(Parameters!$B$9)*NORM.S.INV(RAND())</f>
        <v/>
      </c>
      <c r="MZ9" s="19">
        <f>SQRT(Parameters!$B$5)*Factors!MZ3+SQRT(Parameters!$B$6)*Factors!MZ8+SQRT(Parameters!$B$7)*Factors!MZ9+SQRT(Parameters!$B$9)*NORM.S.INV(RAND())</f>
        <v/>
      </c>
      <c r="NA9" s="19">
        <f>SQRT(Parameters!$B$5)*Factors!NA3+SQRT(Parameters!$B$6)*Factors!NA8+SQRT(Parameters!$B$7)*Factors!NA9+SQRT(Parameters!$B$9)*NORM.S.INV(RAND())</f>
        <v/>
      </c>
      <c r="NB9" s="19">
        <f>SQRT(Parameters!$B$5)*Factors!NB3+SQRT(Parameters!$B$6)*Factors!NB8+SQRT(Parameters!$B$7)*Factors!NB9+SQRT(Parameters!$B$9)*NORM.S.INV(RAND())</f>
        <v/>
      </c>
      <c r="NC9" s="19">
        <f>SQRT(Parameters!$B$5)*Factors!NC3+SQRT(Parameters!$B$6)*Factors!NC8+SQRT(Parameters!$B$7)*Factors!NC9+SQRT(Parameters!$B$9)*NORM.S.INV(RAND())</f>
        <v/>
      </c>
      <c r="ND9" s="19">
        <f>SQRT(Parameters!$B$5)*Factors!ND3+SQRT(Parameters!$B$6)*Factors!ND8+SQRT(Parameters!$B$7)*Factors!ND9+SQRT(Parameters!$B$9)*NORM.S.INV(RAND())</f>
        <v/>
      </c>
      <c r="NE9" s="19">
        <f>SQRT(Parameters!$B$5)*Factors!NE3+SQRT(Parameters!$B$6)*Factors!NE8+SQRT(Parameters!$B$7)*Factors!NE9+SQRT(Parameters!$B$9)*NORM.S.INV(RAND())</f>
        <v/>
      </c>
      <c r="NF9" s="19">
        <f>SQRT(Parameters!$B$5)*Factors!NF3+SQRT(Parameters!$B$6)*Factors!NF8+SQRT(Parameters!$B$7)*Factors!NF9+SQRT(Parameters!$B$9)*NORM.S.INV(RAND())</f>
        <v/>
      </c>
      <c r="NG9" s="19">
        <f>SQRT(Parameters!$B$5)*Factors!NG3+SQRT(Parameters!$B$6)*Factors!NG8+SQRT(Parameters!$B$7)*Factors!NG9+SQRT(Parameters!$B$9)*NORM.S.INV(RAND())</f>
        <v/>
      </c>
      <c r="NH9" s="19">
        <f>SQRT(Parameters!$B$5)*Factors!NH3+SQRT(Parameters!$B$6)*Factors!NH8+SQRT(Parameters!$B$7)*Factors!NH9+SQRT(Parameters!$B$9)*NORM.S.INV(RAND())</f>
        <v/>
      </c>
      <c r="NI9" s="19">
        <f>SQRT(Parameters!$B$5)*Factors!NI3+SQRT(Parameters!$B$6)*Factors!NI8+SQRT(Parameters!$B$7)*Factors!NI9+SQRT(Parameters!$B$9)*NORM.S.INV(RAND())</f>
        <v/>
      </c>
      <c r="NJ9" s="19">
        <f>SQRT(Parameters!$B$5)*Factors!NJ3+SQRT(Parameters!$B$6)*Factors!NJ8+SQRT(Parameters!$B$7)*Factors!NJ9+SQRT(Parameters!$B$9)*NORM.S.INV(RAND())</f>
        <v/>
      </c>
      <c r="NK9" s="19">
        <f>SQRT(Parameters!$B$5)*Factors!NK3+SQRT(Parameters!$B$6)*Factors!NK8+SQRT(Parameters!$B$7)*Factors!NK9+SQRT(Parameters!$B$9)*NORM.S.INV(RAND())</f>
        <v/>
      </c>
      <c r="NL9" s="19">
        <f>SQRT(Parameters!$B$5)*Factors!NL3+SQRT(Parameters!$B$6)*Factors!NL8+SQRT(Parameters!$B$7)*Factors!NL9+SQRT(Parameters!$B$9)*NORM.S.INV(RAND())</f>
        <v/>
      </c>
      <c r="NM9" s="19">
        <f>SQRT(Parameters!$B$5)*Factors!NM3+SQRT(Parameters!$B$6)*Factors!NM8+SQRT(Parameters!$B$7)*Factors!NM9+SQRT(Parameters!$B$9)*NORM.S.INV(RAND())</f>
        <v/>
      </c>
      <c r="NN9" s="19">
        <f>SQRT(Parameters!$B$5)*Factors!NN3+SQRT(Parameters!$B$6)*Factors!NN8+SQRT(Parameters!$B$7)*Factors!NN9+SQRT(Parameters!$B$9)*NORM.S.INV(RAND())</f>
        <v/>
      </c>
      <c r="NO9" s="19">
        <f>SQRT(Parameters!$B$5)*Factors!NO3+SQRT(Parameters!$B$6)*Factors!NO8+SQRT(Parameters!$B$7)*Factors!NO9+SQRT(Parameters!$B$9)*NORM.S.INV(RAND())</f>
        <v/>
      </c>
      <c r="NP9" s="19">
        <f>SQRT(Parameters!$B$5)*Factors!NP3+SQRT(Parameters!$B$6)*Factors!NP8+SQRT(Parameters!$B$7)*Factors!NP9+SQRT(Parameters!$B$9)*NORM.S.INV(RAND())</f>
        <v/>
      </c>
      <c r="NQ9" s="19">
        <f>SQRT(Parameters!$B$5)*Factors!NQ3+SQRT(Parameters!$B$6)*Factors!NQ8+SQRT(Parameters!$B$7)*Factors!NQ9+SQRT(Parameters!$B$9)*NORM.S.INV(RAND())</f>
        <v/>
      </c>
      <c r="NR9" s="19">
        <f>SQRT(Parameters!$B$5)*Factors!NR3+SQRT(Parameters!$B$6)*Factors!NR8+SQRT(Parameters!$B$7)*Factors!NR9+SQRT(Parameters!$B$9)*NORM.S.INV(RAND())</f>
        <v/>
      </c>
      <c r="NS9" s="19">
        <f>SQRT(Parameters!$B$5)*Factors!NS3+SQRT(Parameters!$B$6)*Factors!NS8+SQRT(Parameters!$B$7)*Factors!NS9+SQRT(Parameters!$B$9)*NORM.S.INV(RAND())</f>
        <v/>
      </c>
      <c r="NT9" s="19">
        <f>SQRT(Parameters!$B$5)*Factors!NT3+SQRT(Parameters!$B$6)*Factors!NT8+SQRT(Parameters!$B$7)*Factors!NT9+SQRT(Parameters!$B$9)*NORM.S.INV(RAND())</f>
        <v/>
      </c>
      <c r="NU9" s="19">
        <f>SQRT(Parameters!$B$5)*Factors!NU3+SQRT(Parameters!$B$6)*Factors!NU8+SQRT(Parameters!$B$7)*Factors!NU9+SQRT(Parameters!$B$9)*NORM.S.INV(RAND())</f>
        <v/>
      </c>
      <c r="NV9" s="19">
        <f>SQRT(Parameters!$B$5)*Factors!NV3+SQRT(Parameters!$B$6)*Factors!NV8+SQRT(Parameters!$B$7)*Factors!NV9+SQRT(Parameters!$B$9)*NORM.S.INV(RAND())</f>
        <v/>
      </c>
      <c r="NW9" s="19">
        <f>SQRT(Parameters!$B$5)*Factors!NW3+SQRT(Parameters!$B$6)*Factors!NW8+SQRT(Parameters!$B$7)*Factors!NW9+SQRT(Parameters!$B$9)*NORM.S.INV(RAND())</f>
        <v/>
      </c>
      <c r="NX9" s="19">
        <f>SQRT(Parameters!$B$5)*Factors!NX3+SQRT(Parameters!$B$6)*Factors!NX8+SQRT(Parameters!$B$7)*Factors!NX9+SQRT(Parameters!$B$9)*NORM.S.INV(RAND())</f>
        <v/>
      </c>
      <c r="NY9" s="19">
        <f>SQRT(Parameters!$B$5)*Factors!NY3+SQRT(Parameters!$B$6)*Factors!NY8+SQRT(Parameters!$B$7)*Factors!NY9+SQRT(Parameters!$B$9)*NORM.S.INV(RAND())</f>
        <v/>
      </c>
      <c r="NZ9" s="19">
        <f>SQRT(Parameters!$B$5)*Factors!NZ3+SQRT(Parameters!$B$6)*Factors!NZ8+SQRT(Parameters!$B$7)*Factors!NZ9+SQRT(Parameters!$B$9)*NORM.S.INV(RAND())</f>
        <v/>
      </c>
      <c r="OA9" s="19">
        <f>SQRT(Parameters!$B$5)*Factors!OA3+SQRT(Parameters!$B$6)*Factors!OA8+SQRT(Parameters!$B$7)*Factors!OA9+SQRT(Parameters!$B$9)*NORM.S.INV(RAND())</f>
        <v/>
      </c>
      <c r="OB9" s="19">
        <f>SQRT(Parameters!$B$5)*Factors!OB3+SQRT(Parameters!$B$6)*Factors!OB8+SQRT(Parameters!$B$7)*Factors!OB9+SQRT(Parameters!$B$9)*NORM.S.INV(RAND())</f>
        <v/>
      </c>
      <c r="OC9" s="19">
        <f>SQRT(Parameters!$B$5)*Factors!OC3+SQRT(Parameters!$B$6)*Factors!OC8+SQRT(Parameters!$B$7)*Factors!OC9+SQRT(Parameters!$B$9)*NORM.S.INV(RAND())</f>
        <v/>
      </c>
      <c r="OD9" s="19">
        <f>SQRT(Parameters!$B$5)*Factors!OD3+SQRT(Parameters!$B$6)*Factors!OD8+SQRT(Parameters!$B$7)*Factors!OD9+SQRT(Parameters!$B$9)*NORM.S.INV(RAND())</f>
        <v/>
      </c>
      <c r="OE9" s="19">
        <f>SQRT(Parameters!$B$5)*Factors!OE3+SQRT(Parameters!$B$6)*Factors!OE8+SQRT(Parameters!$B$7)*Factors!OE9+SQRT(Parameters!$B$9)*NORM.S.INV(RAND())</f>
        <v/>
      </c>
      <c r="OF9" s="19">
        <f>SQRT(Parameters!$B$5)*Factors!OF3+SQRT(Parameters!$B$6)*Factors!OF8+SQRT(Parameters!$B$7)*Factors!OF9+SQRT(Parameters!$B$9)*NORM.S.INV(RAND())</f>
        <v/>
      </c>
      <c r="OG9" s="19">
        <f>SQRT(Parameters!$B$5)*Factors!OG3+SQRT(Parameters!$B$6)*Factors!OG8+SQRT(Parameters!$B$7)*Factors!OG9+SQRT(Parameters!$B$9)*NORM.S.INV(RAND())</f>
        <v/>
      </c>
      <c r="OH9" s="19">
        <f>SQRT(Parameters!$B$5)*Factors!OH3+SQRT(Parameters!$B$6)*Factors!OH8+SQRT(Parameters!$B$7)*Factors!OH9+SQRT(Parameters!$B$9)*NORM.S.INV(RAND())</f>
        <v/>
      </c>
      <c r="OI9" s="19">
        <f>SQRT(Parameters!$B$5)*Factors!OI3+SQRT(Parameters!$B$6)*Factors!OI8+SQRT(Parameters!$B$7)*Factors!OI9+SQRT(Parameters!$B$9)*NORM.S.INV(RAND())</f>
        <v/>
      </c>
      <c r="OJ9" s="19">
        <f>SQRT(Parameters!$B$5)*Factors!OJ3+SQRT(Parameters!$B$6)*Factors!OJ8+SQRT(Parameters!$B$7)*Factors!OJ9+SQRT(Parameters!$B$9)*NORM.S.INV(RAND())</f>
        <v/>
      </c>
      <c r="OK9" s="19">
        <f>SQRT(Parameters!$B$5)*Factors!OK3+SQRT(Parameters!$B$6)*Factors!OK8+SQRT(Parameters!$B$7)*Factors!OK9+SQRT(Parameters!$B$9)*NORM.S.INV(RAND())</f>
        <v/>
      </c>
      <c r="OL9" s="19">
        <f>SQRT(Parameters!$B$5)*Factors!OL3+SQRT(Parameters!$B$6)*Factors!OL8+SQRT(Parameters!$B$7)*Factors!OL9+SQRT(Parameters!$B$9)*NORM.S.INV(RAND())</f>
        <v/>
      </c>
      <c r="OM9" s="19">
        <f>SQRT(Parameters!$B$5)*Factors!OM3+SQRT(Parameters!$B$6)*Factors!OM8+SQRT(Parameters!$B$7)*Factors!OM9+SQRT(Parameters!$B$9)*NORM.S.INV(RAND())</f>
        <v/>
      </c>
      <c r="ON9" s="19">
        <f>SQRT(Parameters!$B$5)*Factors!ON3+SQRT(Parameters!$B$6)*Factors!ON8+SQRT(Parameters!$B$7)*Factors!ON9+SQRT(Parameters!$B$9)*NORM.S.INV(RAND())</f>
        <v/>
      </c>
      <c r="OO9" s="19">
        <f>SQRT(Parameters!$B$5)*Factors!OO3+SQRT(Parameters!$B$6)*Factors!OO8+SQRT(Parameters!$B$7)*Factors!OO9+SQRT(Parameters!$B$9)*NORM.S.INV(RAND())</f>
        <v/>
      </c>
      <c r="OP9" s="19">
        <f>SQRT(Parameters!$B$5)*Factors!OP3+SQRT(Parameters!$B$6)*Factors!OP8+SQRT(Parameters!$B$7)*Factors!OP9+SQRT(Parameters!$B$9)*NORM.S.INV(RAND())</f>
        <v/>
      </c>
      <c r="OQ9" s="19">
        <f>SQRT(Parameters!$B$5)*Factors!OQ3+SQRT(Parameters!$B$6)*Factors!OQ8+SQRT(Parameters!$B$7)*Factors!OQ9+SQRT(Parameters!$B$9)*NORM.S.INV(RAND())</f>
        <v/>
      </c>
      <c r="OR9" s="19">
        <f>SQRT(Parameters!$B$5)*Factors!OR3+SQRT(Parameters!$B$6)*Factors!OR8+SQRT(Parameters!$B$7)*Factors!OR9+SQRT(Parameters!$B$9)*NORM.S.INV(RAND())</f>
        <v/>
      </c>
      <c r="OS9" s="19">
        <f>SQRT(Parameters!$B$5)*Factors!OS3+SQRT(Parameters!$B$6)*Factors!OS8+SQRT(Parameters!$B$7)*Factors!OS9+SQRT(Parameters!$B$9)*NORM.S.INV(RAND())</f>
        <v/>
      </c>
      <c r="OT9" s="19">
        <f>SQRT(Parameters!$B$5)*Factors!OT3+SQRT(Parameters!$B$6)*Factors!OT8+SQRT(Parameters!$B$7)*Factors!OT9+SQRT(Parameters!$B$9)*NORM.S.INV(RAND())</f>
        <v/>
      </c>
      <c r="OU9" s="19">
        <f>SQRT(Parameters!$B$5)*Factors!OU3+SQRT(Parameters!$B$6)*Factors!OU8+SQRT(Parameters!$B$7)*Factors!OU9+SQRT(Parameters!$B$9)*NORM.S.INV(RAND())</f>
        <v/>
      </c>
      <c r="OV9" s="19">
        <f>SQRT(Parameters!$B$5)*Factors!OV3+SQRT(Parameters!$B$6)*Factors!OV8+SQRT(Parameters!$B$7)*Factors!OV9+SQRT(Parameters!$B$9)*NORM.S.INV(RAND())</f>
        <v/>
      </c>
      <c r="OW9" s="19">
        <f>SQRT(Parameters!$B$5)*Factors!OW3+SQRT(Parameters!$B$6)*Factors!OW8+SQRT(Parameters!$B$7)*Factors!OW9+SQRT(Parameters!$B$9)*NORM.S.INV(RAND())</f>
        <v/>
      </c>
      <c r="OX9" s="19">
        <f>SQRT(Parameters!$B$5)*Factors!OX3+SQRT(Parameters!$B$6)*Factors!OX8+SQRT(Parameters!$B$7)*Factors!OX9+SQRT(Parameters!$B$9)*NORM.S.INV(RAND())</f>
        <v/>
      </c>
      <c r="OY9" s="19">
        <f>SQRT(Parameters!$B$5)*Factors!OY3+SQRT(Parameters!$B$6)*Factors!OY8+SQRT(Parameters!$B$7)*Factors!OY9+SQRT(Parameters!$B$9)*NORM.S.INV(RAND())</f>
        <v/>
      </c>
      <c r="OZ9" s="19">
        <f>SQRT(Parameters!$B$5)*Factors!OZ3+SQRT(Parameters!$B$6)*Factors!OZ8+SQRT(Parameters!$B$7)*Factors!OZ9+SQRT(Parameters!$B$9)*NORM.S.INV(RAND())</f>
        <v/>
      </c>
      <c r="PA9" s="19">
        <f>SQRT(Parameters!$B$5)*Factors!PA3+SQRT(Parameters!$B$6)*Factors!PA8+SQRT(Parameters!$B$7)*Factors!PA9+SQRT(Parameters!$B$9)*NORM.S.INV(RAND())</f>
        <v/>
      </c>
      <c r="PB9" s="19">
        <f>SQRT(Parameters!$B$5)*Factors!PB3+SQRT(Parameters!$B$6)*Factors!PB8+SQRT(Parameters!$B$7)*Factors!PB9+SQRT(Parameters!$B$9)*NORM.S.INV(RAND())</f>
        <v/>
      </c>
      <c r="PC9" s="19">
        <f>SQRT(Parameters!$B$5)*Factors!PC3+SQRT(Parameters!$B$6)*Factors!PC8+SQRT(Parameters!$B$7)*Factors!PC9+SQRT(Parameters!$B$9)*NORM.S.INV(RAND())</f>
        <v/>
      </c>
      <c r="PD9" s="19">
        <f>SQRT(Parameters!$B$5)*Factors!PD3+SQRT(Parameters!$B$6)*Factors!PD8+SQRT(Parameters!$B$7)*Factors!PD9+SQRT(Parameters!$B$9)*NORM.S.INV(RAND())</f>
        <v/>
      </c>
      <c r="PE9" s="19">
        <f>SQRT(Parameters!$B$5)*Factors!PE3+SQRT(Parameters!$B$6)*Factors!PE8+SQRT(Parameters!$B$7)*Factors!PE9+SQRT(Parameters!$B$9)*NORM.S.INV(RAND())</f>
        <v/>
      </c>
      <c r="PF9" s="19">
        <f>SQRT(Parameters!$B$5)*Factors!PF3+SQRT(Parameters!$B$6)*Factors!PF8+SQRT(Parameters!$B$7)*Factors!PF9+SQRT(Parameters!$B$9)*NORM.S.INV(RAND())</f>
        <v/>
      </c>
      <c r="PG9" s="19">
        <f>SQRT(Parameters!$B$5)*Factors!PG3+SQRT(Parameters!$B$6)*Factors!PG8+SQRT(Parameters!$B$7)*Factors!PG9+SQRT(Parameters!$B$9)*NORM.S.INV(RAND())</f>
        <v/>
      </c>
      <c r="PH9" s="19">
        <f>SQRT(Parameters!$B$5)*Factors!PH3+SQRT(Parameters!$B$6)*Factors!PH8+SQRT(Parameters!$B$7)*Factors!PH9+SQRT(Parameters!$B$9)*NORM.S.INV(RAND())</f>
        <v/>
      </c>
      <c r="PI9" s="19">
        <f>SQRT(Parameters!$B$5)*Factors!PI3+SQRT(Parameters!$B$6)*Factors!PI8+SQRT(Parameters!$B$7)*Factors!PI9+SQRT(Parameters!$B$9)*NORM.S.INV(RAND())</f>
        <v/>
      </c>
      <c r="PJ9" s="19">
        <f>SQRT(Parameters!$B$5)*Factors!PJ3+SQRT(Parameters!$B$6)*Factors!PJ8+SQRT(Parameters!$B$7)*Factors!PJ9+SQRT(Parameters!$B$9)*NORM.S.INV(RAND())</f>
        <v/>
      </c>
      <c r="PK9" s="19">
        <f>SQRT(Parameters!$B$5)*Factors!PK3+SQRT(Parameters!$B$6)*Factors!PK8+SQRT(Parameters!$B$7)*Factors!PK9+SQRT(Parameters!$B$9)*NORM.S.INV(RAND())</f>
        <v/>
      </c>
      <c r="PL9" s="19">
        <f>SQRT(Parameters!$B$5)*Factors!PL3+SQRT(Parameters!$B$6)*Factors!PL8+SQRT(Parameters!$B$7)*Factors!PL9+SQRT(Parameters!$B$9)*NORM.S.INV(RAND())</f>
        <v/>
      </c>
      <c r="PM9" s="19">
        <f>SQRT(Parameters!$B$5)*Factors!PM3+SQRT(Parameters!$B$6)*Factors!PM8+SQRT(Parameters!$B$7)*Factors!PM9+SQRT(Parameters!$B$9)*NORM.S.INV(RAND())</f>
        <v/>
      </c>
      <c r="PN9" s="19">
        <f>SQRT(Parameters!$B$5)*Factors!PN3+SQRT(Parameters!$B$6)*Factors!PN8+SQRT(Parameters!$B$7)*Factors!PN9+SQRT(Parameters!$B$9)*NORM.S.INV(RAND())</f>
        <v/>
      </c>
      <c r="PO9" s="19">
        <f>SQRT(Parameters!$B$5)*Factors!PO3+SQRT(Parameters!$B$6)*Factors!PO8+SQRT(Parameters!$B$7)*Factors!PO9+SQRT(Parameters!$B$9)*NORM.S.INV(RAND())</f>
        <v/>
      </c>
      <c r="PP9" s="19">
        <f>SQRT(Parameters!$B$5)*Factors!PP3+SQRT(Parameters!$B$6)*Factors!PP8+SQRT(Parameters!$B$7)*Factors!PP9+SQRT(Parameters!$B$9)*NORM.S.INV(RAND())</f>
        <v/>
      </c>
      <c r="PQ9" s="19">
        <f>SQRT(Parameters!$B$5)*Factors!PQ3+SQRT(Parameters!$B$6)*Factors!PQ8+SQRT(Parameters!$B$7)*Factors!PQ9+SQRT(Parameters!$B$9)*NORM.S.INV(RAND())</f>
        <v/>
      </c>
      <c r="PR9" s="19">
        <f>SQRT(Parameters!$B$5)*Factors!PR3+SQRT(Parameters!$B$6)*Factors!PR8+SQRT(Parameters!$B$7)*Factors!PR9+SQRT(Parameters!$B$9)*NORM.S.INV(RAND())</f>
        <v/>
      </c>
      <c r="PS9" s="19">
        <f>SQRT(Parameters!$B$5)*Factors!PS3+SQRT(Parameters!$B$6)*Factors!PS8+SQRT(Parameters!$B$7)*Factors!PS9+SQRT(Parameters!$B$9)*NORM.S.INV(RAND())</f>
        <v/>
      </c>
      <c r="PT9" s="19">
        <f>SQRT(Parameters!$B$5)*Factors!PT3+SQRT(Parameters!$B$6)*Factors!PT8+SQRT(Parameters!$B$7)*Factors!PT9+SQRT(Parameters!$B$9)*NORM.S.INV(RAND())</f>
        <v/>
      </c>
      <c r="PU9" s="19">
        <f>SQRT(Parameters!$B$5)*Factors!PU3+SQRT(Parameters!$B$6)*Factors!PU8+SQRT(Parameters!$B$7)*Factors!PU9+SQRT(Parameters!$B$9)*NORM.S.INV(RAND())</f>
        <v/>
      </c>
      <c r="PV9" s="19">
        <f>SQRT(Parameters!$B$5)*Factors!PV3+SQRT(Parameters!$B$6)*Factors!PV8+SQRT(Parameters!$B$7)*Factors!PV9+SQRT(Parameters!$B$9)*NORM.S.INV(RAND())</f>
        <v/>
      </c>
      <c r="PW9" s="19">
        <f>SQRT(Parameters!$B$5)*Factors!PW3+SQRT(Parameters!$B$6)*Factors!PW8+SQRT(Parameters!$B$7)*Factors!PW9+SQRT(Parameters!$B$9)*NORM.S.INV(RAND())</f>
        <v/>
      </c>
      <c r="PX9" s="19">
        <f>SQRT(Parameters!$B$5)*Factors!PX3+SQRT(Parameters!$B$6)*Factors!PX8+SQRT(Parameters!$B$7)*Factors!PX9+SQRT(Parameters!$B$9)*NORM.S.INV(RAND())</f>
        <v/>
      </c>
      <c r="PY9" s="19">
        <f>SQRT(Parameters!$B$5)*Factors!PY3+SQRT(Parameters!$B$6)*Factors!PY8+SQRT(Parameters!$B$7)*Factors!PY9+SQRT(Parameters!$B$9)*NORM.S.INV(RAND())</f>
        <v/>
      </c>
      <c r="PZ9" s="19">
        <f>SQRT(Parameters!$B$5)*Factors!PZ3+SQRT(Parameters!$B$6)*Factors!PZ8+SQRT(Parameters!$B$7)*Factors!PZ9+SQRT(Parameters!$B$9)*NORM.S.INV(RAND())</f>
        <v/>
      </c>
      <c r="QA9" s="19">
        <f>SQRT(Parameters!$B$5)*Factors!QA3+SQRT(Parameters!$B$6)*Factors!QA8+SQRT(Parameters!$B$7)*Factors!QA9+SQRT(Parameters!$B$9)*NORM.S.INV(RAND())</f>
        <v/>
      </c>
      <c r="QB9" s="19">
        <f>SQRT(Parameters!$B$5)*Factors!QB3+SQRT(Parameters!$B$6)*Factors!QB8+SQRT(Parameters!$B$7)*Factors!QB9+SQRT(Parameters!$B$9)*NORM.S.INV(RAND())</f>
        <v/>
      </c>
      <c r="QC9" s="19">
        <f>SQRT(Parameters!$B$5)*Factors!QC3+SQRT(Parameters!$B$6)*Factors!QC8+SQRT(Parameters!$B$7)*Factors!QC9+SQRT(Parameters!$B$9)*NORM.S.INV(RAND())</f>
        <v/>
      </c>
      <c r="QD9" s="19">
        <f>SQRT(Parameters!$B$5)*Factors!QD3+SQRT(Parameters!$B$6)*Factors!QD8+SQRT(Parameters!$B$7)*Factors!QD9+SQRT(Parameters!$B$9)*NORM.S.INV(RAND())</f>
        <v/>
      </c>
      <c r="QE9" s="19">
        <f>SQRT(Parameters!$B$5)*Factors!QE3+SQRT(Parameters!$B$6)*Factors!QE8+SQRT(Parameters!$B$7)*Factors!QE9+SQRT(Parameters!$B$9)*NORM.S.INV(RAND())</f>
        <v/>
      </c>
      <c r="QF9" s="19">
        <f>SQRT(Parameters!$B$5)*Factors!QF3+SQRT(Parameters!$B$6)*Factors!QF8+SQRT(Parameters!$B$7)*Factors!QF9+SQRT(Parameters!$B$9)*NORM.S.INV(RAND())</f>
        <v/>
      </c>
      <c r="QG9" s="19">
        <f>SQRT(Parameters!$B$5)*Factors!QG3+SQRT(Parameters!$B$6)*Factors!QG8+SQRT(Parameters!$B$7)*Factors!QG9+SQRT(Parameters!$B$9)*NORM.S.INV(RAND())</f>
        <v/>
      </c>
      <c r="QH9" s="19">
        <f>SQRT(Parameters!$B$5)*Factors!QH3+SQRT(Parameters!$B$6)*Factors!QH8+SQRT(Parameters!$B$7)*Factors!QH9+SQRT(Parameters!$B$9)*NORM.S.INV(RAND())</f>
        <v/>
      </c>
      <c r="QI9" s="19">
        <f>SQRT(Parameters!$B$5)*Factors!QI3+SQRT(Parameters!$B$6)*Factors!QI8+SQRT(Parameters!$B$7)*Factors!QI9+SQRT(Parameters!$B$9)*NORM.S.INV(RAND())</f>
        <v/>
      </c>
      <c r="QJ9" s="19">
        <f>SQRT(Parameters!$B$5)*Factors!QJ3+SQRT(Parameters!$B$6)*Factors!QJ8+SQRT(Parameters!$B$7)*Factors!QJ9+SQRT(Parameters!$B$9)*NORM.S.INV(RAND())</f>
        <v/>
      </c>
      <c r="QK9" s="19">
        <f>SQRT(Parameters!$B$5)*Factors!QK3+SQRT(Parameters!$B$6)*Factors!QK8+SQRT(Parameters!$B$7)*Factors!QK9+SQRT(Parameters!$B$9)*NORM.S.INV(RAND())</f>
        <v/>
      </c>
      <c r="QL9" s="19">
        <f>SQRT(Parameters!$B$5)*Factors!QL3+SQRT(Parameters!$B$6)*Factors!QL8+SQRT(Parameters!$B$7)*Factors!QL9+SQRT(Parameters!$B$9)*NORM.S.INV(RAND())</f>
        <v/>
      </c>
      <c r="QM9" s="19">
        <f>SQRT(Parameters!$B$5)*Factors!QM3+SQRT(Parameters!$B$6)*Factors!QM8+SQRT(Parameters!$B$7)*Factors!QM9+SQRT(Parameters!$B$9)*NORM.S.INV(RAND())</f>
        <v/>
      </c>
      <c r="QN9" s="19">
        <f>SQRT(Parameters!$B$5)*Factors!QN3+SQRT(Parameters!$B$6)*Factors!QN8+SQRT(Parameters!$B$7)*Factors!QN9+SQRT(Parameters!$B$9)*NORM.S.INV(RAND())</f>
        <v/>
      </c>
      <c r="QO9" s="19">
        <f>SQRT(Parameters!$B$5)*Factors!QO3+SQRT(Parameters!$B$6)*Factors!QO8+SQRT(Parameters!$B$7)*Factors!QO9+SQRT(Parameters!$B$9)*NORM.S.INV(RAND())</f>
        <v/>
      </c>
      <c r="QP9" s="19">
        <f>SQRT(Parameters!$B$5)*Factors!QP3+SQRT(Parameters!$B$6)*Factors!QP8+SQRT(Parameters!$B$7)*Factors!QP9+SQRT(Parameters!$B$9)*NORM.S.INV(RAND())</f>
        <v/>
      </c>
      <c r="QQ9" s="19">
        <f>SQRT(Parameters!$B$5)*Factors!QQ3+SQRT(Parameters!$B$6)*Factors!QQ8+SQRT(Parameters!$B$7)*Factors!QQ9+SQRT(Parameters!$B$9)*NORM.S.INV(RAND())</f>
        <v/>
      </c>
      <c r="QR9" s="19">
        <f>SQRT(Parameters!$B$5)*Factors!QR3+SQRT(Parameters!$B$6)*Factors!QR8+SQRT(Parameters!$B$7)*Factors!QR9+SQRT(Parameters!$B$9)*NORM.S.INV(RAND())</f>
        <v/>
      </c>
      <c r="QS9" s="19">
        <f>SQRT(Parameters!$B$5)*Factors!QS3+SQRT(Parameters!$B$6)*Factors!QS8+SQRT(Parameters!$B$7)*Factors!QS9+SQRT(Parameters!$B$9)*NORM.S.INV(RAND())</f>
        <v/>
      </c>
      <c r="QT9" s="19">
        <f>SQRT(Parameters!$B$5)*Factors!QT3+SQRT(Parameters!$B$6)*Factors!QT8+SQRT(Parameters!$B$7)*Factors!QT9+SQRT(Parameters!$B$9)*NORM.S.INV(RAND())</f>
        <v/>
      </c>
      <c r="QU9" s="19">
        <f>SQRT(Parameters!$B$5)*Factors!QU3+SQRT(Parameters!$B$6)*Factors!QU8+SQRT(Parameters!$B$7)*Factors!QU9+SQRT(Parameters!$B$9)*NORM.S.INV(RAND())</f>
        <v/>
      </c>
      <c r="QV9" s="19">
        <f>SQRT(Parameters!$B$5)*Factors!QV3+SQRT(Parameters!$B$6)*Factors!QV8+SQRT(Parameters!$B$7)*Factors!QV9+SQRT(Parameters!$B$9)*NORM.S.INV(RAND())</f>
        <v/>
      </c>
      <c r="QW9" s="19">
        <f>SQRT(Parameters!$B$5)*Factors!QW3+SQRT(Parameters!$B$6)*Factors!QW8+SQRT(Parameters!$B$7)*Factors!QW9+SQRT(Parameters!$B$9)*NORM.S.INV(RAND())</f>
        <v/>
      </c>
      <c r="QX9" s="19">
        <f>SQRT(Parameters!$B$5)*Factors!QX3+SQRT(Parameters!$B$6)*Factors!QX8+SQRT(Parameters!$B$7)*Factors!QX9+SQRT(Parameters!$B$9)*NORM.S.INV(RAND())</f>
        <v/>
      </c>
      <c r="QY9" s="19">
        <f>SQRT(Parameters!$B$5)*Factors!QY3+SQRT(Parameters!$B$6)*Factors!QY8+SQRT(Parameters!$B$7)*Factors!QY9+SQRT(Parameters!$B$9)*NORM.S.INV(RAND())</f>
        <v/>
      </c>
      <c r="QZ9" s="19">
        <f>SQRT(Parameters!$B$5)*Factors!QZ3+SQRT(Parameters!$B$6)*Factors!QZ8+SQRT(Parameters!$B$7)*Factors!QZ9+SQRT(Parameters!$B$9)*NORM.S.INV(RAND())</f>
        <v/>
      </c>
      <c r="RA9" s="19">
        <f>SQRT(Parameters!$B$5)*Factors!RA3+SQRT(Parameters!$B$6)*Factors!RA8+SQRT(Parameters!$B$7)*Factors!RA9+SQRT(Parameters!$B$9)*NORM.S.INV(RAND())</f>
        <v/>
      </c>
      <c r="RB9" s="19">
        <f>SQRT(Parameters!$B$5)*Factors!RB3+SQRT(Parameters!$B$6)*Factors!RB8+SQRT(Parameters!$B$7)*Factors!RB9+SQRT(Parameters!$B$9)*NORM.S.INV(RAND())</f>
        <v/>
      </c>
      <c r="RC9" s="19">
        <f>SQRT(Parameters!$B$5)*Factors!RC3+SQRT(Parameters!$B$6)*Factors!RC8+SQRT(Parameters!$B$7)*Factors!RC9+SQRT(Parameters!$B$9)*NORM.S.INV(RAND())</f>
        <v/>
      </c>
      <c r="RD9" s="19">
        <f>SQRT(Parameters!$B$5)*Factors!RD3+SQRT(Parameters!$B$6)*Factors!RD8+SQRT(Parameters!$B$7)*Factors!RD9+SQRT(Parameters!$B$9)*NORM.S.INV(RAND())</f>
        <v/>
      </c>
      <c r="RE9" s="19">
        <f>SQRT(Parameters!$B$5)*Factors!RE3+SQRT(Parameters!$B$6)*Factors!RE8+SQRT(Parameters!$B$7)*Factors!RE9+SQRT(Parameters!$B$9)*NORM.S.INV(RAND())</f>
        <v/>
      </c>
      <c r="RF9" s="19">
        <f>SQRT(Parameters!$B$5)*Factors!RF3+SQRT(Parameters!$B$6)*Factors!RF8+SQRT(Parameters!$B$7)*Factors!RF9+SQRT(Parameters!$B$9)*NORM.S.INV(RAND())</f>
        <v/>
      </c>
      <c r="RG9" s="19">
        <f>SQRT(Parameters!$B$5)*Factors!RG3+SQRT(Parameters!$B$6)*Factors!RG8+SQRT(Parameters!$B$7)*Factors!RG9+SQRT(Parameters!$B$9)*NORM.S.INV(RAND())</f>
        <v/>
      </c>
      <c r="RH9" s="19">
        <f>SQRT(Parameters!$B$5)*Factors!RH3+SQRT(Parameters!$B$6)*Factors!RH8+SQRT(Parameters!$B$7)*Factors!RH9+SQRT(Parameters!$B$9)*NORM.S.INV(RAND())</f>
        <v/>
      </c>
      <c r="RI9" s="19">
        <f>SQRT(Parameters!$B$5)*Factors!RI3+SQRT(Parameters!$B$6)*Factors!RI8+SQRT(Parameters!$B$7)*Factors!RI9+SQRT(Parameters!$B$9)*NORM.S.INV(RAND())</f>
        <v/>
      </c>
      <c r="RJ9" s="19">
        <f>SQRT(Parameters!$B$5)*Factors!RJ3+SQRT(Parameters!$B$6)*Factors!RJ8+SQRT(Parameters!$B$7)*Factors!RJ9+SQRT(Parameters!$B$9)*NORM.S.INV(RAND())</f>
        <v/>
      </c>
      <c r="RK9" s="19">
        <f>SQRT(Parameters!$B$5)*Factors!RK3+SQRT(Parameters!$B$6)*Factors!RK8+SQRT(Parameters!$B$7)*Factors!RK9+SQRT(Parameters!$B$9)*NORM.S.INV(RAND())</f>
        <v/>
      </c>
      <c r="RL9" s="19">
        <f>SQRT(Parameters!$B$5)*Factors!RL3+SQRT(Parameters!$B$6)*Factors!RL8+SQRT(Parameters!$B$7)*Factors!RL9+SQRT(Parameters!$B$9)*NORM.S.INV(RAND())</f>
        <v/>
      </c>
      <c r="RM9" s="19">
        <f>SQRT(Parameters!$B$5)*Factors!RM3+SQRT(Parameters!$B$6)*Factors!RM8+SQRT(Parameters!$B$7)*Factors!RM9+SQRT(Parameters!$B$9)*NORM.S.INV(RAND())</f>
        <v/>
      </c>
      <c r="RN9" s="19">
        <f>SQRT(Parameters!$B$5)*Factors!RN3+SQRT(Parameters!$B$6)*Factors!RN8+SQRT(Parameters!$B$7)*Factors!RN9+SQRT(Parameters!$B$9)*NORM.S.INV(RAND())</f>
        <v/>
      </c>
      <c r="RO9" s="19">
        <f>SQRT(Parameters!$B$5)*Factors!RO3+SQRT(Parameters!$B$6)*Factors!RO8+SQRT(Parameters!$B$7)*Factors!RO9+SQRT(Parameters!$B$9)*NORM.S.INV(RAND())</f>
        <v/>
      </c>
      <c r="RP9" s="19">
        <f>SQRT(Parameters!$B$5)*Factors!RP3+SQRT(Parameters!$B$6)*Factors!RP8+SQRT(Parameters!$B$7)*Factors!RP9+SQRT(Parameters!$B$9)*NORM.S.INV(RAND())</f>
        <v/>
      </c>
      <c r="RQ9" s="19">
        <f>SQRT(Parameters!$B$5)*Factors!RQ3+SQRT(Parameters!$B$6)*Factors!RQ8+SQRT(Parameters!$B$7)*Factors!RQ9+SQRT(Parameters!$B$9)*NORM.S.INV(RAND())</f>
        <v/>
      </c>
      <c r="RR9" s="19">
        <f>SQRT(Parameters!$B$5)*Factors!RR3+SQRT(Parameters!$B$6)*Factors!RR8+SQRT(Parameters!$B$7)*Factors!RR9+SQRT(Parameters!$B$9)*NORM.S.INV(RAND())</f>
        <v/>
      </c>
      <c r="RS9" s="19">
        <f>SQRT(Parameters!$B$5)*Factors!RS3+SQRT(Parameters!$B$6)*Factors!RS8+SQRT(Parameters!$B$7)*Factors!RS9+SQRT(Parameters!$B$9)*NORM.S.INV(RAND())</f>
        <v/>
      </c>
      <c r="RT9" s="19">
        <f>SQRT(Parameters!$B$5)*Factors!RT3+SQRT(Parameters!$B$6)*Factors!RT8+SQRT(Parameters!$B$7)*Factors!RT9+SQRT(Parameters!$B$9)*NORM.S.INV(RAND())</f>
        <v/>
      </c>
      <c r="RU9" s="19">
        <f>SQRT(Parameters!$B$5)*Factors!RU3+SQRT(Parameters!$B$6)*Factors!RU8+SQRT(Parameters!$B$7)*Factors!RU9+SQRT(Parameters!$B$9)*NORM.S.INV(RAND())</f>
        <v/>
      </c>
      <c r="RV9" s="19">
        <f>SQRT(Parameters!$B$5)*Factors!RV3+SQRT(Parameters!$B$6)*Factors!RV8+SQRT(Parameters!$B$7)*Factors!RV9+SQRT(Parameters!$B$9)*NORM.S.INV(RAND())</f>
        <v/>
      </c>
      <c r="RW9" s="19">
        <f>SQRT(Parameters!$B$5)*Factors!RW3+SQRT(Parameters!$B$6)*Factors!RW8+SQRT(Parameters!$B$7)*Factors!RW9+SQRT(Parameters!$B$9)*NORM.S.INV(RAND())</f>
        <v/>
      </c>
      <c r="RX9" s="19">
        <f>SQRT(Parameters!$B$5)*Factors!RX3+SQRT(Parameters!$B$6)*Factors!RX8+SQRT(Parameters!$B$7)*Factors!RX9+SQRT(Parameters!$B$9)*NORM.S.INV(RAND())</f>
        <v/>
      </c>
      <c r="RY9" s="19">
        <f>SQRT(Parameters!$B$5)*Factors!RY3+SQRT(Parameters!$B$6)*Factors!RY8+SQRT(Parameters!$B$7)*Factors!RY9+SQRT(Parameters!$B$9)*NORM.S.INV(RAND())</f>
        <v/>
      </c>
      <c r="RZ9" s="19">
        <f>SQRT(Parameters!$B$5)*Factors!RZ3+SQRT(Parameters!$B$6)*Factors!RZ8+SQRT(Parameters!$B$7)*Factors!RZ9+SQRT(Parameters!$B$9)*NORM.S.INV(RAND())</f>
        <v/>
      </c>
      <c r="SA9" s="19">
        <f>SQRT(Parameters!$B$5)*Factors!SA3+SQRT(Parameters!$B$6)*Factors!SA8+SQRT(Parameters!$B$7)*Factors!SA9+SQRT(Parameters!$B$9)*NORM.S.INV(RAND())</f>
        <v/>
      </c>
      <c r="SB9" s="19">
        <f>SQRT(Parameters!$B$5)*Factors!SB3+SQRT(Parameters!$B$6)*Factors!SB8+SQRT(Parameters!$B$7)*Factors!SB9+SQRT(Parameters!$B$9)*NORM.S.INV(RAND())</f>
        <v/>
      </c>
      <c r="SC9" s="19">
        <f>SQRT(Parameters!$B$5)*Factors!SC3+SQRT(Parameters!$B$6)*Factors!SC8+SQRT(Parameters!$B$7)*Factors!SC9+SQRT(Parameters!$B$9)*NORM.S.INV(RAND())</f>
        <v/>
      </c>
      <c r="SD9" s="19">
        <f>SQRT(Parameters!$B$5)*Factors!SD3+SQRT(Parameters!$B$6)*Factors!SD8+SQRT(Parameters!$B$7)*Factors!SD9+SQRT(Parameters!$B$9)*NORM.S.INV(RAND())</f>
        <v/>
      </c>
      <c r="SE9" s="19">
        <f>SQRT(Parameters!$B$5)*Factors!SE3+SQRT(Parameters!$B$6)*Factors!SE8+SQRT(Parameters!$B$7)*Factors!SE9+SQRT(Parameters!$B$9)*NORM.S.INV(RAND())</f>
        <v/>
      </c>
      <c r="SF9" s="19">
        <f>SQRT(Parameters!$B$5)*Factors!SF3+SQRT(Parameters!$B$6)*Factors!SF8+SQRT(Parameters!$B$7)*Factors!SF9+SQRT(Parameters!$B$9)*NORM.S.INV(RAND())</f>
        <v/>
      </c>
      <c r="SG9" s="19">
        <f>SQRT(Parameters!$B$5)*Factors!SG3+SQRT(Parameters!$B$6)*Factors!SG8+SQRT(Parameters!$B$7)*Factors!SG9+SQRT(Parameters!$B$9)*NORM.S.INV(RAND())</f>
        <v/>
      </c>
    </row>
    <row r="10">
      <c r="A10" s="17" t="inlineStr">
        <is>
          <t>OBL-009</t>
        </is>
      </c>
      <c r="B10" s="19">
        <f>SQRT(Parameters!$B$5)*Factors!B3+SQRT(Parameters!$B$6)*Factors!B7+SQRT(Parameters!$B$7)*Factors!B10+SQRT(Parameters!$B$9)*NORM.S.INV(RAND())</f>
        <v/>
      </c>
      <c r="C10" s="19">
        <f>SQRT(Parameters!$B$5)*Factors!C3+SQRT(Parameters!$B$6)*Factors!C7+SQRT(Parameters!$B$7)*Factors!C10+SQRT(Parameters!$B$9)*NORM.S.INV(RAND())</f>
        <v/>
      </c>
      <c r="D10" s="19">
        <f>SQRT(Parameters!$B$5)*Factors!D3+SQRT(Parameters!$B$6)*Factors!D7+SQRT(Parameters!$B$7)*Factors!D10+SQRT(Parameters!$B$9)*NORM.S.INV(RAND())</f>
        <v/>
      </c>
      <c r="E10" s="19">
        <f>SQRT(Parameters!$B$5)*Factors!E3+SQRT(Parameters!$B$6)*Factors!E7+SQRT(Parameters!$B$7)*Factors!E10+SQRT(Parameters!$B$9)*NORM.S.INV(RAND())</f>
        <v/>
      </c>
      <c r="F10" s="19">
        <f>SQRT(Parameters!$B$5)*Factors!F3+SQRT(Parameters!$B$6)*Factors!F7+SQRT(Parameters!$B$7)*Factors!F10+SQRT(Parameters!$B$9)*NORM.S.INV(RAND())</f>
        <v/>
      </c>
      <c r="G10" s="19">
        <f>SQRT(Parameters!$B$5)*Factors!G3+SQRT(Parameters!$B$6)*Factors!G7+SQRT(Parameters!$B$7)*Factors!G10+SQRT(Parameters!$B$9)*NORM.S.INV(RAND())</f>
        <v/>
      </c>
      <c r="H10" s="19">
        <f>SQRT(Parameters!$B$5)*Factors!H3+SQRT(Parameters!$B$6)*Factors!H7+SQRT(Parameters!$B$7)*Factors!H10+SQRT(Parameters!$B$9)*NORM.S.INV(RAND())</f>
        <v/>
      </c>
      <c r="I10" s="19">
        <f>SQRT(Parameters!$B$5)*Factors!I3+SQRT(Parameters!$B$6)*Factors!I7+SQRT(Parameters!$B$7)*Factors!I10+SQRT(Parameters!$B$9)*NORM.S.INV(RAND())</f>
        <v/>
      </c>
      <c r="J10" s="19">
        <f>SQRT(Parameters!$B$5)*Factors!J3+SQRT(Parameters!$B$6)*Factors!J7+SQRT(Parameters!$B$7)*Factors!J10+SQRT(Parameters!$B$9)*NORM.S.INV(RAND())</f>
        <v/>
      </c>
      <c r="K10" s="19">
        <f>SQRT(Parameters!$B$5)*Factors!K3+SQRT(Parameters!$B$6)*Factors!K7+SQRT(Parameters!$B$7)*Factors!K10+SQRT(Parameters!$B$9)*NORM.S.INV(RAND())</f>
        <v/>
      </c>
      <c r="L10" s="19">
        <f>SQRT(Parameters!$B$5)*Factors!L3+SQRT(Parameters!$B$6)*Factors!L7+SQRT(Parameters!$B$7)*Factors!L10+SQRT(Parameters!$B$9)*NORM.S.INV(RAND())</f>
        <v/>
      </c>
      <c r="M10" s="19">
        <f>SQRT(Parameters!$B$5)*Factors!M3+SQRT(Parameters!$B$6)*Factors!M7+SQRT(Parameters!$B$7)*Factors!M10+SQRT(Parameters!$B$9)*NORM.S.INV(RAND())</f>
        <v/>
      </c>
      <c r="N10" s="19">
        <f>SQRT(Parameters!$B$5)*Factors!N3+SQRT(Parameters!$B$6)*Factors!N7+SQRT(Parameters!$B$7)*Factors!N10+SQRT(Parameters!$B$9)*NORM.S.INV(RAND())</f>
        <v/>
      </c>
      <c r="O10" s="19">
        <f>SQRT(Parameters!$B$5)*Factors!O3+SQRT(Parameters!$B$6)*Factors!O7+SQRT(Parameters!$B$7)*Factors!O10+SQRT(Parameters!$B$9)*NORM.S.INV(RAND())</f>
        <v/>
      </c>
      <c r="P10" s="19">
        <f>SQRT(Parameters!$B$5)*Factors!P3+SQRT(Parameters!$B$6)*Factors!P7+SQRT(Parameters!$B$7)*Factors!P10+SQRT(Parameters!$B$9)*NORM.S.INV(RAND())</f>
        <v/>
      </c>
      <c r="Q10" s="19">
        <f>SQRT(Parameters!$B$5)*Factors!Q3+SQRT(Parameters!$B$6)*Factors!Q7+SQRT(Parameters!$B$7)*Factors!Q10+SQRT(Parameters!$B$9)*NORM.S.INV(RAND())</f>
        <v/>
      </c>
      <c r="R10" s="19">
        <f>SQRT(Parameters!$B$5)*Factors!R3+SQRT(Parameters!$B$6)*Factors!R7+SQRT(Parameters!$B$7)*Factors!R10+SQRT(Parameters!$B$9)*NORM.S.INV(RAND())</f>
        <v/>
      </c>
      <c r="S10" s="19">
        <f>SQRT(Parameters!$B$5)*Factors!S3+SQRT(Parameters!$B$6)*Factors!S7+SQRT(Parameters!$B$7)*Factors!S10+SQRT(Parameters!$B$9)*NORM.S.INV(RAND())</f>
        <v/>
      </c>
      <c r="T10" s="19">
        <f>SQRT(Parameters!$B$5)*Factors!T3+SQRT(Parameters!$B$6)*Factors!T7+SQRT(Parameters!$B$7)*Factors!T10+SQRT(Parameters!$B$9)*NORM.S.INV(RAND())</f>
        <v/>
      </c>
      <c r="U10" s="19">
        <f>SQRT(Parameters!$B$5)*Factors!U3+SQRT(Parameters!$B$6)*Factors!U7+SQRT(Parameters!$B$7)*Factors!U10+SQRT(Parameters!$B$9)*NORM.S.INV(RAND())</f>
        <v/>
      </c>
      <c r="V10" s="19">
        <f>SQRT(Parameters!$B$5)*Factors!V3+SQRT(Parameters!$B$6)*Factors!V7+SQRT(Parameters!$B$7)*Factors!V10+SQRT(Parameters!$B$9)*NORM.S.INV(RAND())</f>
        <v/>
      </c>
      <c r="W10" s="19">
        <f>SQRT(Parameters!$B$5)*Factors!W3+SQRT(Parameters!$B$6)*Factors!W7+SQRT(Parameters!$B$7)*Factors!W10+SQRT(Parameters!$B$9)*NORM.S.INV(RAND())</f>
        <v/>
      </c>
      <c r="X10" s="19">
        <f>SQRT(Parameters!$B$5)*Factors!X3+SQRT(Parameters!$B$6)*Factors!X7+SQRT(Parameters!$B$7)*Factors!X10+SQRT(Parameters!$B$9)*NORM.S.INV(RAND())</f>
        <v/>
      </c>
      <c r="Y10" s="19">
        <f>SQRT(Parameters!$B$5)*Factors!Y3+SQRT(Parameters!$B$6)*Factors!Y7+SQRT(Parameters!$B$7)*Factors!Y10+SQRT(Parameters!$B$9)*NORM.S.INV(RAND())</f>
        <v/>
      </c>
      <c r="Z10" s="19">
        <f>SQRT(Parameters!$B$5)*Factors!Z3+SQRT(Parameters!$B$6)*Factors!Z7+SQRT(Parameters!$B$7)*Factors!Z10+SQRT(Parameters!$B$9)*NORM.S.INV(RAND())</f>
        <v/>
      </c>
      <c r="AA10" s="19">
        <f>SQRT(Parameters!$B$5)*Factors!AA3+SQRT(Parameters!$B$6)*Factors!AA7+SQRT(Parameters!$B$7)*Factors!AA10+SQRT(Parameters!$B$9)*NORM.S.INV(RAND())</f>
        <v/>
      </c>
      <c r="AB10" s="19">
        <f>SQRT(Parameters!$B$5)*Factors!AB3+SQRT(Parameters!$B$6)*Factors!AB7+SQRT(Parameters!$B$7)*Factors!AB10+SQRT(Parameters!$B$9)*NORM.S.INV(RAND())</f>
        <v/>
      </c>
      <c r="AC10" s="19">
        <f>SQRT(Parameters!$B$5)*Factors!AC3+SQRT(Parameters!$B$6)*Factors!AC7+SQRT(Parameters!$B$7)*Factors!AC10+SQRT(Parameters!$B$9)*NORM.S.INV(RAND())</f>
        <v/>
      </c>
      <c r="AD10" s="19">
        <f>SQRT(Parameters!$B$5)*Factors!AD3+SQRT(Parameters!$B$6)*Factors!AD7+SQRT(Parameters!$B$7)*Factors!AD10+SQRT(Parameters!$B$9)*NORM.S.INV(RAND())</f>
        <v/>
      </c>
      <c r="AE10" s="19">
        <f>SQRT(Parameters!$B$5)*Factors!AE3+SQRT(Parameters!$B$6)*Factors!AE7+SQRT(Parameters!$B$7)*Factors!AE10+SQRT(Parameters!$B$9)*NORM.S.INV(RAND())</f>
        <v/>
      </c>
      <c r="AF10" s="19">
        <f>SQRT(Parameters!$B$5)*Factors!AF3+SQRT(Parameters!$B$6)*Factors!AF7+SQRT(Parameters!$B$7)*Factors!AF10+SQRT(Parameters!$B$9)*NORM.S.INV(RAND())</f>
        <v/>
      </c>
      <c r="AG10" s="19">
        <f>SQRT(Parameters!$B$5)*Factors!AG3+SQRT(Parameters!$B$6)*Factors!AG7+SQRT(Parameters!$B$7)*Factors!AG10+SQRT(Parameters!$B$9)*NORM.S.INV(RAND())</f>
        <v/>
      </c>
      <c r="AH10" s="19">
        <f>SQRT(Parameters!$B$5)*Factors!AH3+SQRT(Parameters!$B$6)*Factors!AH7+SQRT(Parameters!$B$7)*Factors!AH10+SQRT(Parameters!$B$9)*NORM.S.INV(RAND())</f>
        <v/>
      </c>
      <c r="AI10" s="19">
        <f>SQRT(Parameters!$B$5)*Factors!AI3+SQRT(Parameters!$B$6)*Factors!AI7+SQRT(Parameters!$B$7)*Factors!AI10+SQRT(Parameters!$B$9)*NORM.S.INV(RAND())</f>
        <v/>
      </c>
      <c r="AJ10" s="19">
        <f>SQRT(Parameters!$B$5)*Factors!AJ3+SQRT(Parameters!$B$6)*Factors!AJ7+SQRT(Parameters!$B$7)*Factors!AJ10+SQRT(Parameters!$B$9)*NORM.S.INV(RAND())</f>
        <v/>
      </c>
      <c r="AK10" s="19">
        <f>SQRT(Parameters!$B$5)*Factors!AK3+SQRT(Parameters!$B$6)*Factors!AK7+SQRT(Parameters!$B$7)*Factors!AK10+SQRT(Parameters!$B$9)*NORM.S.INV(RAND())</f>
        <v/>
      </c>
      <c r="AL10" s="19">
        <f>SQRT(Parameters!$B$5)*Factors!AL3+SQRT(Parameters!$B$6)*Factors!AL7+SQRT(Parameters!$B$7)*Factors!AL10+SQRT(Parameters!$B$9)*NORM.S.INV(RAND())</f>
        <v/>
      </c>
      <c r="AM10" s="19">
        <f>SQRT(Parameters!$B$5)*Factors!AM3+SQRT(Parameters!$B$6)*Factors!AM7+SQRT(Parameters!$B$7)*Factors!AM10+SQRT(Parameters!$B$9)*NORM.S.INV(RAND())</f>
        <v/>
      </c>
      <c r="AN10" s="19">
        <f>SQRT(Parameters!$B$5)*Factors!AN3+SQRT(Parameters!$B$6)*Factors!AN7+SQRT(Parameters!$B$7)*Factors!AN10+SQRT(Parameters!$B$9)*NORM.S.INV(RAND())</f>
        <v/>
      </c>
      <c r="AO10" s="19">
        <f>SQRT(Parameters!$B$5)*Factors!AO3+SQRT(Parameters!$B$6)*Factors!AO7+SQRT(Parameters!$B$7)*Factors!AO10+SQRT(Parameters!$B$9)*NORM.S.INV(RAND())</f>
        <v/>
      </c>
      <c r="AP10" s="19">
        <f>SQRT(Parameters!$B$5)*Factors!AP3+SQRT(Parameters!$B$6)*Factors!AP7+SQRT(Parameters!$B$7)*Factors!AP10+SQRT(Parameters!$B$9)*NORM.S.INV(RAND())</f>
        <v/>
      </c>
      <c r="AQ10" s="19">
        <f>SQRT(Parameters!$B$5)*Factors!AQ3+SQRT(Parameters!$B$6)*Factors!AQ7+SQRT(Parameters!$B$7)*Factors!AQ10+SQRT(Parameters!$B$9)*NORM.S.INV(RAND())</f>
        <v/>
      </c>
      <c r="AR10" s="19">
        <f>SQRT(Parameters!$B$5)*Factors!AR3+SQRT(Parameters!$B$6)*Factors!AR7+SQRT(Parameters!$B$7)*Factors!AR10+SQRT(Parameters!$B$9)*NORM.S.INV(RAND())</f>
        <v/>
      </c>
      <c r="AS10" s="19">
        <f>SQRT(Parameters!$B$5)*Factors!AS3+SQRT(Parameters!$B$6)*Factors!AS7+SQRT(Parameters!$B$7)*Factors!AS10+SQRT(Parameters!$B$9)*NORM.S.INV(RAND())</f>
        <v/>
      </c>
      <c r="AT10" s="19">
        <f>SQRT(Parameters!$B$5)*Factors!AT3+SQRT(Parameters!$B$6)*Factors!AT7+SQRT(Parameters!$B$7)*Factors!AT10+SQRT(Parameters!$B$9)*NORM.S.INV(RAND())</f>
        <v/>
      </c>
      <c r="AU10" s="19">
        <f>SQRT(Parameters!$B$5)*Factors!AU3+SQRT(Parameters!$B$6)*Factors!AU7+SQRT(Parameters!$B$7)*Factors!AU10+SQRT(Parameters!$B$9)*NORM.S.INV(RAND())</f>
        <v/>
      </c>
      <c r="AV10" s="19">
        <f>SQRT(Parameters!$B$5)*Factors!AV3+SQRT(Parameters!$B$6)*Factors!AV7+SQRT(Parameters!$B$7)*Factors!AV10+SQRT(Parameters!$B$9)*NORM.S.INV(RAND())</f>
        <v/>
      </c>
      <c r="AW10" s="19">
        <f>SQRT(Parameters!$B$5)*Factors!AW3+SQRT(Parameters!$B$6)*Factors!AW7+SQRT(Parameters!$B$7)*Factors!AW10+SQRT(Parameters!$B$9)*NORM.S.INV(RAND())</f>
        <v/>
      </c>
      <c r="AX10" s="19">
        <f>SQRT(Parameters!$B$5)*Factors!AX3+SQRT(Parameters!$B$6)*Factors!AX7+SQRT(Parameters!$B$7)*Factors!AX10+SQRT(Parameters!$B$9)*NORM.S.INV(RAND())</f>
        <v/>
      </c>
      <c r="AY10" s="19">
        <f>SQRT(Parameters!$B$5)*Factors!AY3+SQRT(Parameters!$B$6)*Factors!AY7+SQRT(Parameters!$B$7)*Factors!AY10+SQRT(Parameters!$B$9)*NORM.S.INV(RAND())</f>
        <v/>
      </c>
      <c r="AZ10" s="19">
        <f>SQRT(Parameters!$B$5)*Factors!AZ3+SQRT(Parameters!$B$6)*Factors!AZ7+SQRT(Parameters!$B$7)*Factors!AZ10+SQRT(Parameters!$B$9)*NORM.S.INV(RAND())</f>
        <v/>
      </c>
      <c r="BA10" s="19">
        <f>SQRT(Parameters!$B$5)*Factors!BA3+SQRT(Parameters!$B$6)*Factors!BA7+SQRT(Parameters!$B$7)*Factors!BA10+SQRT(Parameters!$B$9)*NORM.S.INV(RAND())</f>
        <v/>
      </c>
      <c r="BB10" s="19">
        <f>SQRT(Parameters!$B$5)*Factors!BB3+SQRT(Parameters!$B$6)*Factors!BB7+SQRT(Parameters!$B$7)*Factors!BB10+SQRT(Parameters!$B$9)*NORM.S.INV(RAND())</f>
        <v/>
      </c>
      <c r="BC10" s="19">
        <f>SQRT(Parameters!$B$5)*Factors!BC3+SQRT(Parameters!$B$6)*Factors!BC7+SQRT(Parameters!$B$7)*Factors!BC10+SQRT(Parameters!$B$9)*NORM.S.INV(RAND())</f>
        <v/>
      </c>
      <c r="BD10" s="19">
        <f>SQRT(Parameters!$B$5)*Factors!BD3+SQRT(Parameters!$B$6)*Factors!BD7+SQRT(Parameters!$B$7)*Factors!BD10+SQRT(Parameters!$B$9)*NORM.S.INV(RAND())</f>
        <v/>
      </c>
      <c r="BE10" s="19">
        <f>SQRT(Parameters!$B$5)*Factors!BE3+SQRT(Parameters!$B$6)*Factors!BE7+SQRT(Parameters!$B$7)*Factors!BE10+SQRT(Parameters!$B$9)*NORM.S.INV(RAND())</f>
        <v/>
      </c>
      <c r="BF10" s="19">
        <f>SQRT(Parameters!$B$5)*Factors!BF3+SQRT(Parameters!$B$6)*Factors!BF7+SQRT(Parameters!$B$7)*Factors!BF10+SQRT(Parameters!$B$9)*NORM.S.INV(RAND())</f>
        <v/>
      </c>
      <c r="BG10" s="19">
        <f>SQRT(Parameters!$B$5)*Factors!BG3+SQRT(Parameters!$B$6)*Factors!BG7+SQRT(Parameters!$B$7)*Factors!BG10+SQRT(Parameters!$B$9)*NORM.S.INV(RAND())</f>
        <v/>
      </c>
      <c r="BH10" s="19">
        <f>SQRT(Parameters!$B$5)*Factors!BH3+SQRT(Parameters!$B$6)*Factors!BH7+SQRT(Parameters!$B$7)*Factors!BH10+SQRT(Parameters!$B$9)*NORM.S.INV(RAND())</f>
        <v/>
      </c>
      <c r="BI10" s="19">
        <f>SQRT(Parameters!$B$5)*Factors!BI3+SQRT(Parameters!$B$6)*Factors!BI7+SQRT(Parameters!$B$7)*Factors!BI10+SQRT(Parameters!$B$9)*NORM.S.INV(RAND())</f>
        <v/>
      </c>
      <c r="BJ10" s="19">
        <f>SQRT(Parameters!$B$5)*Factors!BJ3+SQRT(Parameters!$B$6)*Factors!BJ7+SQRT(Parameters!$B$7)*Factors!BJ10+SQRT(Parameters!$B$9)*NORM.S.INV(RAND())</f>
        <v/>
      </c>
      <c r="BK10" s="19">
        <f>SQRT(Parameters!$B$5)*Factors!BK3+SQRT(Parameters!$B$6)*Factors!BK7+SQRT(Parameters!$B$7)*Factors!BK10+SQRT(Parameters!$B$9)*NORM.S.INV(RAND())</f>
        <v/>
      </c>
      <c r="BL10" s="19">
        <f>SQRT(Parameters!$B$5)*Factors!BL3+SQRT(Parameters!$B$6)*Factors!BL7+SQRT(Parameters!$B$7)*Factors!BL10+SQRT(Parameters!$B$9)*NORM.S.INV(RAND())</f>
        <v/>
      </c>
      <c r="BM10" s="19">
        <f>SQRT(Parameters!$B$5)*Factors!BM3+SQRT(Parameters!$B$6)*Factors!BM7+SQRT(Parameters!$B$7)*Factors!BM10+SQRT(Parameters!$B$9)*NORM.S.INV(RAND())</f>
        <v/>
      </c>
      <c r="BN10" s="19">
        <f>SQRT(Parameters!$B$5)*Factors!BN3+SQRT(Parameters!$B$6)*Factors!BN7+SQRT(Parameters!$B$7)*Factors!BN10+SQRT(Parameters!$B$9)*NORM.S.INV(RAND())</f>
        <v/>
      </c>
      <c r="BO10" s="19">
        <f>SQRT(Parameters!$B$5)*Factors!BO3+SQRT(Parameters!$B$6)*Factors!BO7+SQRT(Parameters!$B$7)*Factors!BO10+SQRT(Parameters!$B$9)*NORM.S.INV(RAND())</f>
        <v/>
      </c>
      <c r="BP10" s="19">
        <f>SQRT(Parameters!$B$5)*Factors!BP3+SQRT(Parameters!$B$6)*Factors!BP7+SQRT(Parameters!$B$7)*Factors!BP10+SQRT(Parameters!$B$9)*NORM.S.INV(RAND())</f>
        <v/>
      </c>
      <c r="BQ10" s="19">
        <f>SQRT(Parameters!$B$5)*Factors!BQ3+SQRT(Parameters!$B$6)*Factors!BQ7+SQRT(Parameters!$B$7)*Factors!BQ10+SQRT(Parameters!$B$9)*NORM.S.INV(RAND())</f>
        <v/>
      </c>
      <c r="BR10" s="19">
        <f>SQRT(Parameters!$B$5)*Factors!BR3+SQRT(Parameters!$B$6)*Factors!BR7+SQRT(Parameters!$B$7)*Factors!BR10+SQRT(Parameters!$B$9)*NORM.S.INV(RAND())</f>
        <v/>
      </c>
      <c r="BS10" s="19">
        <f>SQRT(Parameters!$B$5)*Factors!BS3+SQRT(Parameters!$B$6)*Factors!BS7+SQRT(Parameters!$B$7)*Factors!BS10+SQRT(Parameters!$B$9)*NORM.S.INV(RAND())</f>
        <v/>
      </c>
      <c r="BT10" s="19">
        <f>SQRT(Parameters!$B$5)*Factors!BT3+SQRT(Parameters!$B$6)*Factors!BT7+SQRT(Parameters!$B$7)*Factors!BT10+SQRT(Parameters!$B$9)*NORM.S.INV(RAND())</f>
        <v/>
      </c>
      <c r="BU10" s="19">
        <f>SQRT(Parameters!$B$5)*Factors!BU3+SQRT(Parameters!$B$6)*Factors!BU7+SQRT(Parameters!$B$7)*Factors!BU10+SQRT(Parameters!$B$9)*NORM.S.INV(RAND())</f>
        <v/>
      </c>
      <c r="BV10" s="19">
        <f>SQRT(Parameters!$B$5)*Factors!BV3+SQRT(Parameters!$B$6)*Factors!BV7+SQRT(Parameters!$B$7)*Factors!BV10+SQRT(Parameters!$B$9)*NORM.S.INV(RAND())</f>
        <v/>
      </c>
      <c r="BW10" s="19">
        <f>SQRT(Parameters!$B$5)*Factors!BW3+SQRT(Parameters!$B$6)*Factors!BW7+SQRT(Parameters!$B$7)*Factors!BW10+SQRT(Parameters!$B$9)*NORM.S.INV(RAND())</f>
        <v/>
      </c>
      <c r="BX10" s="19">
        <f>SQRT(Parameters!$B$5)*Factors!BX3+SQRT(Parameters!$B$6)*Factors!BX7+SQRT(Parameters!$B$7)*Factors!BX10+SQRT(Parameters!$B$9)*NORM.S.INV(RAND())</f>
        <v/>
      </c>
      <c r="BY10" s="19">
        <f>SQRT(Parameters!$B$5)*Factors!BY3+SQRT(Parameters!$B$6)*Factors!BY7+SQRT(Parameters!$B$7)*Factors!BY10+SQRT(Parameters!$B$9)*NORM.S.INV(RAND())</f>
        <v/>
      </c>
      <c r="BZ10" s="19">
        <f>SQRT(Parameters!$B$5)*Factors!BZ3+SQRT(Parameters!$B$6)*Factors!BZ7+SQRT(Parameters!$B$7)*Factors!BZ10+SQRT(Parameters!$B$9)*NORM.S.INV(RAND())</f>
        <v/>
      </c>
      <c r="CA10" s="19">
        <f>SQRT(Parameters!$B$5)*Factors!CA3+SQRT(Parameters!$B$6)*Factors!CA7+SQRT(Parameters!$B$7)*Factors!CA10+SQRT(Parameters!$B$9)*NORM.S.INV(RAND())</f>
        <v/>
      </c>
      <c r="CB10" s="19">
        <f>SQRT(Parameters!$B$5)*Factors!CB3+SQRT(Parameters!$B$6)*Factors!CB7+SQRT(Parameters!$B$7)*Factors!CB10+SQRT(Parameters!$B$9)*NORM.S.INV(RAND())</f>
        <v/>
      </c>
      <c r="CC10" s="19">
        <f>SQRT(Parameters!$B$5)*Factors!CC3+SQRT(Parameters!$B$6)*Factors!CC7+SQRT(Parameters!$B$7)*Factors!CC10+SQRT(Parameters!$B$9)*NORM.S.INV(RAND())</f>
        <v/>
      </c>
      <c r="CD10" s="19">
        <f>SQRT(Parameters!$B$5)*Factors!CD3+SQRT(Parameters!$B$6)*Factors!CD7+SQRT(Parameters!$B$7)*Factors!CD10+SQRT(Parameters!$B$9)*NORM.S.INV(RAND())</f>
        <v/>
      </c>
      <c r="CE10" s="19">
        <f>SQRT(Parameters!$B$5)*Factors!CE3+SQRT(Parameters!$B$6)*Factors!CE7+SQRT(Parameters!$B$7)*Factors!CE10+SQRT(Parameters!$B$9)*NORM.S.INV(RAND())</f>
        <v/>
      </c>
      <c r="CF10" s="19">
        <f>SQRT(Parameters!$B$5)*Factors!CF3+SQRT(Parameters!$B$6)*Factors!CF7+SQRT(Parameters!$B$7)*Factors!CF10+SQRT(Parameters!$B$9)*NORM.S.INV(RAND())</f>
        <v/>
      </c>
      <c r="CG10" s="19">
        <f>SQRT(Parameters!$B$5)*Factors!CG3+SQRT(Parameters!$B$6)*Factors!CG7+SQRT(Parameters!$B$7)*Factors!CG10+SQRT(Parameters!$B$9)*NORM.S.INV(RAND())</f>
        <v/>
      </c>
      <c r="CH10" s="19">
        <f>SQRT(Parameters!$B$5)*Factors!CH3+SQRT(Parameters!$B$6)*Factors!CH7+SQRT(Parameters!$B$7)*Factors!CH10+SQRT(Parameters!$B$9)*NORM.S.INV(RAND())</f>
        <v/>
      </c>
      <c r="CI10" s="19">
        <f>SQRT(Parameters!$B$5)*Factors!CI3+SQRT(Parameters!$B$6)*Factors!CI7+SQRT(Parameters!$B$7)*Factors!CI10+SQRT(Parameters!$B$9)*NORM.S.INV(RAND())</f>
        <v/>
      </c>
      <c r="CJ10" s="19">
        <f>SQRT(Parameters!$B$5)*Factors!CJ3+SQRT(Parameters!$B$6)*Factors!CJ7+SQRT(Parameters!$B$7)*Factors!CJ10+SQRT(Parameters!$B$9)*NORM.S.INV(RAND())</f>
        <v/>
      </c>
      <c r="CK10" s="19">
        <f>SQRT(Parameters!$B$5)*Factors!CK3+SQRT(Parameters!$B$6)*Factors!CK7+SQRT(Parameters!$B$7)*Factors!CK10+SQRT(Parameters!$B$9)*NORM.S.INV(RAND())</f>
        <v/>
      </c>
      <c r="CL10" s="19">
        <f>SQRT(Parameters!$B$5)*Factors!CL3+SQRT(Parameters!$B$6)*Factors!CL7+SQRT(Parameters!$B$7)*Factors!CL10+SQRT(Parameters!$B$9)*NORM.S.INV(RAND())</f>
        <v/>
      </c>
      <c r="CM10" s="19">
        <f>SQRT(Parameters!$B$5)*Factors!CM3+SQRT(Parameters!$B$6)*Factors!CM7+SQRT(Parameters!$B$7)*Factors!CM10+SQRT(Parameters!$B$9)*NORM.S.INV(RAND())</f>
        <v/>
      </c>
      <c r="CN10" s="19">
        <f>SQRT(Parameters!$B$5)*Factors!CN3+SQRT(Parameters!$B$6)*Factors!CN7+SQRT(Parameters!$B$7)*Factors!CN10+SQRT(Parameters!$B$9)*NORM.S.INV(RAND())</f>
        <v/>
      </c>
      <c r="CO10" s="19">
        <f>SQRT(Parameters!$B$5)*Factors!CO3+SQRT(Parameters!$B$6)*Factors!CO7+SQRT(Parameters!$B$7)*Factors!CO10+SQRT(Parameters!$B$9)*NORM.S.INV(RAND())</f>
        <v/>
      </c>
      <c r="CP10" s="19">
        <f>SQRT(Parameters!$B$5)*Factors!CP3+SQRT(Parameters!$B$6)*Factors!CP7+SQRT(Parameters!$B$7)*Factors!CP10+SQRT(Parameters!$B$9)*NORM.S.INV(RAND())</f>
        <v/>
      </c>
      <c r="CQ10" s="19">
        <f>SQRT(Parameters!$B$5)*Factors!CQ3+SQRT(Parameters!$B$6)*Factors!CQ7+SQRT(Parameters!$B$7)*Factors!CQ10+SQRT(Parameters!$B$9)*NORM.S.INV(RAND())</f>
        <v/>
      </c>
      <c r="CR10" s="19">
        <f>SQRT(Parameters!$B$5)*Factors!CR3+SQRT(Parameters!$B$6)*Factors!CR7+SQRT(Parameters!$B$7)*Factors!CR10+SQRT(Parameters!$B$9)*NORM.S.INV(RAND())</f>
        <v/>
      </c>
      <c r="CS10" s="19">
        <f>SQRT(Parameters!$B$5)*Factors!CS3+SQRT(Parameters!$B$6)*Factors!CS7+SQRT(Parameters!$B$7)*Factors!CS10+SQRT(Parameters!$B$9)*NORM.S.INV(RAND())</f>
        <v/>
      </c>
      <c r="CT10" s="19">
        <f>SQRT(Parameters!$B$5)*Factors!CT3+SQRT(Parameters!$B$6)*Factors!CT7+SQRT(Parameters!$B$7)*Factors!CT10+SQRT(Parameters!$B$9)*NORM.S.INV(RAND())</f>
        <v/>
      </c>
      <c r="CU10" s="19">
        <f>SQRT(Parameters!$B$5)*Factors!CU3+SQRT(Parameters!$B$6)*Factors!CU7+SQRT(Parameters!$B$7)*Factors!CU10+SQRT(Parameters!$B$9)*NORM.S.INV(RAND())</f>
        <v/>
      </c>
      <c r="CV10" s="19">
        <f>SQRT(Parameters!$B$5)*Factors!CV3+SQRT(Parameters!$B$6)*Factors!CV7+SQRT(Parameters!$B$7)*Factors!CV10+SQRT(Parameters!$B$9)*NORM.S.INV(RAND())</f>
        <v/>
      </c>
      <c r="CW10" s="19">
        <f>SQRT(Parameters!$B$5)*Factors!CW3+SQRT(Parameters!$B$6)*Factors!CW7+SQRT(Parameters!$B$7)*Factors!CW10+SQRT(Parameters!$B$9)*NORM.S.INV(RAND())</f>
        <v/>
      </c>
      <c r="CX10" s="19">
        <f>SQRT(Parameters!$B$5)*Factors!CX3+SQRT(Parameters!$B$6)*Factors!CX7+SQRT(Parameters!$B$7)*Factors!CX10+SQRT(Parameters!$B$9)*NORM.S.INV(RAND())</f>
        <v/>
      </c>
      <c r="CY10" s="19">
        <f>SQRT(Parameters!$B$5)*Factors!CY3+SQRT(Parameters!$B$6)*Factors!CY7+SQRT(Parameters!$B$7)*Factors!CY10+SQRT(Parameters!$B$9)*NORM.S.INV(RAND())</f>
        <v/>
      </c>
      <c r="CZ10" s="19">
        <f>SQRT(Parameters!$B$5)*Factors!CZ3+SQRT(Parameters!$B$6)*Factors!CZ7+SQRT(Parameters!$B$7)*Factors!CZ10+SQRT(Parameters!$B$9)*NORM.S.INV(RAND())</f>
        <v/>
      </c>
      <c r="DA10" s="19">
        <f>SQRT(Parameters!$B$5)*Factors!DA3+SQRT(Parameters!$B$6)*Factors!DA7+SQRT(Parameters!$B$7)*Factors!DA10+SQRT(Parameters!$B$9)*NORM.S.INV(RAND())</f>
        <v/>
      </c>
      <c r="DB10" s="19">
        <f>SQRT(Parameters!$B$5)*Factors!DB3+SQRT(Parameters!$B$6)*Factors!DB7+SQRT(Parameters!$B$7)*Factors!DB10+SQRT(Parameters!$B$9)*NORM.S.INV(RAND())</f>
        <v/>
      </c>
      <c r="DC10" s="19">
        <f>SQRT(Parameters!$B$5)*Factors!DC3+SQRT(Parameters!$B$6)*Factors!DC7+SQRT(Parameters!$B$7)*Factors!DC10+SQRT(Parameters!$B$9)*NORM.S.INV(RAND())</f>
        <v/>
      </c>
      <c r="DD10" s="19">
        <f>SQRT(Parameters!$B$5)*Factors!DD3+SQRT(Parameters!$B$6)*Factors!DD7+SQRT(Parameters!$B$7)*Factors!DD10+SQRT(Parameters!$B$9)*NORM.S.INV(RAND())</f>
        <v/>
      </c>
      <c r="DE10" s="19">
        <f>SQRT(Parameters!$B$5)*Factors!DE3+SQRT(Parameters!$B$6)*Factors!DE7+SQRT(Parameters!$B$7)*Factors!DE10+SQRT(Parameters!$B$9)*NORM.S.INV(RAND())</f>
        <v/>
      </c>
      <c r="DF10" s="19">
        <f>SQRT(Parameters!$B$5)*Factors!DF3+SQRT(Parameters!$B$6)*Factors!DF7+SQRT(Parameters!$B$7)*Factors!DF10+SQRT(Parameters!$B$9)*NORM.S.INV(RAND())</f>
        <v/>
      </c>
      <c r="DG10" s="19">
        <f>SQRT(Parameters!$B$5)*Factors!DG3+SQRT(Parameters!$B$6)*Factors!DG7+SQRT(Parameters!$B$7)*Factors!DG10+SQRT(Parameters!$B$9)*NORM.S.INV(RAND())</f>
        <v/>
      </c>
      <c r="DH10" s="19">
        <f>SQRT(Parameters!$B$5)*Factors!DH3+SQRT(Parameters!$B$6)*Factors!DH7+SQRT(Parameters!$B$7)*Factors!DH10+SQRT(Parameters!$B$9)*NORM.S.INV(RAND())</f>
        <v/>
      </c>
      <c r="DI10" s="19">
        <f>SQRT(Parameters!$B$5)*Factors!DI3+SQRT(Parameters!$B$6)*Factors!DI7+SQRT(Parameters!$B$7)*Factors!DI10+SQRT(Parameters!$B$9)*NORM.S.INV(RAND())</f>
        <v/>
      </c>
      <c r="DJ10" s="19">
        <f>SQRT(Parameters!$B$5)*Factors!DJ3+SQRT(Parameters!$B$6)*Factors!DJ7+SQRT(Parameters!$B$7)*Factors!DJ10+SQRT(Parameters!$B$9)*NORM.S.INV(RAND())</f>
        <v/>
      </c>
      <c r="DK10" s="19">
        <f>SQRT(Parameters!$B$5)*Factors!DK3+SQRT(Parameters!$B$6)*Factors!DK7+SQRT(Parameters!$B$7)*Factors!DK10+SQRT(Parameters!$B$9)*NORM.S.INV(RAND())</f>
        <v/>
      </c>
      <c r="DL10" s="19">
        <f>SQRT(Parameters!$B$5)*Factors!DL3+SQRT(Parameters!$B$6)*Factors!DL7+SQRT(Parameters!$B$7)*Factors!DL10+SQRT(Parameters!$B$9)*NORM.S.INV(RAND())</f>
        <v/>
      </c>
      <c r="DM10" s="19">
        <f>SQRT(Parameters!$B$5)*Factors!DM3+SQRT(Parameters!$B$6)*Factors!DM7+SQRT(Parameters!$B$7)*Factors!DM10+SQRT(Parameters!$B$9)*NORM.S.INV(RAND())</f>
        <v/>
      </c>
      <c r="DN10" s="19">
        <f>SQRT(Parameters!$B$5)*Factors!DN3+SQRT(Parameters!$B$6)*Factors!DN7+SQRT(Parameters!$B$7)*Factors!DN10+SQRT(Parameters!$B$9)*NORM.S.INV(RAND())</f>
        <v/>
      </c>
      <c r="DO10" s="19">
        <f>SQRT(Parameters!$B$5)*Factors!DO3+SQRT(Parameters!$B$6)*Factors!DO7+SQRT(Parameters!$B$7)*Factors!DO10+SQRT(Parameters!$B$9)*NORM.S.INV(RAND())</f>
        <v/>
      </c>
      <c r="DP10" s="19">
        <f>SQRT(Parameters!$B$5)*Factors!DP3+SQRT(Parameters!$B$6)*Factors!DP7+SQRT(Parameters!$B$7)*Factors!DP10+SQRT(Parameters!$B$9)*NORM.S.INV(RAND())</f>
        <v/>
      </c>
      <c r="DQ10" s="19">
        <f>SQRT(Parameters!$B$5)*Factors!DQ3+SQRT(Parameters!$B$6)*Factors!DQ7+SQRT(Parameters!$B$7)*Factors!DQ10+SQRT(Parameters!$B$9)*NORM.S.INV(RAND())</f>
        <v/>
      </c>
      <c r="DR10" s="19">
        <f>SQRT(Parameters!$B$5)*Factors!DR3+SQRT(Parameters!$B$6)*Factors!DR7+SQRT(Parameters!$B$7)*Factors!DR10+SQRT(Parameters!$B$9)*NORM.S.INV(RAND())</f>
        <v/>
      </c>
      <c r="DS10" s="19">
        <f>SQRT(Parameters!$B$5)*Factors!DS3+SQRT(Parameters!$B$6)*Factors!DS7+SQRT(Parameters!$B$7)*Factors!DS10+SQRT(Parameters!$B$9)*NORM.S.INV(RAND())</f>
        <v/>
      </c>
      <c r="DT10" s="19">
        <f>SQRT(Parameters!$B$5)*Factors!DT3+SQRT(Parameters!$B$6)*Factors!DT7+SQRT(Parameters!$B$7)*Factors!DT10+SQRT(Parameters!$B$9)*NORM.S.INV(RAND())</f>
        <v/>
      </c>
      <c r="DU10" s="19">
        <f>SQRT(Parameters!$B$5)*Factors!DU3+SQRT(Parameters!$B$6)*Factors!DU7+SQRT(Parameters!$B$7)*Factors!DU10+SQRT(Parameters!$B$9)*NORM.S.INV(RAND())</f>
        <v/>
      </c>
      <c r="DV10" s="19">
        <f>SQRT(Parameters!$B$5)*Factors!DV3+SQRT(Parameters!$B$6)*Factors!DV7+SQRT(Parameters!$B$7)*Factors!DV10+SQRT(Parameters!$B$9)*NORM.S.INV(RAND())</f>
        <v/>
      </c>
      <c r="DW10" s="19">
        <f>SQRT(Parameters!$B$5)*Factors!DW3+SQRT(Parameters!$B$6)*Factors!DW7+SQRT(Parameters!$B$7)*Factors!DW10+SQRT(Parameters!$B$9)*NORM.S.INV(RAND())</f>
        <v/>
      </c>
      <c r="DX10" s="19">
        <f>SQRT(Parameters!$B$5)*Factors!DX3+SQRT(Parameters!$B$6)*Factors!DX7+SQRT(Parameters!$B$7)*Factors!DX10+SQRT(Parameters!$B$9)*NORM.S.INV(RAND())</f>
        <v/>
      </c>
      <c r="DY10" s="19">
        <f>SQRT(Parameters!$B$5)*Factors!DY3+SQRT(Parameters!$B$6)*Factors!DY7+SQRT(Parameters!$B$7)*Factors!DY10+SQRT(Parameters!$B$9)*NORM.S.INV(RAND())</f>
        <v/>
      </c>
      <c r="DZ10" s="19">
        <f>SQRT(Parameters!$B$5)*Factors!DZ3+SQRT(Parameters!$B$6)*Factors!DZ7+SQRT(Parameters!$B$7)*Factors!DZ10+SQRT(Parameters!$B$9)*NORM.S.INV(RAND())</f>
        <v/>
      </c>
      <c r="EA10" s="19">
        <f>SQRT(Parameters!$B$5)*Factors!EA3+SQRT(Parameters!$B$6)*Factors!EA7+SQRT(Parameters!$B$7)*Factors!EA10+SQRT(Parameters!$B$9)*NORM.S.INV(RAND())</f>
        <v/>
      </c>
      <c r="EB10" s="19">
        <f>SQRT(Parameters!$B$5)*Factors!EB3+SQRT(Parameters!$B$6)*Factors!EB7+SQRT(Parameters!$B$7)*Factors!EB10+SQRT(Parameters!$B$9)*NORM.S.INV(RAND())</f>
        <v/>
      </c>
      <c r="EC10" s="19">
        <f>SQRT(Parameters!$B$5)*Factors!EC3+SQRT(Parameters!$B$6)*Factors!EC7+SQRT(Parameters!$B$7)*Factors!EC10+SQRT(Parameters!$B$9)*NORM.S.INV(RAND())</f>
        <v/>
      </c>
      <c r="ED10" s="19">
        <f>SQRT(Parameters!$B$5)*Factors!ED3+SQRT(Parameters!$B$6)*Factors!ED7+SQRT(Parameters!$B$7)*Factors!ED10+SQRT(Parameters!$B$9)*NORM.S.INV(RAND())</f>
        <v/>
      </c>
      <c r="EE10" s="19">
        <f>SQRT(Parameters!$B$5)*Factors!EE3+SQRT(Parameters!$B$6)*Factors!EE7+SQRT(Parameters!$B$7)*Factors!EE10+SQRT(Parameters!$B$9)*NORM.S.INV(RAND())</f>
        <v/>
      </c>
      <c r="EF10" s="19">
        <f>SQRT(Parameters!$B$5)*Factors!EF3+SQRT(Parameters!$B$6)*Factors!EF7+SQRT(Parameters!$B$7)*Factors!EF10+SQRT(Parameters!$B$9)*NORM.S.INV(RAND())</f>
        <v/>
      </c>
      <c r="EG10" s="19">
        <f>SQRT(Parameters!$B$5)*Factors!EG3+SQRT(Parameters!$B$6)*Factors!EG7+SQRT(Parameters!$B$7)*Factors!EG10+SQRT(Parameters!$B$9)*NORM.S.INV(RAND())</f>
        <v/>
      </c>
      <c r="EH10" s="19">
        <f>SQRT(Parameters!$B$5)*Factors!EH3+SQRT(Parameters!$B$6)*Factors!EH7+SQRT(Parameters!$B$7)*Factors!EH10+SQRT(Parameters!$B$9)*NORM.S.INV(RAND())</f>
        <v/>
      </c>
      <c r="EI10" s="19">
        <f>SQRT(Parameters!$B$5)*Factors!EI3+SQRT(Parameters!$B$6)*Factors!EI7+SQRT(Parameters!$B$7)*Factors!EI10+SQRT(Parameters!$B$9)*NORM.S.INV(RAND())</f>
        <v/>
      </c>
      <c r="EJ10" s="19">
        <f>SQRT(Parameters!$B$5)*Factors!EJ3+SQRT(Parameters!$B$6)*Factors!EJ7+SQRT(Parameters!$B$7)*Factors!EJ10+SQRT(Parameters!$B$9)*NORM.S.INV(RAND())</f>
        <v/>
      </c>
      <c r="EK10" s="19">
        <f>SQRT(Parameters!$B$5)*Factors!EK3+SQRT(Parameters!$B$6)*Factors!EK7+SQRT(Parameters!$B$7)*Factors!EK10+SQRT(Parameters!$B$9)*NORM.S.INV(RAND())</f>
        <v/>
      </c>
      <c r="EL10" s="19">
        <f>SQRT(Parameters!$B$5)*Factors!EL3+SQRT(Parameters!$B$6)*Factors!EL7+SQRT(Parameters!$B$7)*Factors!EL10+SQRT(Parameters!$B$9)*NORM.S.INV(RAND())</f>
        <v/>
      </c>
      <c r="EM10" s="19">
        <f>SQRT(Parameters!$B$5)*Factors!EM3+SQRT(Parameters!$B$6)*Factors!EM7+SQRT(Parameters!$B$7)*Factors!EM10+SQRT(Parameters!$B$9)*NORM.S.INV(RAND())</f>
        <v/>
      </c>
      <c r="EN10" s="19">
        <f>SQRT(Parameters!$B$5)*Factors!EN3+SQRT(Parameters!$B$6)*Factors!EN7+SQRT(Parameters!$B$7)*Factors!EN10+SQRT(Parameters!$B$9)*NORM.S.INV(RAND())</f>
        <v/>
      </c>
      <c r="EO10" s="19">
        <f>SQRT(Parameters!$B$5)*Factors!EO3+SQRT(Parameters!$B$6)*Factors!EO7+SQRT(Parameters!$B$7)*Factors!EO10+SQRT(Parameters!$B$9)*NORM.S.INV(RAND())</f>
        <v/>
      </c>
      <c r="EP10" s="19">
        <f>SQRT(Parameters!$B$5)*Factors!EP3+SQRT(Parameters!$B$6)*Factors!EP7+SQRT(Parameters!$B$7)*Factors!EP10+SQRT(Parameters!$B$9)*NORM.S.INV(RAND())</f>
        <v/>
      </c>
      <c r="EQ10" s="19">
        <f>SQRT(Parameters!$B$5)*Factors!EQ3+SQRT(Parameters!$B$6)*Factors!EQ7+SQRT(Parameters!$B$7)*Factors!EQ10+SQRT(Parameters!$B$9)*NORM.S.INV(RAND())</f>
        <v/>
      </c>
      <c r="ER10" s="19">
        <f>SQRT(Parameters!$B$5)*Factors!ER3+SQRT(Parameters!$B$6)*Factors!ER7+SQRT(Parameters!$B$7)*Factors!ER10+SQRT(Parameters!$B$9)*NORM.S.INV(RAND())</f>
        <v/>
      </c>
      <c r="ES10" s="19">
        <f>SQRT(Parameters!$B$5)*Factors!ES3+SQRT(Parameters!$B$6)*Factors!ES7+SQRT(Parameters!$B$7)*Factors!ES10+SQRT(Parameters!$B$9)*NORM.S.INV(RAND())</f>
        <v/>
      </c>
      <c r="ET10" s="19">
        <f>SQRT(Parameters!$B$5)*Factors!ET3+SQRT(Parameters!$B$6)*Factors!ET7+SQRT(Parameters!$B$7)*Factors!ET10+SQRT(Parameters!$B$9)*NORM.S.INV(RAND())</f>
        <v/>
      </c>
      <c r="EU10" s="19">
        <f>SQRT(Parameters!$B$5)*Factors!EU3+SQRT(Parameters!$B$6)*Factors!EU7+SQRT(Parameters!$B$7)*Factors!EU10+SQRT(Parameters!$B$9)*NORM.S.INV(RAND())</f>
        <v/>
      </c>
      <c r="EV10" s="19">
        <f>SQRT(Parameters!$B$5)*Factors!EV3+SQRT(Parameters!$B$6)*Factors!EV7+SQRT(Parameters!$B$7)*Factors!EV10+SQRT(Parameters!$B$9)*NORM.S.INV(RAND())</f>
        <v/>
      </c>
      <c r="EW10" s="19">
        <f>SQRT(Parameters!$B$5)*Factors!EW3+SQRT(Parameters!$B$6)*Factors!EW7+SQRT(Parameters!$B$7)*Factors!EW10+SQRT(Parameters!$B$9)*NORM.S.INV(RAND())</f>
        <v/>
      </c>
      <c r="EX10" s="19">
        <f>SQRT(Parameters!$B$5)*Factors!EX3+SQRT(Parameters!$B$6)*Factors!EX7+SQRT(Parameters!$B$7)*Factors!EX10+SQRT(Parameters!$B$9)*NORM.S.INV(RAND())</f>
        <v/>
      </c>
      <c r="EY10" s="19">
        <f>SQRT(Parameters!$B$5)*Factors!EY3+SQRT(Parameters!$B$6)*Factors!EY7+SQRT(Parameters!$B$7)*Factors!EY10+SQRT(Parameters!$B$9)*NORM.S.INV(RAND())</f>
        <v/>
      </c>
      <c r="EZ10" s="19">
        <f>SQRT(Parameters!$B$5)*Factors!EZ3+SQRT(Parameters!$B$6)*Factors!EZ7+SQRT(Parameters!$B$7)*Factors!EZ10+SQRT(Parameters!$B$9)*NORM.S.INV(RAND())</f>
        <v/>
      </c>
      <c r="FA10" s="19">
        <f>SQRT(Parameters!$B$5)*Factors!FA3+SQRT(Parameters!$B$6)*Factors!FA7+SQRT(Parameters!$B$7)*Factors!FA10+SQRT(Parameters!$B$9)*NORM.S.INV(RAND())</f>
        <v/>
      </c>
      <c r="FB10" s="19">
        <f>SQRT(Parameters!$B$5)*Factors!FB3+SQRT(Parameters!$B$6)*Factors!FB7+SQRT(Parameters!$B$7)*Factors!FB10+SQRT(Parameters!$B$9)*NORM.S.INV(RAND())</f>
        <v/>
      </c>
      <c r="FC10" s="19">
        <f>SQRT(Parameters!$B$5)*Factors!FC3+SQRT(Parameters!$B$6)*Factors!FC7+SQRT(Parameters!$B$7)*Factors!FC10+SQRT(Parameters!$B$9)*NORM.S.INV(RAND())</f>
        <v/>
      </c>
      <c r="FD10" s="19">
        <f>SQRT(Parameters!$B$5)*Factors!FD3+SQRT(Parameters!$B$6)*Factors!FD7+SQRT(Parameters!$B$7)*Factors!FD10+SQRT(Parameters!$B$9)*NORM.S.INV(RAND())</f>
        <v/>
      </c>
      <c r="FE10" s="19">
        <f>SQRT(Parameters!$B$5)*Factors!FE3+SQRT(Parameters!$B$6)*Factors!FE7+SQRT(Parameters!$B$7)*Factors!FE10+SQRT(Parameters!$B$9)*NORM.S.INV(RAND())</f>
        <v/>
      </c>
      <c r="FF10" s="19">
        <f>SQRT(Parameters!$B$5)*Factors!FF3+SQRT(Parameters!$B$6)*Factors!FF7+SQRT(Parameters!$B$7)*Factors!FF10+SQRT(Parameters!$B$9)*NORM.S.INV(RAND())</f>
        <v/>
      </c>
      <c r="FG10" s="19">
        <f>SQRT(Parameters!$B$5)*Factors!FG3+SQRT(Parameters!$B$6)*Factors!FG7+SQRT(Parameters!$B$7)*Factors!FG10+SQRT(Parameters!$B$9)*NORM.S.INV(RAND())</f>
        <v/>
      </c>
      <c r="FH10" s="19">
        <f>SQRT(Parameters!$B$5)*Factors!FH3+SQRT(Parameters!$B$6)*Factors!FH7+SQRT(Parameters!$B$7)*Factors!FH10+SQRT(Parameters!$B$9)*NORM.S.INV(RAND())</f>
        <v/>
      </c>
      <c r="FI10" s="19">
        <f>SQRT(Parameters!$B$5)*Factors!FI3+SQRT(Parameters!$B$6)*Factors!FI7+SQRT(Parameters!$B$7)*Factors!FI10+SQRT(Parameters!$B$9)*NORM.S.INV(RAND())</f>
        <v/>
      </c>
      <c r="FJ10" s="19">
        <f>SQRT(Parameters!$B$5)*Factors!FJ3+SQRT(Parameters!$B$6)*Factors!FJ7+SQRT(Parameters!$B$7)*Factors!FJ10+SQRT(Parameters!$B$9)*NORM.S.INV(RAND())</f>
        <v/>
      </c>
      <c r="FK10" s="19">
        <f>SQRT(Parameters!$B$5)*Factors!FK3+SQRT(Parameters!$B$6)*Factors!FK7+SQRT(Parameters!$B$7)*Factors!FK10+SQRT(Parameters!$B$9)*NORM.S.INV(RAND())</f>
        <v/>
      </c>
      <c r="FL10" s="19">
        <f>SQRT(Parameters!$B$5)*Factors!FL3+SQRT(Parameters!$B$6)*Factors!FL7+SQRT(Parameters!$B$7)*Factors!FL10+SQRT(Parameters!$B$9)*NORM.S.INV(RAND())</f>
        <v/>
      </c>
      <c r="FM10" s="19">
        <f>SQRT(Parameters!$B$5)*Factors!FM3+SQRT(Parameters!$B$6)*Factors!FM7+SQRT(Parameters!$B$7)*Factors!FM10+SQRT(Parameters!$B$9)*NORM.S.INV(RAND())</f>
        <v/>
      </c>
      <c r="FN10" s="19">
        <f>SQRT(Parameters!$B$5)*Factors!FN3+SQRT(Parameters!$B$6)*Factors!FN7+SQRT(Parameters!$B$7)*Factors!FN10+SQRT(Parameters!$B$9)*NORM.S.INV(RAND())</f>
        <v/>
      </c>
      <c r="FO10" s="19">
        <f>SQRT(Parameters!$B$5)*Factors!FO3+SQRT(Parameters!$B$6)*Factors!FO7+SQRT(Parameters!$B$7)*Factors!FO10+SQRT(Parameters!$B$9)*NORM.S.INV(RAND())</f>
        <v/>
      </c>
      <c r="FP10" s="19">
        <f>SQRT(Parameters!$B$5)*Factors!FP3+SQRT(Parameters!$B$6)*Factors!FP7+SQRT(Parameters!$B$7)*Factors!FP10+SQRT(Parameters!$B$9)*NORM.S.INV(RAND())</f>
        <v/>
      </c>
      <c r="FQ10" s="19">
        <f>SQRT(Parameters!$B$5)*Factors!FQ3+SQRT(Parameters!$B$6)*Factors!FQ7+SQRT(Parameters!$B$7)*Factors!FQ10+SQRT(Parameters!$B$9)*NORM.S.INV(RAND())</f>
        <v/>
      </c>
      <c r="FR10" s="19">
        <f>SQRT(Parameters!$B$5)*Factors!FR3+SQRT(Parameters!$B$6)*Factors!FR7+SQRT(Parameters!$B$7)*Factors!FR10+SQRT(Parameters!$B$9)*NORM.S.INV(RAND())</f>
        <v/>
      </c>
      <c r="FS10" s="19">
        <f>SQRT(Parameters!$B$5)*Factors!FS3+SQRT(Parameters!$B$6)*Factors!FS7+SQRT(Parameters!$B$7)*Factors!FS10+SQRT(Parameters!$B$9)*NORM.S.INV(RAND())</f>
        <v/>
      </c>
      <c r="FT10" s="19">
        <f>SQRT(Parameters!$B$5)*Factors!FT3+SQRT(Parameters!$B$6)*Factors!FT7+SQRT(Parameters!$B$7)*Factors!FT10+SQRT(Parameters!$B$9)*NORM.S.INV(RAND())</f>
        <v/>
      </c>
      <c r="FU10" s="19">
        <f>SQRT(Parameters!$B$5)*Factors!FU3+SQRT(Parameters!$B$6)*Factors!FU7+SQRT(Parameters!$B$7)*Factors!FU10+SQRT(Parameters!$B$9)*NORM.S.INV(RAND())</f>
        <v/>
      </c>
      <c r="FV10" s="19">
        <f>SQRT(Parameters!$B$5)*Factors!FV3+SQRT(Parameters!$B$6)*Factors!FV7+SQRT(Parameters!$B$7)*Factors!FV10+SQRT(Parameters!$B$9)*NORM.S.INV(RAND())</f>
        <v/>
      </c>
      <c r="FW10" s="19">
        <f>SQRT(Parameters!$B$5)*Factors!FW3+SQRT(Parameters!$B$6)*Factors!FW7+SQRT(Parameters!$B$7)*Factors!FW10+SQRT(Parameters!$B$9)*NORM.S.INV(RAND())</f>
        <v/>
      </c>
      <c r="FX10" s="19">
        <f>SQRT(Parameters!$B$5)*Factors!FX3+SQRT(Parameters!$B$6)*Factors!FX7+SQRT(Parameters!$B$7)*Factors!FX10+SQRT(Parameters!$B$9)*NORM.S.INV(RAND())</f>
        <v/>
      </c>
      <c r="FY10" s="19">
        <f>SQRT(Parameters!$B$5)*Factors!FY3+SQRT(Parameters!$B$6)*Factors!FY7+SQRT(Parameters!$B$7)*Factors!FY10+SQRT(Parameters!$B$9)*NORM.S.INV(RAND())</f>
        <v/>
      </c>
      <c r="FZ10" s="19">
        <f>SQRT(Parameters!$B$5)*Factors!FZ3+SQRT(Parameters!$B$6)*Factors!FZ7+SQRT(Parameters!$B$7)*Factors!FZ10+SQRT(Parameters!$B$9)*NORM.S.INV(RAND())</f>
        <v/>
      </c>
      <c r="GA10" s="19">
        <f>SQRT(Parameters!$B$5)*Factors!GA3+SQRT(Parameters!$B$6)*Factors!GA7+SQRT(Parameters!$B$7)*Factors!GA10+SQRT(Parameters!$B$9)*NORM.S.INV(RAND())</f>
        <v/>
      </c>
      <c r="GB10" s="19">
        <f>SQRT(Parameters!$B$5)*Factors!GB3+SQRT(Parameters!$B$6)*Factors!GB7+SQRT(Parameters!$B$7)*Factors!GB10+SQRT(Parameters!$B$9)*NORM.S.INV(RAND())</f>
        <v/>
      </c>
      <c r="GC10" s="19">
        <f>SQRT(Parameters!$B$5)*Factors!GC3+SQRT(Parameters!$B$6)*Factors!GC7+SQRT(Parameters!$B$7)*Factors!GC10+SQRT(Parameters!$B$9)*NORM.S.INV(RAND())</f>
        <v/>
      </c>
      <c r="GD10" s="19">
        <f>SQRT(Parameters!$B$5)*Factors!GD3+SQRT(Parameters!$B$6)*Factors!GD7+SQRT(Parameters!$B$7)*Factors!GD10+SQRT(Parameters!$B$9)*NORM.S.INV(RAND())</f>
        <v/>
      </c>
      <c r="GE10" s="19">
        <f>SQRT(Parameters!$B$5)*Factors!GE3+SQRT(Parameters!$B$6)*Factors!GE7+SQRT(Parameters!$B$7)*Factors!GE10+SQRT(Parameters!$B$9)*NORM.S.INV(RAND())</f>
        <v/>
      </c>
      <c r="GF10" s="19">
        <f>SQRT(Parameters!$B$5)*Factors!GF3+SQRT(Parameters!$B$6)*Factors!GF7+SQRT(Parameters!$B$7)*Factors!GF10+SQRT(Parameters!$B$9)*NORM.S.INV(RAND())</f>
        <v/>
      </c>
      <c r="GG10" s="19">
        <f>SQRT(Parameters!$B$5)*Factors!GG3+SQRT(Parameters!$B$6)*Factors!GG7+SQRT(Parameters!$B$7)*Factors!GG10+SQRT(Parameters!$B$9)*NORM.S.INV(RAND())</f>
        <v/>
      </c>
      <c r="GH10" s="19">
        <f>SQRT(Parameters!$B$5)*Factors!GH3+SQRT(Parameters!$B$6)*Factors!GH7+SQRT(Parameters!$B$7)*Factors!GH10+SQRT(Parameters!$B$9)*NORM.S.INV(RAND())</f>
        <v/>
      </c>
      <c r="GI10" s="19">
        <f>SQRT(Parameters!$B$5)*Factors!GI3+SQRT(Parameters!$B$6)*Factors!GI7+SQRT(Parameters!$B$7)*Factors!GI10+SQRT(Parameters!$B$9)*NORM.S.INV(RAND())</f>
        <v/>
      </c>
      <c r="GJ10" s="19">
        <f>SQRT(Parameters!$B$5)*Factors!GJ3+SQRT(Parameters!$B$6)*Factors!GJ7+SQRT(Parameters!$B$7)*Factors!GJ10+SQRT(Parameters!$B$9)*NORM.S.INV(RAND())</f>
        <v/>
      </c>
      <c r="GK10" s="19">
        <f>SQRT(Parameters!$B$5)*Factors!GK3+SQRT(Parameters!$B$6)*Factors!GK7+SQRT(Parameters!$B$7)*Factors!GK10+SQRT(Parameters!$B$9)*NORM.S.INV(RAND())</f>
        <v/>
      </c>
      <c r="GL10" s="19">
        <f>SQRT(Parameters!$B$5)*Factors!GL3+SQRT(Parameters!$B$6)*Factors!GL7+SQRT(Parameters!$B$7)*Factors!GL10+SQRT(Parameters!$B$9)*NORM.S.INV(RAND())</f>
        <v/>
      </c>
      <c r="GM10" s="19">
        <f>SQRT(Parameters!$B$5)*Factors!GM3+SQRT(Parameters!$B$6)*Factors!GM7+SQRT(Parameters!$B$7)*Factors!GM10+SQRT(Parameters!$B$9)*NORM.S.INV(RAND())</f>
        <v/>
      </c>
      <c r="GN10" s="19">
        <f>SQRT(Parameters!$B$5)*Factors!GN3+SQRT(Parameters!$B$6)*Factors!GN7+SQRT(Parameters!$B$7)*Factors!GN10+SQRT(Parameters!$B$9)*NORM.S.INV(RAND())</f>
        <v/>
      </c>
      <c r="GO10" s="19">
        <f>SQRT(Parameters!$B$5)*Factors!GO3+SQRT(Parameters!$B$6)*Factors!GO7+SQRT(Parameters!$B$7)*Factors!GO10+SQRT(Parameters!$B$9)*NORM.S.INV(RAND())</f>
        <v/>
      </c>
      <c r="GP10" s="19">
        <f>SQRT(Parameters!$B$5)*Factors!GP3+SQRT(Parameters!$B$6)*Factors!GP7+SQRT(Parameters!$B$7)*Factors!GP10+SQRT(Parameters!$B$9)*NORM.S.INV(RAND())</f>
        <v/>
      </c>
      <c r="GQ10" s="19">
        <f>SQRT(Parameters!$B$5)*Factors!GQ3+SQRT(Parameters!$B$6)*Factors!GQ7+SQRT(Parameters!$B$7)*Factors!GQ10+SQRT(Parameters!$B$9)*NORM.S.INV(RAND())</f>
        <v/>
      </c>
      <c r="GR10" s="19">
        <f>SQRT(Parameters!$B$5)*Factors!GR3+SQRT(Parameters!$B$6)*Factors!GR7+SQRT(Parameters!$B$7)*Factors!GR10+SQRT(Parameters!$B$9)*NORM.S.INV(RAND())</f>
        <v/>
      </c>
      <c r="GS10" s="19">
        <f>SQRT(Parameters!$B$5)*Factors!GS3+SQRT(Parameters!$B$6)*Factors!GS7+SQRT(Parameters!$B$7)*Factors!GS10+SQRT(Parameters!$B$9)*NORM.S.INV(RAND())</f>
        <v/>
      </c>
      <c r="GT10" s="19">
        <f>SQRT(Parameters!$B$5)*Factors!GT3+SQRT(Parameters!$B$6)*Factors!GT7+SQRT(Parameters!$B$7)*Factors!GT10+SQRT(Parameters!$B$9)*NORM.S.INV(RAND())</f>
        <v/>
      </c>
      <c r="GU10" s="19">
        <f>SQRT(Parameters!$B$5)*Factors!GU3+SQRT(Parameters!$B$6)*Factors!GU7+SQRT(Parameters!$B$7)*Factors!GU10+SQRT(Parameters!$B$9)*NORM.S.INV(RAND())</f>
        <v/>
      </c>
      <c r="GV10" s="19">
        <f>SQRT(Parameters!$B$5)*Factors!GV3+SQRT(Parameters!$B$6)*Factors!GV7+SQRT(Parameters!$B$7)*Factors!GV10+SQRT(Parameters!$B$9)*NORM.S.INV(RAND())</f>
        <v/>
      </c>
      <c r="GW10" s="19">
        <f>SQRT(Parameters!$B$5)*Factors!GW3+SQRT(Parameters!$B$6)*Factors!GW7+SQRT(Parameters!$B$7)*Factors!GW10+SQRT(Parameters!$B$9)*NORM.S.INV(RAND())</f>
        <v/>
      </c>
      <c r="GX10" s="19">
        <f>SQRT(Parameters!$B$5)*Factors!GX3+SQRT(Parameters!$B$6)*Factors!GX7+SQRT(Parameters!$B$7)*Factors!GX10+SQRT(Parameters!$B$9)*NORM.S.INV(RAND())</f>
        <v/>
      </c>
      <c r="GY10" s="19">
        <f>SQRT(Parameters!$B$5)*Factors!GY3+SQRT(Parameters!$B$6)*Factors!GY7+SQRT(Parameters!$B$7)*Factors!GY10+SQRT(Parameters!$B$9)*NORM.S.INV(RAND())</f>
        <v/>
      </c>
      <c r="GZ10" s="19">
        <f>SQRT(Parameters!$B$5)*Factors!GZ3+SQRT(Parameters!$B$6)*Factors!GZ7+SQRT(Parameters!$B$7)*Factors!GZ10+SQRT(Parameters!$B$9)*NORM.S.INV(RAND())</f>
        <v/>
      </c>
      <c r="HA10" s="19">
        <f>SQRT(Parameters!$B$5)*Factors!HA3+SQRT(Parameters!$B$6)*Factors!HA7+SQRT(Parameters!$B$7)*Factors!HA10+SQRT(Parameters!$B$9)*NORM.S.INV(RAND())</f>
        <v/>
      </c>
      <c r="HB10" s="19">
        <f>SQRT(Parameters!$B$5)*Factors!HB3+SQRT(Parameters!$B$6)*Factors!HB7+SQRT(Parameters!$B$7)*Factors!HB10+SQRT(Parameters!$B$9)*NORM.S.INV(RAND())</f>
        <v/>
      </c>
      <c r="HC10" s="19">
        <f>SQRT(Parameters!$B$5)*Factors!HC3+SQRT(Parameters!$B$6)*Factors!HC7+SQRT(Parameters!$B$7)*Factors!HC10+SQRT(Parameters!$B$9)*NORM.S.INV(RAND())</f>
        <v/>
      </c>
      <c r="HD10" s="19">
        <f>SQRT(Parameters!$B$5)*Factors!HD3+SQRT(Parameters!$B$6)*Factors!HD7+SQRT(Parameters!$B$7)*Factors!HD10+SQRT(Parameters!$B$9)*NORM.S.INV(RAND())</f>
        <v/>
      </c>
      <c r="HE10" s="19">
        <f>SQRT(Parameters!$B$5)*Factors!HE3+SQRT(Parameters!$B$6)*Factors!HE7+SQRT(Parameters!$B$7)*Factors!HE10+SQRT(Parameters!$B$9)*NORM.S.INV(RAND())</f>
        <v/>
      </c>
      <c r="HF10" s="19">
        <f>SQRT(Parameters!$B$5)*Factors!HF3+SQRT(Parameters!$B$6)*Factors!HF7+SQRT(Parameters!$B$7)*Factors!HF10+SQRT(Parameters!$B$9)*NORM.S.INV(RAND())</f>
        <v/>
      </c>
      <c r="HG10" s="19">
        <f>SQRT(Parameters!$B$5)*Factors!HG3+SQRT(Parameters!$B$6)*Factors!HG7+SQRT(Parameters!$B$7)*Factors!HG10+SQRT(Parameters!$B$9)*NORM.S.INV(RAND())</f>
        <v/>
      </c>
      <c r="HH10" s="19">
        <f>SQRT(Parameters!$B$5)*Factors!HH3+SQRT(Parameters!$B$6)*Factors!HH7+SQRT(Parameters!$B$7)*Factors!HH10+SQRT(Parameters!$B$9)*NORM.S.INV(RAND())</f>
        <v/>
      </c>
      <c r="HI10" s="19">
        <f>SQRT(Parameters!$B$5)*Factors!HI3+SQRT(Parameters!$B$6)*Factors!HI7+SQRT(Parameters!$B$7)*Factors!HI10+SQRT(Parameters!$B$9)*NORM.S.INV(RAND())</f>
        <v/>
      </c>
      <c r="HJ10" s="19">
        <f>SQRT(Parameters!$B$5)*Factors!HJ3+SQRT(Parameters!$B$6)*Factors!HJ7+SQRT(Parameters!$B$7)*Factors!HJ10+SQRT(Parameters!$B$9)*NORM.S.INV(RAND())</f>
        <v/>
      </c>
      <c r="HK10" s="19">
        <f>SQRT(Parameters!$B$5)*Factors!HK3+SQRT(Parameters!$B$6)*Factors!HK7+SQRT(Parameters!$B$7)*Factors!HK10+SQRT(Parameters!$B$9)*NORM.S.INV(RAND())</f>
        <v/>
      </c>
      <c r="HL10" s="19">
        <f>SQRT(Parameters!$B$5)*Factors!HL3+SQRT(Parameters!$B$6)*Factors!HL7+SQRT(Parameters!$B$7)*Factors!HL10+SQRT(Parameters!$B$9)*NORM.S.INV(RAND())</f>
        <v/>
      </c>
      <c r="HM10" s="19">
        <f>SQRT(Parameters!$B$5)*Factors!HM3+SQRT(Parameters!$B$6)*Factors!HM7+SQRT(Parameters!$B$7)*Factors!HM10+SQRT(Parameters!$B$9)*NORM.S.INV(RAND())</f>
        <v/>
      </c>
      <c r="HN10" s="19">
        <f>SQRT(Parameters!$B$5)*Factors!HN3+SQRT(Parameters!$B$6)*Factors!HN7+SQRT(Parameters!$B$7)*Factors!HN10+SQRT(Parameters!$B$9)*NORM.S.INV(RAND())</f>
        <v/>
      </c>
      <c r="HO10" s="19">
        <f>SQRT(Parameters!$B$5)*Factors!HO3+SQRT(Parameters!$B$6)*Factors!HO7+SQRT(Parameters!$B$7)*Factors!HO10+SQRT(Parameters!$B$9)*NORM.S.INV(RAND())</f>
        <v/>
      </c>
      <c r="HP10" s="19">
        <f>SQRT(Parameters!$B$5)*Factors!HP3+SQRT(Parameters!$B$6)*Factors!HP7+SQRT(Parameters!$B$7)*Factors!HP10+SQRT(Parameters!$B$9)*NORM.S.INV(RAND())</f>
        <v/>
      </c>
      <c r="HQ10" s="19">
        <f>SQRT(Parameters!$B$5)*Factors!HQ3+SQRT(Parameters!$B$6)*Factors!HQ7+SQRT(Parameters!$B$7)*Factors!HQ10+SQRT(Parameters!$B$9)*NORM.S.INV(RAND())</f>
        <v/>
      </c>
      <c r="HR10" s="19">
        <f>SQRT(Parameters!$B$5)*Factors!HR3+SQRT(Parameters!$B$6)*Factors!HR7+SQRT(Parameters!$B$7)*Factors!HR10+SQRT(Parameters!$B$9)*NORM.S.INV(RAND())</f>
        <v/>
      </c>
      <c r="HS10" s="19">
        <f>SQRT(Parameters!$B$5)*Factors!HS3+SQRT(Parameters!$B$6)*Factors!HS7+SQRT(Parameters!$B$7)*Factors!HS10+SQRT(Parameters!$B$9)*NORM.S.INV(RAND())</f>
        <v/>
      </c>
      <c r="HT10" s="19">
        <f>SQRT(Parameters!$B$5)*Factors!HT3+SQRT(Parameters!$B$6)*Factors!HT7+SQRT(Parameters!$B$7)*Factors!HT10+SQRT(Parameters!$B$9)*NORM.S.INV(RAND())</f>
        <v/>
      </c>
      <c r="HU10" s="19">
        <f>SQRT(Parameters!$B$5)*Factors!HU3+SQRT(Parameters!$B$6)*Factors!HU7+SQRT(Parameters!$B$7)*Factors!HU10+SQRT(Parameters!$B$9)*NORM.S.INV(RAND())</f>
        <v/>
      </c>
      <c r="HV10" s="19">
        <f>SQRT(Parameters!$B$5)*Factors!HV3+SQRT(Parameters!$B$6)*Factors!HV7+SQRT(Parameters!$B$7)*Factors!HV10+SQRT(Parameters!$B$9)*NORM.S.INV(RAND())</f>
        <v/>
      </c>
      <c r="HW10" s="19">
        <f>SQRT(Parameters!$B$5)*Factors!HW3+SQRT(Parameters!$B$6)*Factors!HW7+SQRT(Parameters!$B$7)*Factors!HW10+SQRT(Parameters!$B$9)*NORM.S.INV(RAND())</f>
        <v/>
      </c>
      <c r="HX10" s="19">
        <f>SQRT(Parameters!$B$5)*Factors!HX3+SQRT(Parameters!$B$6)*Factors!HX7+SQRT(Parameters!$B$7)*Factors!HX10+SQRT(Parameters!$B$9)*NORM.S.INV(RAND())</f>
        <v/>
      </c>
      <c r="HY10" s="19">
        <f>SQRT(Parameters!$B$5)*Factors!HY3+SQRT(Parameters!$B$6)*Factors!HY7+SQRT(Parameters!$B$7)*Factors!HY10+SQRT(Parameters!$B$9)*NORM.S.INV(RAND())</f>
        <v/>
      </c>
      <c r="HZ10" s="19">
        <f>SQRT(Parameters!$B$5)*Factors!HZ3+SQRT(Parameters!$B$6)*Factors!HZ7+SQRT(Parameters!$B$7)*Factors!HZ10+SQRT(Parameters!$B$9)*NORM.S.INV(RAND())</f>
        <v/>
      </c>
      <c r="IA10" s="19">
        <f>SQRT(Parameters!$B$5)*Factors!IA3+SQRT(Parameters!$B$6)*Factors!IA7+SQRT(Parameters!$B$7)*Factors!IA10+SQRT(Parameters!$B$9)*NORM.S.INV(RAND())</f>
        <v/>
      </c>
      <c r="IB10" s="19">
        <f>SQRT(Parameters!$B$5)*Factors!IB3+SQRT(Parameters!$B$6)*Factors!IB7+SQRT(Parameters!$B$7)*Factors!IB10+SQRT(Parameters!$B$9)*NORM.S.INV(RAND())</f>
        <v/>
      </c>
      <c r="IC10" s="19">
        <f>SQRT(Parameters!$B$5)*Factors!IC3+SQRT(Parameters!$B$6)*Factors!IC7+SQRT(Parameters!$B$7)*Factors!IC10+SQRT(Parameters!$B$9)*NORM.S.INV(RAND())</f>
        <v/>
      </c>
      <c r="ID10" s="19">
        <f>SQRT(Parameters!$B$5)*Factors!ID3+SQRT(Parameters!$B$6)*Factors!ID7+SQRT(Parameters!$B$7)*Factors!ID10+SQRT(Parameters!$B$9)*NORM.S.INV(RAND())</f>
        <v/>
      </c>
      <c r="IE10" s="19">
        <f>SQRT(Parameters!$B$5)*Factors!IE3+SQRT(Parameters!$B$6)*Factors!IE7+SQRT(Parameters!$B$7)*Factors!IE10+SQRT(Parameters!$B$9)*NORM.S.INV(RAND())</f>
        <v/>
      </c>
      <c r="IF10" s="19">
        <f>SQRT(Parameters!$B$5)*Factors!IF3+SQRT(Parameters!$B$6)*Factors!IF7+SQRT(Parameters!$B$7)*Factors!IF10+SQRT(Parameters!$B$9)*NORM.S.INV(RAND())</f>
        <v/>
      </c>
      <c r="IG10" s="19">
        <f>SQRT(Parameters!$B$5)*Factors!IG3+SQRT(Parameters!$B$6)*Factors!IG7+SQRT(Parameters!$B$7)*Factors!IG10+SQRT(Parameters!$B$9)*NORM.S.INV(RAND())</f>
        <v/>
      </c>
      <c r="IH10" s="19">
        <f>SQRT(Parameters!$B$5)*Factors!IH3+SQRT(Parameters!$B$6)*Factors!IH7+SQRT(Parameters!$B$7)*Factors!IH10+SQRT(Parameters!$B$9)*NORM.S.INV(RAND())</f>
        <v/>
      </c>
      <c r="II10" s="19">
        <f>SQRT(Parameters!$B$5)*Factors!II3+SQRT(Parameters!$B$6)*Factors!II7+SQRT(Parameters!$B$7)*Factors!II10+SQRT(Parameters!$B$9)*NORM.S.INV(RAND())</f>
        <v/>
      </c>
      <c r="IJ10" s="19">
        <f>SQRT(Parameters!$B$5)*Factors!IJ3+SQRT(Parameters!$B$6)*Factors!IJ7+SQRT(Parameters!$B$7)*Factors!IJ10+SQRT(Parameters!$B$9)*NORM.S.INV(RAND())</f>
        <v/>
      </c>
      <c r="IK10" s="19">
        <f>SQRT(Parameters!$B$5)*Factors!IK3+SQRT(Parameters!$B$6)*Factors!IK7+SQRT(Parameters!$B$7)*Factors!IK10+SQRT(Parameters!$B$9)*NORM.S.INV(RAND())</f>
        <v/>
      </c>
      <c r="IL10" s="19">
        <f>SQRT(Parameters!$B$5)*Factors!IL3+SQRT(Parameters!$B$6)*Factors!IL7+SQRT(Parameters!$B$7)*Factors!IL10+SQRT(Parameters!$B$9)*NORM.S.INV(RAND())</f>
        <v/>
      </c>
      <c r="IM10" s="19">
        <f>SQRT(Parameters!$B$5)*Factors!IM3+SQRT(Parameters!$B$6)*Factors!IM7+SQRT(Parameters!$B$7)*Factors!IM10+SQRT(Parameters!$B$9)*NORM.S.INV(RAND())</f>
        <v/>
      </c>
      <c r="IN10" s="19">
        <f>SQRT(Parameters!$B$5)*Factors!IN3+SQRT(Parameters!$B$6)*Factors!IN7+SQRT(Parameters!$B$7)*Factors!IN10+SQRT(Parameters!$B$9)*NORM.S.INV(RAND())</f>
        <v/>
      </c>
      <c r="IO10" s="19">
        <f>SQRT(Parameters!$B$5)*Factors!IO3+SQRT(Parameters!$B$6)*Factors!IO7+SQRT(Parameters!$B$7)*Factors!IO10+SQRT(Parameters!$B$9)*NORM.S.INV(RAND())</f>
        <v/>
      </c>
      <c r="IP10" s="19">
        <f>SQRT(Parameters!$B$5)*Factors!IP3+SQRT(Parameters!$B$6)*Factors!IP7+SQRT(Parameters!$B$7)*Factors!IP10+SQRT(Parameters!$B$9)*NORM.S.INV(RAND())</f>
        <v/>
      </c>
      <c r="IQ10" s="19">
        <f>SQRT(Parameters!$B$5)*Factors!IQ3+SQRT(Parameters!$B$6)*Factors!IQ7+SQRT(Parameters!$B$7)*Factors!IQ10+SQRT(Parameters!$B$9)*NORM.S.INV(RAND())</f>
        <v/>
      </c>
      <c r="IR10" s="19">
        <f>SQRT(Parameters!$B$5)*Factors!IR3+SQRT(Parameters!$B$6)*Factors!IR7+SQRT(Parameters!$B$7)*Factors!IR10+SQRT(Parameters!$B$9)*NORM.S.INV(RAND())</f>
        <v/>
      </c>
      <c r="IS10" s="19">
        <f>SQRT(Parameters!$B$5)*Factors!IS3+SQRT(Parameters!$B$6)*Factors!IS7+SQRT(Parameters!$B$7)*Factors!IS10+SQRT(Parameters!$B$9)*NORM.S.INV(RAND())</f>
        <v/>
      </c>
      <c r="IT10" s="19">
        <f>SQRT(Parameters!$B$5)*Factors!IT3+SQRT(Parameters!$B$6)*Factors!IT7+SQRT(Parameters!$B$7)*Factors!IT10+SQRT(Parameters!$B$9)*NORM.S.INV(RAND())</f>
        <v/>
      </c>
      <c r="IU10" s="19">
        <f>SQRT(Parameters!$B$5)*Factors!IU3+SQRT(Parameters!$B$6)*Factors!IU7+SQRT(Parameters!$B$7)*Factors!IU10+SQRT(Parameters!$B$9)*NORM.S.INV(RAND())</f>
        <v/>
      </c>
      <c r="IV10" s="19">
        <f>SQRT(Parameters!$B$5)*Factors!IV3+SQRT(Parameters!$B$6)*Factors!IV7+SQRT(Parameters!$B$7)*Factors!IV10+SQRT(Parameters!$B$9)*NORM.S.INV(RAND())</f>
        <v/>
      </c>
      <c r="IW10" s="19">
        <f>SQRT(Parameters!$B$5)*Factors!IW3+SQRT(Parameters!$B$6)*Factors!IW7+SQRT(Parameters!$B$7)*Factors!IW10+SQRT(Parameters!$B$9)*NORM.S.INV(RAND())</f>
        <v/>
      </c>
      <c r="IX10" s="19">
        <f>SQRT(Parameters!$B$5)*Factors!IX3+SQRT(Parameters!$B$6)*Factors!IX7+SQRT(Parameters!$B$7)*Factors!IX10+SQRT(Parameters!$B$9)*NORM.S.INV(RAND())</f>
        <v/>
      </c>
      <c r="IY10" s="19">
        <f>SQRT(Parameters!$B$5)*Factors!IY3+SQRT(Parameters!$B$6)*Factors!IY7+SQRT(Parameters!$B$7)*Factors!IY10+SQRT(Parameters!$B$9)*NORM.S.INV(RAND())</f>
        <v/>
      </c>
      <c r="IZ10" s="19">
        <f>SQRT(Parameters!$B$5)*Factors!IZ3+SQRT(Parameters!$B$6)*Factors!IZ7+SQRT(Parameters!$B$7)*Factors!IZ10+SQRT(Parameters!$B$9)*NORM.S.INV(RAND())</f>
        <v/>
      </c>
      <c r="JA10" s="19">
        <f>SQRT(Parameters!$B$5)*Factors!JA3+SQRT(Parameters!$B$6)*Factors!JA7+SQRT(Parameters!$B$7)*Factors!JA10+SQRT(Parameters!$B$9)*NORM.S.INV(RAND())</f>
        <v/>
      </c>
      <c r="JB10" s="19">
        <f>SQRT(Parameters!$B$5)*Factors!JB3+SQRT(Parameters!$B$6)*Factors!JB7+SQRT(Parameters!$B$7)*Factors!JB10+SQRT(Parameters!$B$9)*NORM.S.INV(RAND())</f>
        <v/>
      </c>
      <c r="JC10" s="19">
        <f>SQRT(Parameters!$B$5)*Factors!JC3+SQRT(Parameters!$B$6)*Factors!JC7+SQRT(Parameters!$B$7)*Factors!JC10+SQRT(Parameters!$B$9)*NORM.S.INV(RAND())</f>
        <v/>
      </c>
      <c r="JD10" s="19">
        <f>SQRT(Parameters!$B$5)*Factors!JD3+SQRT(Parameters!$B$6)*Factors!JD7+SQRT(Parameters!$B$7)*Factors!JD10+SQRT(Parameters!$B$9)*NORM.S.INV(RAND())</f>
        <v/>
      </c>
      <c r="JE10" s="19">
        <f>SQRT(Parameters!$B$5)*Factors!JE3+SQRT(Parameters!$B$6)*Factors!JE7+SQRT(Parameters!$B$7)*Factors!JE10+SQRT(Parameters!$B$9)*NORM.S.INV(RAND())</f>
        <v/>
      </c>
      <c r="JF10" s="19">
        <f>SQRT(Parameters!$B$5)*Factors!JF3+SQRT(Parameters!$B$6)*Factors!JF7+SQRT(Parameters!$B$7)*Factors!JF10+SQRT(Parameters!$B$9)*NORM.S.INV(RAND())</f>
        <v/>
      </c>
      <c r="JG10" s="19">
        <f>SQRT(Parameters!$B$5)*Factors!JG3+SQRT(Parameters!$B$6)*Factors!JG7+SQRT(Parameters!$B$7)*Factors!JG10+SQRT(Parameters!$B$9)*NORM.S.INV(RAND())</f>
        <v/>
      </c>
      <c r="JH10" s="19">
        <f>SQRT(Parameters!$B$5)*Factors!JH3+SQRT(Parameters!$B$6)*Factors!JH7+SQRT(Parameters!$B$7)*Factors!JH10+SQRT(Parameters!$B$9)*NORM.S.INV(RAND())</f>
        <v/>
      </c>
      <c r="JI10" s="19">
        <f>SQRT(Parameters!$B$5)*Factors!JI3+SQRT(Parameters!$B$6)*Factors!JI7+SQRT(Parameters!$B$7)*Factors!JI10+SQRT(Parameters!$B$9)*NORM.S.INV(RAND())</f>
        <v/>
      </c>
      <c r="JJ10" s="19">
        <f>SQRT(Parameters!$B$5)*Factors!JJ3+SQRT(Parameters!$B$6)*Factors!JJ7+SQRT(Parameters!$B$7)*Factors!JJ10+SQRT(Parameters!$B$9)*NORM.S.INV(RAND())</f>
        <v/>
      </c>
      <c r="JK10" s="19">
        <f>SQRT(Parameters!$B$5)*Factors!JK3+SQRT(Parameters!$B$6)*Factors!JK7+SQRT(Parameters!$B$7)*Factors!JK10+SQRT(Parameters!$B$9)*NORM.S.INV(RAND())</f>
        <v/>
      </c>
      <c r="JL10" s="19">
        <f>SQRT(Parameters!$B$5)*Factors!JL3+SQRT(Parameters!$B$6)*Factors!JL7+SQRT(Parameters!$B$7)*Factors!JL10+SQRT(Parameters!$B$9)*NORM.S.INV(RAND())</f>
        <v/>
      </c>
      <c r="JM10" s="19">
        <f>SQRT(Parameters!$B$5)*Factors!JM3+SQRT(Parameters!$B$6)*Factors!JM7+SQRT(Parameters!$B$7)*Factors!JM10+SQRT(Parameters!$B$9)*NORM.S.INV(RAND())</f>
        <v/>
      </c>
      <c r="JN10" s="19">
        <f>SQRT(Parameters!$B$5)*Factors!JN3+SQRT(Parameters!$B$6)*Factors!JN7+SQRT(Parameters!$B$7)*Factors!JN10+SQRT(Parameters!$B$9)*NORM.S.INV(RAND())</f>
        <v/>
      </c>
      <c r="JO10" s="19">
        <f>SQRT(Parameters!$B$5)*Factors!JO3+SQRT(Parameters!$B$6)*Factors!JO7+SQRT(Parameters!$B$7)*Factors!JO10+SQRT(Parameters!$B$9)*NORM.S.INV(RAND())</f>
        <v/>
      </c>
      <c r="JP10" s="19">
        <f>SQRT(Parameters!$B$5)*Factors!JP3+SQRT(Parameters!$B$6)*Factors!JP7+SQRT(Parameters!$B$7)*Factors!JP10+SQRT(Parameters!$B$9)*NORM.S.INV(RAND())</f>
        <v/>
      </c>
      <c r="JQ10" s="19">
        <f>SQRT(Parameters!$B$5)*Factors!JQ3+SQRT(Parameters!$B$6)*Factors!JQ7+SQRT(Parameters!$B$7)*Factors!JQ10+SQRT(Parameters!$B$9)*NORM.S.INV(RAND())</f>
        <v/>
      </c>
      <c r="JR10" s="19">
        <f>SQRT(Parameters!$B$5)*Factors!JR3+SQRT(Parameters!$B$6)*Factors!JR7+SQRT(Parameters!$B$7)*Factors!JR10+SQRT(Parameters!$B$9)*NORM.S.INV(RAND())</f>
        <v/>
      </c>
      <c r="JS10" s="19">
        <f>SQRT(Parameters!$B$5)*Factors!JS3+SQRT(Parameters!$B$6)*Factors!JS7+SQRT(Parameters!$B$7)*Factors!JS10+SQRT(Parameters!$B$9)*NORM.S.INV(RAND())</f>
        <v/>
      </c>
      <c r="JT10" s="19">
        <f>SQRT(Parameters!$B$5)*Factors!JT3+SQRT(Parameters!$B$6)*Factors!JT7+SQRT(Parameters!$B$7)*Factors!JT10+SQRT(Parameters!$B$9)*NORM.S.INV(RAND())</f>
        <v/>
      </c>
      <c r="JU10" s="19">
        <f>SQRT(Parameters!$B$5)*Factors!JU3+SQRT(Parameters!$B$6)*Factors!JU7+SQRT(Parameters!$B$7)*Factors!JU10+SQRT(Parameters!$B$9)*NORM.S.INV(RAND())</f>
        <v/>
      </c>
      <c r="JV10" s="19">
        <f>SQRT(Parameters!$B$5)*Factors!JV3+SQRT(Parameters!$B$6)*Factors!JV7+SQRT(Parameters!$B$7)*Factors!JV10+SQRT(Parameters!$B$9)*NORM.S.INV(RAND())</f>
        <v/>
      </c>
      <c r="JW10" s="19">
        <f>SQRT(Parameters!$B$5)*Factors!JW3+SQRT(Parameters!$B$6)*Factors!JW7+SQRT(Parameters!$B$7)*Factors!JW10+SQRT(Parameters!$B$9)*NORM.S.INV(RAND())</f>
        <v/>
      </c>
      <c r="JX10" s="19">
        <f>SQRT(Parameters!$B$5)*Factors!JX3+SQRT(Parameters!$B$6)*Factors!JX7+SQRT(Parameters!$B$7)*Factors!JX10+SQRT(Parameters!$B$9)*NORM.S.INV(RAND())</f>
        <v/>
      </c>
      <c r="JY10" s="19">
        <f>SQRT(Parameters!$B$5)*Factors!JY3+SQRT(Parameters!$B$6)*Factors!JY7+SQRT(Parameters!$B$7)*Factors!JY10+SQRT(Parameters!$B$9)*NORM.S.INV(RAND())</f>
        <v/>
      </c>
      <c r="JZ10" s="19">
        <f>SQRT(Parameters!$B$5)*Factors!JZ3+SQRT(Parameters!$B$6)*Factors!JZ7+SQRT(Parameters!$B$7)*Factors!JZ10+SQRT(Parameters!$B$9)*NORM.S.INV(RAND())</f>
        <v/>
      </c>
      <c r="KA10" s="19">
        <f>SQRT(Parameters!$B$5)*Factors!KA3+SQRT(Parameters!$B$6)*Factors!KA7+SQRT(Parameters!$B$7)*Factors!KA10+SQRT(Parameters!$B$9)*NORM.S.INV(RAND())</f>
        <v/>
      </c>
      <c r="KB10" s="19">
        <f>SQRT(Parameters!$B$5)*Factors!KB3+SQRT(Parameters!$B$6)*Factors!KB7+SQRT(Parameters!$B$7)*Factors!KB10+SQRT(Parameters!$B$9)*NORM.S.INV(RAND())</f>
        <v/>
      </c>
      <c r="KC10" s="19">
        <f>SQRT(Parameters!$B$5)*Factors!KC3+SQRT(Parameters!$B$6)*Factors!KC7+SQRT(Parameters!$B$7)*Factors!KC10+SQRT(Parameters!$B$9)*NORM.S.INV(RAND())</f>
        <v/>
      </c>
      <c r="KD10" s="19">
        <f>SQRT(Parameters!$B$5)*Factors!KD3+SQRT(Parameters!$B$6)*Factors!KD7+SQRT(Parameters!$B$7)*Factors!KD10+SQRT(Parameters!$B$9)*NORM.S.INV(RAND())</f>
        <v/>
      </c>
      <c r="KE10" s="19">
        <f>SQRT(Parameters!$B$5)*Factors!KE3+SQRT(Parameters!$B$6)*Factors!KE7+SQRT(Parameters!$B$7)*Factors!KE10+SQRT(Parameters!$B$9)*NORM.S.INV(RAND())</f>
        <v/>
      </c>
      <c r="KF10" s="19">
        <f>SQRT(Parameters!$B$5)*Factors!KF3+SQRT(Parameters!$B$6)*Factors!KF7+SQRT(Parameters!$B$7)*Factors!KF10+SQRT(Parameters!$B$9)*NORM.S.INV(RAND())</f>
        <v/>
      </c>
      <c r="KG10" s="19">
        <f>SQRT(Parameters!$B$5)*Factors!KG3+SQRT(Parameters!$B$6)*Factors!KG7+SQRT(Parameters!$B$7)*Factors!KG10+SQRT(Parameters!$B$9)*NORM.S.INV(RAND())</f>
        <v/>
      </c>
      <c r="KH10" s="19">
        <f>SQRT(Parameters!$B$5)*Factors!KH3+SQRT(Parameters!$B$6)*Factors!KH7+SQRT(Parameters!$B$7)*Factors!KH10+SQRT(Parameters!$B$9)*NORM.S.INV(RAND())</f>
        <v/>
      </c>
      <c r="KI10" s="19">
        <f>SQRT(Parameters!$B$5)*Factors!KI3+SQRT(Parameters!$B$6)*Factors!KI7+SQRT(Parameters!$B$7)*Factors!KI10+SQRT(Parameters!$B$9)*NORM.S.INV(RAND())</f>
        <v/>
      </c>
      <c r="KJ10" s="19">
        <f>SQRT(Parameters!$B$5)*Factors!KJ3+SQRT(Parameters!$B$6)*Factors!KJ7+SQRT(Parameters!$B$7)*Factors!KJ10+SQRT(Parameters!$B$9)*NORM.S.INV(RAND())</f>
        <v/>
      </c>
      <c r="KK10" s="19">
        <f>SQRT(Parameters!$B$5)*Factors!KK3+SQRT(Parameters!$B$6)*Factors!KK7+SQRT(Parameters!$B$7)*Factors!KK10+SQRT(Parameters!$B$9)*NORM.S.INV(RAND())</f>
        <v/>
      </c>
      <c r="KL10" s="19">
        <f>SQRT(Parameters!$B$5)*Factors!KL3+SQRT(Parameters!$B$6)*Factors!KL7+SQRT(Parameters!$B$7)*Factors!KL10+SQRT(Parameters!$B$9)*NORM.S.INV(RAND())</f>
        <v/>
      </c>
      <c r="KM10" s="19">
        <f>SQRT(Parameters!$B$5)*Factors!KM3+SQRT(Parameters!$B$6)*Factors!KM7+SQRT(Parameters!$B$7)*Factors!KM10+SQRT(Parameters!$B$9)*NORM.S.INV(RAND())</f>
        <v/>
      </c>
      <c r="KN10" s="19">
        <f>SQRT(Parameters!$B$5)*Factors!KN3+SQRT(Parameters!$B$6)*Factors!KN7+SQRT(Parameters!$B$7)*Factors!KN10+SQRT(Parameters!$B$9)*NORM.S.INV(RAND())</f>
        <v/>
      </c>
      <c r="KO10" s="19">
        <f>SQRT(Parameters!$B$5)*Factors!KO3+SQRT(Parameters!$B$6)*Factors!KO7+SQRT(Parameters!$B$7)*Factors!KO10+SQRT(Parameters!$B$9)*NORM.S.INV(RAND())</f>
        <v/>
      </c>
      <c r="KP10" s="19">
        <f>SQRT(Parameters!$B$5)*Factors!KP3+SQRT(Parameters!$B$6)*Factors!KP7+SQRT(Parameters!$B$7)*Factors!KP10+SQRT(Parameters!$B$9)*NORM.S.INV(RAND())</f>
        <v/>
      </c>
      <c r="KQ10" s="19">
        <f>SQRT(Parameters!$B$5)*Factors!KQ3+SQRT(Parameters!$B$6)*Factors!KQ7+SQRT(Parameters!$B$7)*Factors!KQ10+SQRT(Parameters!$B$9)*NORM.S.INV(RAND())</f>
        <v/>
      </c>
      <c r="KR10" s="19">
        <f>SQRT(Parameters!$B$5)*Factors!KR3+SQRT(Parameters!$B$6)*Factors!KR7+SQRT(Parameters!$B$7)*Factors!KR10+SQRT(Parameters!$B$9)*NORM.S.INV(RAND())</f>
        <v/>
      </c>
      <c r="KS10" s="19">
        <f>SQRT(Parameters!$B$5)*Factors!KS3+SQRT(Parameters!$B$6)*Factors!KS7+SQRT(Parameters!$B$7)*Factors!KS10+SQRT(Parameters!$B$9)*NORM.S.INV(RAND())</f>
        <v/>
      </c>
      <c r="KT10" s="19">
        <f>SQRT(Parameters!$B$5)*Factors!KT3+SQRT(Parameters!$B$6)*Factors!KT7+SQRT(Parameters!$B$7)*Factors!KT10+SQRT(Parameters!$B$9)*NORM.S.INV(RAND())</f>
        <v/>
      </c>
      <c r="KU10" s="19">
        <f>SQRT(Parameters!$B$5)*Factors!KU3+SQRT(Parameters!$B$6)*Factors!KU7+SQRT(Parameters!$B$7)*Factors!KU10+SQRT(Parameters!$B$9)*NORM.S.INV(RAND())</f>
        <v/>
      </c>
      <c r="KV10" s="19">
        <f>SQRT(Parameters!$B$5)*Factors!KV3+SQRT(Parameters!$B$6)*Factors!KV7+SQRT(Parameters!$B$7)*Factors!KV10+SQRT(Parameters!$B$9)*NORM.S.INV(RAND())</f>
        <v/>
      </c>
      <c r="KW10" s="19">
        <f>SQRT(Parameters!$B$5)*Factors!KW3+SQRT(Parameters!$B$6)*Factors!KW7+SQRT(Parameters!$B$7)*Factors!KW10+SQRT(Parameters!$B$9)*NORM.S.INV(RAND())</f>
        <v/>
      </c>
      <c r="KX10" s="19">
        <f>SQRT(Parameters!$B$5)*Factors!KX3+SQRT(Parameters!$B$6)*Factors!KX7+SQRT(Parameters!$B$7)*Factors!KX10+SQRT(Parameters!$B$9)*NORM.S.INV(RAND())</f>
        <v/>
      </c>
      <c r="KY10" s="19">
        <f>SQRT(Parameters!$B$5)*Factors!KY3+SQRT(Parameters!$B$6)*Factors!KY7+SQRT(Parameters!$B$7)*Factors!KY10+SQRT(Parameters!$B$9)*NORM.S.INV(RAND())</f>
        <v/>
      </c>
      <c r="KZ10" s="19">
        <f>SQRT(Parameters!$B$5)*Factors!KZ3+SQRT(Parameters!$B$6)*Factors!KZ7+SQRT(Parameters!$B$7)*Factors!KZ10+SQRT(Parameters!$B$9)*NORM.S.INV(RAND())</f>
        <v/>
      </c>
      <c r="LA10" s="19">
        <f>SQRT(Parameters!$B$5)*Factors!LA3+SQRT(Parameters!$B$6)*Factors!LA7+SQRT(Parameters!$B$7)*Factors!LA10+SQRT(Parameters!$B$9)*NORM.S.INV(RAND())</f>
        <v/>
      </c>
      <c r="LB10" s="19">
        <f>SQRT(Parameters!$B$5)*Factors!LB3+SQRT(Parameters!$B$6)*Factors!LB7+SQRT(Parameters!$B$7)*Factors!LB10+SQRT(Parameters!$B$9)*NORM.S.INV(RAND())</f>
        <v/>
      </c>
      <c r="LC10" s="19">
        <f>SQRT(Parameters!$B$5)*Factors!LC3+SQRT(Parameters!$B$6)*Factors!LC7+SQRT(Parameters!$B$7)*Factors!LC10+SQRT(Parameters!$B$9)*NORM.S.INV(RAND())</f>
        <v/>
      </c>
      <c r="LD10" s="19">
        <f>SQRT(Parameters!$B$5)*Factors!LD3+SQRT(Parameters!$B$6)*Factors!LD7+SQRT(Parameters!$B$7)*Factors!LD10+SQRT(Parameters!$B$9)*NORM.S.INV(RAND())</f>
        <v/>
      </c>
      <c r="LE10" s="19">
        <f>SQRT(Parameters!$B$5)*Factors!LE3+SQRT(Parameters!$B$6)*Factors!LE7+SQRT(Parameters!$B$7)*Factors!LE10+SQRT(Parameters!$B$9)*NORM.S.INV(RAND())</f>
        <v/>
      </c>
      <c r="LF10" s="19">
        <f>SQRT(Parameters!$B$5)*Factors!LF3+SQRT(Parameters!$B$6)*Factors!LF7+SQRT(Parameters!$B$7)*Factors!LF10+SQRT(Parameters!$B$9)*NORM.S.INV(RAND())</f>
        <v/>
      </c>
      <c r="LG10" s="19">
        <f>SQRT(Parameters!$B$5)*Factors!LG3+SQRT(Parameters!$B$6)*Factors!LG7+SQRT(Parameters!$B$7)*Factors!LG10+SQRT(Parameters!$B$9)*NORM.S.INV(RAND())</f>
        <v/>
      </c>
      <c r="LH10" s="19">
        <f>SQRT(Parameters!$B$5)*Factors!LH3+SQRT(Parameters!$B$6)*Factors!LH7+SQRT(Parameters!$B$7)*Factors!LH10+SQRT(Parameters!$B$9)*NORM.S.INV(RAND())</f>
        <v/>
      </c>
      <c r="LI10" s="19">
        <f>SQRT(Parameters!$B$5)*Factors!LI3+SQRT(Parameters!$B$6)*Factors!LI7+SQRT(Parameters!$B$7)*Factors!LI10+SQRT(Parameters!$B$9)*NORM.S.INV(RAND())</f>
        <v/>
      </c>
      <c r="LJ10" s="19">
        <f>SQRT(Parameters!$B$5)*Factors!LJ3+SQRT(Parameters!$B$6)*Factors!LJ7+SQRT(Parameters!$B$7)*Factors!LJ10+SQRT(Parameters!$B$9)*NORM.S.INV(RAND())</f>
        <v/>
      </c>
      <c r="LK10" s="19">
        <f>SQRT(Parameters!$B$5)*Factors!LK3+SQRT(Parameters!$B$6)*Factors!LK7+SQRT(Parameters!$B$7)*Factors!LK10+SQRT(Parameters!$B$9)*NORM.S.INV(RAND())</f>
        <v/>
      </c>
      <c r="LL10" s="19">
        <f>SQRT(Parameters!$B$5)*Factors!LL3+SQRT(Parameters!$B$6)*Factors!LL7+SQRT(Parameters!$B$7)*Factors!LL10+SQRT(Parameters!$B$9)*NORM.S.INV(RAND())</f>
        <v/>
      </c>
      <c r="LM10" s="19">
        <f>SQRT(Parameters!$B$5)*Factors!LM3+SQRT(Parameters!$B$6)*Factors!LM7+SQRT(Parameters!$B$7)*Factors!LM10+SQRT(Parameters!$B$9)*NORM.S.INV(RAND())</f>
        <v/>
      </c>
      <c r="LN10" s="19">
        <f>SQRT(Parameters!$B$5)*Factors!LN3+SQRT(Parameters!$B$6)*Factors!LN7+SQRT(Parameters!$B$7)*Factors!LN10+SQRT(Parameters!$B$9)*NORM.S.INV(RAND())</f>
        <v/>
      </c>
      <c r="LO10" s="19">
        <f>SQRT(Parameters!$B$5)*Factors!LO3+SQRT(Parameters!$B$6)*Factors!LO7+SQRT(Parameters!$B$7)*Factors!LO10+SQRT(Parameters!$B$9)*NORM.S.INV(RAND())</f>
        <v/>
      </c>
      <c r="LP10" s="19">
        <f>SQRT(Parameters!$B$5)*Factors!LP3+SQRT(Parameters!$B$6)*Factors!LP7+SQRT(Parameters!$B$7)*Factors!LP10+SQRT(Parameters!$B$9)*NORM.S.INV(RAND())</f>
        <v/>
      </c>
      <c r="LQ10" s="19">
        <f>SQRT(Parameters!$B$5)*Factors!LQ3+SQRT(Parameters!$B$6)*Factors!LQ7+SQRT(Parameters!$B$7)*Factors!LQ10+SQRT(Parameters!$B$9)*NORM.S.INV(RAND())</f>
        <v/>
      </c>
      <c r="LR10" s="19">
        <f>SQRT(Parameters!$B$5)*Factors!LR3+SQRT(Parameters!$B$6)*Factors!LR7+SQRT(Parameters!$B$7)*Factors!LR10+SQRT(Parameters!$B$9)*NORM.S.INV(RAND())</f>
        <v/>
      </c>
      <c r="LS10" s="19">
        <f>SQRT(Parameters!$B$5)*Factors!LS3+SQRT(Parameters!$B$6)*Factors!LS7+SQRT(Parameters!$B$7)*Factors!LS10+SQRT(Parameters!$B$9)*NORM.S.INV(RAND())</f>
        <v/>
      </c>
      <c r="LT10" s="19">
        <f>SQRT(Parameters!$B$5)*Factors!LT3+SQRT(Parameters!$B$6)*Factors!LT7+SQRT(Parameters!$B$7)*Factors!LT10+SQRT(Parameters!$B$9)*NORM.S.INV(RAND())</f>
        <v/>
      </c>
      <c r="LU10" s="19">
        <f>SQRT(Parameters!$B$5)*Factors!LU3+SQRT(Parameters!$B$6)*Factors!LU7+SQRT(Parameters!$B$7)*Factors!LU10+SQRT(Parameters!$B$9)*NORM.S.INV(RAND())</f>
        <v/>
      </c>
      <c r="LV10" s="19">
        <f>SQRT(Parameters!$B$5)*Factors!LV3+SQRT(Parameters!$B$6)*Factors!LV7+SQRT(Parameters!$B$7)*Factors!LV10+SQRT(Parameters!$B$9)*NORM.S.INV(RAND())</f>
        <v/>
      </c>
      <c r="LW10" s="19">
        <f>SQRT(Parameters!$B$5)*Factors!LW3+SQRT(Parameters!$B$6)*Factors!LW7+SQRT(Parameters!$B$7)*Factors!LW10+SQRT(Parameters!$B$9)*NORM.S.INV(RAND())</f>
        <v/>
      </c>
      <c r="LX10" s="19">
        <f>SQRT(Parameters!$B$5)*Factors!LX3+SQRT(Parameters!$B$6)*Factors!LX7+SQRT(Parameters!$B$7)*Factors!LX10+SQRT(Parameters!$B$9)*NORM.S.INV(RAND())</f>
        <v/>
      </c>
      <c r="LY10" s="19">
        <f>SQRT(Parameters!$B$5)*Factors!LY3+SQRT(Parameters!$B$6)*Factors!LY7+SQRT(Parameters!$B$7)*Factors!LY10+SQRT(Parameters!$B$9)*NORM.S.INV(RAND())</f>
        <v/>
      </c>
      <c r="LZ10" s="19">
        <f>SQRT(Parameters!$B$5)*Factors!LZ3+SQRT(Parameters!$B$6)*Factors!LZ7+SQRT(Parameters!$B$7)*Factors!LZ10+SQRT(Parameters!$B$9)*NORM.S.INV(RAND())</f>
        <v/>
      </c>
      <c r="MA10" s="19">
        <f>SQRT(Parameters!$B$5)*Factors!MA3+SQRT(Parameters!$B$6)*Factors!MA7+SQRT(Parameters!$B$7)*Factors!MA10+SQRT(Parameters!$B$9)*NORM.S.INV(RAND())</f>
        <v/>
      </c>
      <c r="MB10" s="19">
        <f>SQRT(Parameters!$B$5)*Factors!MB3+SQRT(Parameters!$B$6)*Factors!MB7+SQRT(Parameters!$B$7)*Factors!MB10+SQRT(Parameters!$B$9)*NORM.S.INV(RAND())</f>
        <v/>
      </c>
      <c r="MC10" s="19">
        <f>SQRT(Parameters!$B$5)*Factors!MC3+SQRT(Parameters!$B$6)*Factors!MC7+SQRT(Parameters!$B$7)*Factors!MC10+SQRT(Parameters!$B$9)*NORM.S.INV(RAND())</f>
        <v/>
      </c>
      <c r="MD10" s="19">
        <f>SQRT(Parameters!$B$5)*Factors!MD3+SQRT(Parameters!$B$6)*Factors!MD7+SQRT(Parameters!$B$7)*Factors!MD10+SQRT(Parameters!$B$9)*NORM.S.INV(RAND())</f>
        <v/>
      </c>
      <c r="ME10" s="19">
        <f>SQRT(Parameters!$B$5)*Factors!ME3+SQRT(Parameters!$B$6)*Factors!ME7+SQRT(Parameters!$B$7)*Factors!ME10+SQRT(Parameters!$B$9)*NORM.S.INV(RAND())</f>
        <v/>
      </c>
      <c r="MF10" s="19">
        <f>SQRT(Parameters!$B$5)*Factors!MF3+SQRT(Parameters!$B$6)*Factors!MF7+SQRT(Parameters!$B$7)*Factors!MF10+SQRT(Parameters!$B$9)*NORM.S.INV(RAND())</f>
        <v/>
      </c>
      <c r="MG10" s="19">
        <f>SQRT(Parameters!$B$5)*Factors!MG3+SQRT(Parameters!$B$6)*Factors!MG7+SQRT(Parameters!$B$7)*Factors!MG10+SQRT(Parameters!$B$9)*NORM.S.INV(RAND())</f>
        <v/>
      </c>
      <c r="MH10" s="19">
        <f>SQRT(Parameters!$B$5)*Factors!MH3+SQRT(Parameters!$B$6)*Factors!MH7+SQRT(Parameters!$B$7)*Factors!MH10+SQRT(Parameters!$B$9)*NORM.S.INV(RAND())</f>
        <v/>
      </c>
      <c r="MI10" s="19">
        <f>SQRT(Parameters!$B$5)*Factors!MI3+SQRT(Parameters!$B$6)*Factors!MI7+SQRT(Parameters!$B$7)*Factors!MI10+SQRT(Parameters!$B$9)*NORM.S.INV(RAND())</f>
        <v/>
      </c>
      <c r="MJ10" s="19">
        <f>SQRT(Parameters!$B$5)*Factors!MJ3+SQRT(Parameters!$B$6)*Factors!MJ7+SQRT(Parameters!$B$7)*Factors!MJ10+SQRT(Parameters!$B$9)*NORM.S.INV(RAND())</f>
        <v/>
      </c>
      <c r="MK10" s="19">
        <f>SQRT(Parameters!$B$5)*Factors!MK3+SQRT(Parameters!$B$6)*Factors!MK7+SQRT(Parameters!$B$7)*Factors!MK10+SQRT(Parameters!$B$9)*NORM.S.INV(RAND())</f>
        <v/>
      </c>
      <c r="ML10" s="19">
        <f>SQRT(Parameters!$B$5)*Factors!ML3+SQRT(Parameters!$B$6)*Factors!ML7+SQRT(Parameters!$B$7)*Factors!ML10+SQRT(Parameters!$B$9)*NORM.S.INV(RAND())</f>
        <v/>
      </c>
      <c r="MM10" s="19">
        <f>SQRT(Parameters!$B$5)*Factors!MM3+SQRT(Parameters!$B$6)*Factors!MM7+SQRT(Parameters!$B$7)*Factors!MM10+SQRT(Parameters!$B$9)*NORM.S.INV(RAND())</f>
        <v/>
      </c>
      <c r="MN10" s="19">
        <f>SQRT(Parameters!$B$5)*Factors!MN3+SQRT(Parameters!$B$6)*Factors!MN7+SQRT(Parameters!$B$7)*Factors!MN10+SQRT(Parameters!$B$9)*NORM.S.INV(RAND())</f>
        <v/>
      </c>
      <c r="MO10" s="19">
        <f>SQRT(Parameters!$B$5)*Factors!MO3+SQRT(Parameters!$B$6)*Factors!MO7+SQRT(Parameters!$B$7)*Factors!MO10+SQRT(Parameters!$B$9)*NORM.S.INV(RAND())</f>
        <v/>
      </c>
      <c r="MP10" s="19">
        <f>SQRT(Parameters!$B$5)*Factors!MP3+SQRT(Parameters!$B$6)*Factors!MP7+SQRT(Parameters!$B$7)*Factors!MP10+SQRT(Parameters!$B$9)*NORM.S.INV(RAND())</f>
        <v/>
      </c>
      <c r="MQ10" s="19">
        <f>SQRT(Parameters!$B$5)*Factors!MQ3+SQRT(Parameters!$B$6)*Factors!MQ7+SQRT(Parameters!$B$7)*Factors!MQ10+SQRT(Parameters!$B$9)*NORM.S.INV(RAND())</f>
        <v/>
      </c>
      <c r="MR10" s="19">
        <f>SQRT(Parameters!$B$5)*Factors!MR3+SQRT(Parameters!$B$6)*Factors!MR7+SQRT(Parameters!$B$7)*Factors!MR10+SQRT(Parameters!$B$9)*NORM.S.INV(RAND())</f>
        <v/>
      </c>
      <c r="MS10" s="19">
        <f>SQRT(Parameters!$B$5)*Factors!MS3+SQRT(Parameters!$B$6)*Factors!MS7+SQRT(Parameters!$B$7)*Factors!MS10+SQRT(Parameters!$B$9)*NORM.S.INV(RAND())</f>
        <v/>
      </c>
      <c r="MT10" s="19">
        <f>SQRT(Parameters!$B$5)*Factors!MT3+SQRT(Parameters!$B$6)*Factors!MT7+SQRT(Parameters!$B$7)*Factors!MT10+SQRT(Parameters!$B$9)*NORM.S.INV(RAND())</f>
        <v/>
      </c>
      <c r="MU10" s="19">
        <f>SQRT(Parameters!$B$5)*Factors!MU3+SQRT(Parameters!$B$6)*Factors!MU7+SQRT(Parameters!$B$7)*Factors!MU10+SQRT(Parameters!$B$9)*NORM.S.INV(RAND())</f>
        <v/>
      </c>
      <c r="MV10" s="19">
        <f>SQRT(Parameters!$B$5)*Factors!MV3+SQRT(Parameters!$B$6)*Factors!MV7+SQRT(Parameters!$B$7)*Factors!MV10+SQRT(Parameters!$B$9)*NORM.S.INV(RAND())</f>
        <v/>
      </c>
      <c r="MW10" s="19">
        <f>SQRT(Parameters!$B$5)*Factors!MW3+SQRT(Parameters!$B$6)*Factors!MW7+SQRT(Parameters!$B$7)*Factors!MW10+SQRT(Parameters!$B$9)*NORM.S.INV(RAND())</f>
        <v/>
      </c>
      <c r="MX10" s="19">
        <f>SQRT(Parameters!$B$5)*Factors!MX3+SQRT(Parameters!$B$6)*Factors!MX7+SQRT(Parameters!$B$7)*Factors!MX10+SQRT(Parameters!$B$9)*NORM.S.INV(RAND())</f>
        <v/>
      </c>
      <c r="MY10" s="19">
        <f>SQRT(Parameters!$B$5)*Factors!MY3+SQRT(Parameters!$B$6)*Factors!MY7+SQRT(Parameters!$B$7)*Factors!MY10+SQRT(Parameters!$B$9)*NORM.S.INV(RAND())</f>
        <v/>
      </c>
      <c r="MZ10" s="19">
        <f>SQRT(Parameters!$B$5)*Factors!MZ3+SQRT(Parameters!$B$6)*Factors!MZ7+SQRT(Parameters!$B$7)*Factors!MZ10+SQRT(Parameters!$B$9)*NORM.S.INV(RAND())</f>
        <v/>
      </c>
      <c r="NA10" s="19">
        <f>SQRT(Parameters!$B$5)*Factors!NA3+SQRT(Parameters!$B$6)*Factors!NA7+SQRT(Parameters!$B$7)*Factors!NA10+SQRT(Parameters!$B$9)*NORM.S.INV(RAND())</f>
        <v/>
      </c>
      <c r="NB10" s="19">
        <f>SQRT(Parameters!$B$5)*Factors!NB3+SQRT(Parameters!$B$6)*Factors!NB7+SQRT(Parameters!$B$7)*Factors!NB10+SQRT(Parameters!$B$9)*NORM.S.INV(RAND())</f>
        <v/>
      </c>
      <c r="NC10" s="19">
        <f>SQRT(Parameters!$B$5)*Factors!NC3+SQRT(Parameters!$B$6)*Factors!NC7+SQRT(Parameters!$B$7)*Factors!NC10+SQRT(Parameters!$B$9)*NORM.S.INV(RAND())</f>
        <v/>
      </c>
      <c r="ND10" s="19">
        <f>SQRT(Parameters!$B$5)*Factors!ND3+SQRT(Parameters!$B$6)*Factors!ND7+SQRT(Parameters!$B$7)*Factors!ND10+SQRT(Parameters!$B$9)*NORM.S.INV(RAND())</f>
        <v/>
      </c>
      <c r="NE10" s="19">
        <f>SQRT(Parameters!$B$5)*Factors!NE3+SQRT(Parameters!$B$6)*Factors!NE7+SQRT(Parameters!$B$7)*Factors!NE10+SQRT(Parameters!$B$9)*NORM.S.INV(RAND())</f>
        <v/>
      </c>
      <c r="NF10" s="19">
        <f>SQRT(Parameters!$B$5)*Factors!NF3+SQRT(Parameters!$B$6)*Factors!NF7+SQRT(Parameters!$B$7)*Factors!NF10+SQRT(Parameters!$B$9)*NORM.S.INV(RAND())</f>
        <v/>
      </c>
      <c r="NG10" s="19">
        <f>SQRT(Parameters!$B$5)*Factors!NG3+SQRT(Parameters!$B$6)*Factors!NG7+SQRT(Parameters!$B$7)*Factors!NG10+SQRT(Parameters!$B$9)*NORM.S.INV(RAND())</f>
        <v/>
      </c>
      <c r="NH10" s="19">
        <f>SQRT(Parameters!$B$5)*Factors!NH3+SQRT(Parameters!$B$6)*Factors!NH7+SQRT(Parameters!$B$7)*Factors!NH10+SQRT(Parameters!$B$9)*NORM.S.INV(RAND())</f>
        <v/>
      </c>
      <c r="NI10" s="19">
        <f>SQRT(Parameters!$B$5)*Factors!NI3+SQRT(Parameters!$B$6)*Factors!NI7+SQRT(Parameters!$B$7)*Factors!NI10+SQRT(Parameters!$B$9)*NORM.S.INV(RAND())</f>
        <v/>
      </c>
      <c r="NJ10" s="19">
        <f>SQRT(Parameters!$B$5)*Factors!NJ3+SQRT(Parameters!$B$6)*Factors!NJ7+SQRT(Parameters!$B$7)*Factors!NJ10+SQRT(Parameters!$B$9)*NORM.S.INV(RAND())</f>
        <v/>
      </c>
      <c r="NK10" s="19">
        <f>SQRT(Parameters!$B$5)*Factors!NK3+SQRT(Parameters!$B$6)*Factors!NK7+SQRT(Parameters!$B$7)*Factors!NK10+SQRT(Parameters!$B$9)*NORM.S.INV(RAND())</f>
        <v/>
      </c>
      <c r="NL10" s="19">
        <f>SQRT(Parameters!$B$5)*Factors!NL3+SQRT(Parameters!$B$6)*Factors!NL7+SQRT(Parameters!$B$7)*Factors!NL10+SQRT(Parameters!$B$9)*NORM.S.INV(RAND())</f>
        <v/>
      </c>
      <c r="NM10" s="19">
        <f>SQRT(Parameters!$B$5)*Factors!NM3+SQRT(Parameters!$B$6)*Factors!NM7+SQRT(Parameters!$B$7)*Factors!NM10+SQRT(Parameters!$B$9)*NORM.S.INV(RAND())</f>
        <v/>
      </c>
      <c r="NN10" s="19">
        <f>SQRT(Parameters!$B$5)*Factors!NN3+SQRT(Parameters!$B$6)*Factors!NN7+SQRT(Parameters!$B$7)*Factors!NN10+SQRT(Parameters!$B$9)*NORM.S.INV(RAND())</f>
        <v/>
      </c>
      <c r="NO10" s="19">
        <f>SQRT(Parameters!$B$5)*Factors!NO3+SQRT(Parameters!$B$6)*Factors!NO7+SQRT(Parameters!$B$7)*Factors!NO10+SQRT(Parameters!$B$9)*NORM.S.INV(RAND())</f>
        <v/>
      </c>
      <c r="NP10" s="19">
        <f>SQRT(Parameters!$B$5)*Factors!NP3+SQRT(Parameters!$B$6)*Factors!NP7+SQRT(Parameters!$B$7)*Factors!NP10+SQRT(Parameters!$B$9)*NORM.S.INV(RAND())</f>
        <v/>
      </c>
      <c r="NQ10" s="19">
        <f>SQRT(Parameters!$B$5)*Factors!NQ3+SQRT(Parameters!$B$6)*Factors!NQ7+SQRT(Parameters!$B$7)*Factors!NQ10+SQRT(Parameters!$B$9)*NORM.S.INV(RAND())</f>
        <v/>
      </c>
      <c r="NR10" s="19">
        <f>SQRT(Parameters!$B$5)*Factors!NR3+SQRT(Parameters!$B$6)*Factors!NR7+SQRT(Parameters!$B$7)*Factors!NR10+SQRT(Parameters!$B$9)*NORM.S.INV(RAND())</f>
        <v/>
      </c>
      <c r="NS10" s="19">
        <f>SQRT(Parameters!$B$5)*Factors!NS3+SQRT(Parameters!$B$6)*Factors!NS7+SQRT(Parameters!$B$7)*Factors!NS10+SQRT(Parameters!$B$9)*NORM.S.INV(RAND())</f>
        <v/>
      </c>
      <c r="NT10" s="19">
        <f>SQRT(Parameters!$B$5)*Factors!NT3+SQRT(Parameters!$B$6)*Factors!NT7+SQRT(Parameters!$B$7)*Factors!NT10+SQRT(Parameters!$B$9)*NORM.S.INV(RAND())</f>
        <v/>
      </c>
      <c r="NU10" s="19">
        <f>SQRT(Parameters!$B$5)*Factors!NU3+SQRT(Parameters!$B$6)*Factors!NU7+SQRT(Parameters!$B$7)*Factors!NU10+SQRT(Parameters!$B$9)*NORM.S.INV(RAND())</f>
        <v/>
      </c>
      <c r="NV10" s="19">
        <f>SQRT(Parameters!$B$5)*Factors!NV3+SQRT(Parameters!$B$6)*Factors!NV7+SQRT(Parameters!$B$7)*Factors!NV10+SQRT(Parameters!$B$9)*NORM.S.INV(RAND())</f>
        <v/>
      </c>
      <c r="NW10" s="19">
        <f>SQRT(Parameters!$B$5)*Factors!NW3+SQRT(Parameters!$B$6)*Factors!NW7+SQRT(Parameters!$B$7)*Factors!NW10+SQRT(Parameters!$B$9)*NORM.S.INV(RAND())</f>
        <v/>
      </c>
      <c r="NX10" s="19">
        <f>SQRT(Parameters!$B$5)*Factors!NX3+SQRT(Parameters!$B$6)*Factors!NX7+SQRT(Parameters!$B$7)*Factors!NX10+SQRT(Parameters!$B$9)*NORM.S.INV(RAND())</f>
        <v/>
      </c>
      <c r="NY10" s="19">
        <f>SQRT(Parameters!$B$5)*Factors!NY3+SQRT(Parameters!$B$6)*Factors!NY7+SQRT(Parameters!$B$7)*Factors!NY10+SQRT(Parameters!$B$9)*NORM.S.INV(RAND())</f>
        <v/>
      </c>
      <c r="NZ10" s="19">
        <f>SQRT(Parameters!$B$5)*Factors!NZ3+SQRT(Parameters!$B$6)*Factors!NZ7+SQRT(Parameters!$B$7)*Factors!NZ10+SQRT(Parameters!$B$9)*NORM.S.INV(RAND())</f>
        <v/>
      </c>
      <c r="OA10" s="19">
        <f>SQRT(Parameters!$B$5)*Factors!OA3+SQRT(Parameters!$B$6)*Factors!OA7+SQRT(Parameters!$B$7)*Factors!OA10+SQRT(Parameters!$B$9)*NORM.S.INV(RAND())</f>
        <v/>
      </c>
      <c r="OB10" s="19">
        <f>SQRT(Parameters!$B$5)*Factors!OB3+SQRT(Parameters!$B$6)*Factors!OB7+SQRT(Parameters!$B$7)*Factors!OB10+SQRT(Parameters!$B$9)*NORM.S.INV(RAND())</f>
        <v/>
      </c>
      <c r="OC10" s="19">
        <f>SQRT(Parameters!$B$5)*Factors!OC3+SQRT(Parameters!$B$6)*Factors!OC7+SQRT(Parameters!$B$7)*Factors!OC10+SQRT(Parameters!$B$9)*NORM.S.INV(RAND())</f>
        <v/>
      </c>
      <c r="OD10" s="19">
        <f>SQRT(Parameters!$B$5)*Factors!OD3+SQRT(Parameters!$B$6)*Factors!OD7+SQRT(Parameters!$B$7)*Factors!OD10+SQRT(Parameters!$B$9)*NORM.S.INV(RAND())</f>
        <v/>
      </c>
      <c r="OE10" s="19">
        <f>SQRT(Parameters!$B$5)*Factors!OE3+SQRT(Parameters!$B$6)*Factors!OE7+SQRT(Parameters!$B$7)*Factors!OE10+SQRT(Parameters!$B$9)*NORM.S.INV(RAND())</f>
        <v/>
      </c>
      <c r="OF10" s="19">
        <f>SQRT(Parameters!$B$5)*Factors!OF3+SQRT(Parameters!$B$6)*Factors!OF7+SQRT(Parameters!$B$7)*Factors!OF10+SQRT(Parameters!$B$9)*NORM.S.INV(RAND())</f>
        <v/>
      </c>
      <c r="OG10" s="19">
        <f>SQRT(Parameters!$B$5)*Factors!OG3+SQRT(Parameters!$B$6)*Factors!OG7+SQRT(Parameters!$B$7)*Factors!OG10+SQRT(Parameters!$B$9)*NORM.S.INV(RAND())</f>
        <v/>
      </c>
      <c r="OH10" s="19">
        <f>SQRT(Parameters!$B$5)*Factors!OH3+SQRT(Parameters!$B$6)*Factors!OH7+SQRT(Parameters!$B$7)*Factors!OH10+SQRT(Parameters!$B$9)*NORM.S.INV(RAND())</f>
        <v/>
      </c>
      <c r="OI10" s="19">
        <f>SQRT(Parameters!$B$5)*Factors!OI3+SQRT(Parameters!$B$6)*Factors!OI7+SQRT(Parameters!$B$7)*Factors!OI10+SQRT(Parameters!$B$9)*NORM.S.INV(RAND())</f>
        <v/>
      </c>
      <c r="OJ10" s="19">
        <f>SQRT(Parameters!$B$5)*Factors!OJ3+SQRT(Parameters!$B$6)*Factors!OJ7+SQRT(Parameters!$B$7)*Factors!OJ10+SQRT(Parameters!$B$9)*NORM.S.INV(RAND())</f>
        <v/>
      </c>
      <c r="OK10" s="19">
        <f>SQRT(Parameters!$B$5)*Factors!OK3+SQRT(Parameters!$B$6)*Factors!OK7+SQRT(Parameters!$B$7)*Factors!OK10+SQRT(Parameters!$B$9)*NORM.S.INV(RAND())</f>
        <v/>
      </c>
      <c r="OL10" s="19">
        <f>SQRT(Parameters!$B$5)*Factors!OL3+SQRT(Parameters!$B$6)*Factors!OL7+SQRT(Parameters!$B$7)*Factors!OL10+SQRT(Parameters!$B$9)*NORM.S.INV(RAND())</f>
        <v/>
      </c>
      <c r="OM10" s="19">
        <f>SQRT(Parameters!$B$5)*Factors!OM3+SQRT(Parameters!$B$6)*Factors!OM7+SQRT(Parameters!$B$7)*Factors!OM10+SQRT(Parameters!$B$9)*NORM.S.INV(RAND())</f>
        <v/>
      </c>
      <c r="ON10" s="19">
        <f>SQRT(Parameters!$B$5)*Factors!ON3+SQRT(Parameters!$B$6)*Factors!ON7+SQRT(Parameters!$B$7)*Factors!ON10+SQRT(Parameters!$B$9)*NORM.S.INV(RAND())</f>
        <v/>
      </c>
      <c r="OO10" s="19">
        <f>SQRT(Parameters!$B$5)*Factors!OO3+SQRT(Parameters!$B$6)*Factors!OO7+SQRT(Parameters!$B$7)*Factors!OO10+SQRT(Parameters!$B$9)*NORM.S.INV(RAND())</f>
        <v/>
      </c>
      <c r="OP10" s="19">
        <f>SQRT(Parameters!$B$5)*Factors!OP3+SQRT(Parameters!$B$6)*Factors!OP7+SQRT(Parameters!$B$7)*Factors!OP10+SQRT(Parameters!$B$9)*NORM.S.INV(RAND())</f>
        <v/>
      </c>
      <c r="OQ10" s="19">
        <f>SQRT(Parameters!$B$5)*Factors!OQ3+SQRT(Parameters!$B$6)*Factors!OQ7+SQRT(Parameters!$B$7)*Factors!OQ10+SQRT(Parameters!$B$9)*NORM.S.INV(RAND())</f>
        <v/>
      </c>
      <c r="OR10" s="19">
        <f>SQRT(Parameters!$B$5)*Factors!OR3+SQRT(Parameters!$B$6)*Factors!OR7+SQRT(Parameters!$B$7)*Factors!OR10+SQRT(Parameters!$B$9)*NORM.S.INV(RAND())</f>
        <v/>
      </c>
      <c r="OS10" s="19">
        <f>SQRT(Parameters!$B$5)*Factors!OS3+SQRT(Parameters!$B$6)*Factors!OS7+SQRT(Parameters!$B$7)*Factors!OS10+SQRT(Parameters!$B$9)*NORM.S.INV(RAND())</f>
        <v/>
      </c>
      <c r="OT10" s="19">
        <f>SQRT(Parameters!$B$5)*Factors!OT3+SQRT(Parameters!$B$6)*Factors!OT7+SQRT(Parameters!$B$7)*Factors!OT10+SQRT(Parameters!$B$9)*NORM.S.INV(RAND())</f>
        <v/>
      </c>
      <c r="OU10" s="19">
        <f>SQRT(Parameters!$B$5)*Factors!OU3+SQRT(Parameters!$B$6)*Factors!OU7+SQRT(Parameters!$B$7)*Factors!OU10+SQRT(Parameters!$B$9)*NORM.S.INV(RAND())</f>
        <v/>
      </c>
      <c r="OV10" s="19">
        <f>SQRT(Parameters!$B$5)*Factors!OV3+SQRT(Parameters!$B$6)*Factors!OV7+SQRT(Parameters!$B$7)*Factors!OV10+SQRT(Parameters!$B$9)*NORM.S.INV(RAND())</f>
        <v/>
      </c>
      <c r="OW10" s="19">
        <f>SQRT(Parameters!$B$5)*Factors!OW3+SQRT(Parameters!$B$6)*Factors!OW7+SQRT(Parameters!$B$7)*Factors!OW10+SQRT(Parameters!$B$9)*NORM.S.INV(RAND())</f>
        <v/>
      </c>
      <c r="OX10" s="19">
        <f>SQRT(Parameters!$B$5)*Factors!OX3+SQRT(Parameters!$B$6)*Factors!OX7+SQRT(Parameters!$B$7)*Factors!OX10+SQRT(Parameters!$B$9)*NORM.S.INV(RAND())</f>
        <v/>
      </c>
      <c r="OY10" s="19">
        <f>SQRT(Parameters!$B$5)*Factors!OY3+SQRT(Parameters!$B$6)*Factors!OY7+SQRT(Parameters!$B$7)*Factors!OY10+SQRT(Parameters!$B$9)*NORM.S.INV(RAND())</f>
        <v/>
      </c>
      <c r="OZ10" s="19">
        <f>SQRT(Parameters!$B$5)*Factors!OZ3+SQRT(Parameters!$B$6)*Factors!OZ7+SQRT(Parameters!$B$7)*Factors!OZ10+SQRT(Parameters!$B$9)*NORM.S.INV(RAND())</f>
        <v/>
      </c>
      <c r="PA10" s="19">
        <f>SQRT(Parameters!$B$5)*Factors!PA3+SQRT(Parameters!$B$6)*Factors!PA7+SQRT(Parameters!$B$7)*Factors!PA10+SQRT(Parameters!$B$9)*NORM.S.INV(RAND())</f>
        <v/>
      </c>
      <c r="PB10" s="19">
        <f>SQRT(Parameters!$B$5)*Factors!PB3+SQRT(Parameters!$B$6)*Factors!PB7+SQRT(Parameters!$B$7)*Factors!PB10+SQRT(Parameters!$B$9)*NORM.S.INV(RAND())</f>
        <v/>
      </c>
      <c r="PC10" s="19">
        <f>SQRT(Parameters!$B$5)*Factors!PC3+SQRT(Parameters!$B$6)*Factors!PC7+SQRT(Parameters!$B$7)*Factors!PC10+SQRT(Parameters!$B$9)*NORM.S.INV(RAND())</f>
        <v/>
      </c>
      <c r="PD10" s="19">
        <f>SQRT(Parameters!$B$5)*Factors!PD3+SQRT(Parameters!$B$6)*Factors!PD7+SQRT(Parameters!$B$7)*Factors!PD10+SQRT(Parameters!$B$9)*NORM.S.INV(RAND())</f>
        <v/>
      </c>
      <c r="PE10" s="19">
        <f>SQRT(Parameters!$B$5)*Factors!PE3+SQRT(Parameters!$B$6)*Factors!PE7+SQRT(Parameters!$B$7)*Factors!PE10+SQRT(Parameters!$B$9)*NORM.S.INV(RAND())</f>
        <v/>
      </c>
      <c r="PF10" s="19">
        <f>SQRT(Parameters!$B$5)*Factors!PF3+SQRT(Parameters!$B$6)*Factors!PF7+SQRT(Parameters!$B$7)*Factors!PF10+SQRT(Parameters!$B$9)*NORM.S.INV(RAND())</f>
        <v/>
      </c>
      <c r="PG10" s="19">
        <f>SQRT(Parameters!$B$5)*Factors!PG3+SQRT(Parameters!$B$6)*Factors!PG7+SQRT(Parameters!$B$7)*Factors!PG10+SQRT(Parameters!$B$9)*NORM.S.INV(RAND())</f>
        <v/>
      </c>
      <c r="PH10" s="19">
        <f>SQRT(Parameters!$B$5)*Factors!PH3+SQRT(Parameters!$B$6)*Factors!PH7+SQRT(Parameters!$B$7)*Factors!PH10+SQRT(Parameters!$B$9)*NORM.S.INV(RAND())</f>
        <v/>
      </c>
      <c r="PI10" s="19">
        <f>SQRT(Parameters!$B$5)*Factors!PI3+SQRT(Parameters!$B$6)*Factors!PI7+SQRT(Parameters!$B$7)*Factors!PI10+SQRT(Parameters!$B$9)*NORM.S.INV(RAND())</f>
        <v/>
      </c>
      <c r="PJ10" s="19">
        <f>SQRT(Parameters!$B$5)*Factors!PJ3+SQRT(Parameters!$B$6)*Factors!PJ7+SQRT(Parameters!$B$7)*Factors!PJ10+SQRT(Parameters!$B$9)*NORM.S.INV(RAND())</f>
        <v/>
      </c>
      <c r="PK10" s="19">
        <f>SQRT(Parameters!$B$5)*Factors!PK3+SQRT(Parameters!$B$6)*Factors!PK7+SQRT(Parameters!$B$7)*Factors!PK10+SQRT(Parameters!$B$9)*NORM.S.INV(RAND())</f>
        <v/>
      </c>
      <c r="PL10" s="19">
        <f>SQRT(Parameters!$B$5)*Factors!PL3+SQRT(Parameters!$B$6)*Factors!PL7+SQRT(Parameters!$B$7)*Factors!PL10+SQRT(Parameters!$B$9)*NORM.S.INV(RAND())</f>
        <v/>
      </c>
      <c r="PM10" s="19">
        <f>SQRT(Parameters!$B$5)*Factors!PM3+SQRT(Parameters!$B$6)*Factors!PM7+SQRT(Parameters!$B$7)*Factors!PM10+SQRT(Parameters!$B$9)*NORM.S.INV(RAND())</f>
        <v/>
      </c>
      <c r="PN10" s="19">
        <f>SQRT(Parameters!$B$5)*Factors!PN3+SQRT(Parameters!$B$6)*Factors!PN7+SQRT(Parameters!$B$7)*Factors!PN10+SQRT(Parameters!$B$9)*NORM.S.INV(RAND())</f>
        <v/>
      </c>
      <c r="PO10" s="19">
        <f>SQRT(Parameters!$B$5)*Factors!PO3+SQRT(Parameters!$B$6)*Factors!PO7+SQRT(Parameters!$B$7)*Factors!PO10+SQRT(Parameters!$B$9)*NORM.S.INV(RAND())</f>
        <v/>
      </c>
      <c r="PP10" s="19">
        <f>SQRT(Parameters!$B$5)*Factors!PP3+SQRT(Parameters!$B$6)*Factors!PP7+SQRT(Parameters!$B$7)*Factors!PP10+SQRT(Parameters!$B$9)*NORM.S.INV(RAND())</f>
        <v/>
      </c>
      <c r="PQ10" s="19">
        <f>SQRT(Parameters!$B$5)*Factors!PQ3+SQRT(Parameters!$B$6)*Factors!PQ7+SQRT(Parameters!$B$7)*Factors!PQ10+SQRT(Parameters!$B$9)*NORM.S.INV(RAND())</f>
        <v/>
      </c>
      <c r="PR10" s="19">
        <f>SQRT(Parameters!$B$5)*Factors!PR3+SQRT(Parameters!$B$6)*Factors!PR7+SQRT(Parameters!$B$7)*Factors!PR10+SQRT(Parameters!$B$9)*NORM.S.INV(RAND())</f>
        <v/>
      </c>
      <c r="PS10" s="19">
        <f>SQRT(Parameters!$B$5)*Factors!PS3+SQRT(Parameters!$B$6)*Factors!PS7+SQRT(Parameters!$B$7)*Factors!PS10+SQRT(Parameters!$B$9)*NORM.S.INV(RAND())</f>
        <v/>
      </c>
      <c r="PT10" s="19">
        <f>SQRT(Parameters!$B$5)*Factors!PT3+SQRT(Parameters!$B$6)*Factors!PT7+SQRT(Parameters!$B$7)*Factors!PT10+SQRT(Parameters!$B$9)*NORM.S.INV(RAND())</f>
        <v/>
      </c>
      <c r="PU10" s="19">
        <f>SQRT(Parameters!$B$5)*Factors!PU3+SQRT(Parameters!$B$6)*Factors!PU7+SQRT(Parameters!$B$7)*Factors!PU10+SQRT(Parameters!$B$9)*NORM.S.INV(RAND())</f>
        <v/>
      </c>
      <c r="PV10" s="19">
        <f>SQRT(Parameters!$B$5)*Factors!PV3+SQRT(Parameters!$B$6)*Factors!PV7+SQRT(Parameters!$B$7)*Factors!PV10+SQRT(Parameters!$B$9)*NORM.S.INV(RAND())</f>
        <v/>
      </c>
      <c r="PW10" s="19">
        <f>SQRT(Parameters!$B$5)*Factors!PW3+SQRT(Parameters!$B$6)*Factors!PW7+SQRT(Parameters!$B$7)*Factors!PW10+SQRT(Parameters!$B$9)*NORM.S.INV(RAND())</f>
        <v/>
      </c>
      <c r="PX10" s="19">
        <f>SQRT(Parameters!$B$5)*Factors!PX3+SQRT(Parameters!$B$6)*Factors!PX7+SQRT(Parameters!$B$7)*Factors!PX10+SQRT(Parameters!$B$9)*NORM.S.INV(RAND())</f>
        <v/>
      </c>
      <c r="PY10" s="19">
        <f>SQRT(Parameters!$B$5)*Factors!PY3+SQRT(Parameters!$B$6)*Factors!PY7+SQRT(Parameters!$B$7)*Factors!PY10+SQRT(Parameters!$B$9)*NORM.S.INV(RAND())</f>
        <v/>
      </c>
      <c r="PZ10" s="19">
        <f>SQRT(Parameters!$B$5)*Factors!PZ3+SQRT(Parameters!$B$6)*Factors!PZ7+SQRT(Parameters!$B$7)*Factors!PZ10+SQRT(Parameters!$B$9)*NORM.S.INV(RAND())</f>
        <v/>
      </c>
      <c r="QA10" s="19">
        <f>SQRT(Parameters!$B$5)*Factors!QA3+SQRT(Parameters!$B$6)*Factors!QA7+SQRT(Parameters!$B$7)*Factors!QA10+SQRT(Parameters!$B$9)*NORM.S.INV(RAND())</f>
        <v/>
      </c>
      <c r="QB10" s="19">
        <f>SQRT(Parameters!$B$5)*Factors!QB3+SQRT(Parameters!$B$6)*Factors!QB7+SQRT(Parameters!$B$7)*Factors!QB10+SQRT(Parameters!$B$9)*NORM.S.INV(RAND())</f>
        <v/>
      </c>
      <c r="QC10" s="19">
        <f>SQRT(Parameters!$B$5)*Factors!QC3+SQRT(Parameters!$B$6)*Factors!QC7+SQRT(Parameters!$B$7)*Factors!QC10+SQRT(Parameters!$B$9)*NORM.S.INV(RAND())</f>
        <v/>
      </c>
      <c r="QD10" s="19">
        <f>SQRT(Parameters!$B$5)*Factors!QD3+SQRT(Parameters!$B$6)*Factors!QD7+SQRT(Parameters!$B$7)*Factors!QD10+SQRT(Parameters!$B$9)*NORM.S.INV(RAND())</f>
        <v/>
      </c>
      <c r="QE10" s="19">
        <f>SQRT(Parameters!$B$5)*Factors!QE3+SQRT(Parameters!$B$6)*Factors!QE7+SQRT(Parameters!$B$7)*Factors!QE10+SQRT(Parameters!$B$9)*NORM.S.INV(RAND())</f>
        <v/>
      </c>
      <c r="QF10" s="19">
        <f>SQRT(Parameters!$B$5)*Factors!QF3+SQRT(Parameters!$B$6)*Factors!QF7+SQRT(Parameters!$B$7)*Factors!QF10+SQRT(Parameters!$B$9)*NORM.S.INV(RAND())</f>
        <v/>
      </c>
      <c r="QG10" s="19">
        <f>SQRT(Parameters!$B$5)*Factors!QG3+SQRT(Parameters!$B$6)*Factors!QG7+SQRT(Parameters!$B$7)*Factors!QG10+SQRT(Parameters!$B$9)*NORM.S.INV(RAND())</f>
        <v/>
      </c>
      <c r="QH10" s="19">
        <f>SQRT(Parameters!$B$5)*Factors!QH3+SQRT(Parameters!$B$6)*Factors!QH7+SQRT(Parameters!$B$7)*Factors!QH10+SQRT(Parameters!$B$9)*NORM.S.INV(RAND())</f>
        <v/>
      </c>
      <c r="QI10" s="19">
        <f>SQRT(Parameters!$B$5)*Factors!QI3+SQRT(Parameters!$B$6)*Factors!QI7+SQRT(Parameters!$B$7)*Factors!QI10+SQRT(Parameters!$B$9)*NORM.S.INV(RAND())</f>
        <v/>
      </c>
      <c r="QJ10" s="19">
        <f>SQRT(Parameters!$B$5)*Factors!QJ3+SQRT(Parameters!$B$6)*Factors!QJ7+SQRT(Parameters!$B$7)*Factors!QJ10+SQRT(Parameters!$B$9)*NORM.S.INV(RAND())</f>
        <v/>
      </c>
      <c r="QK10" s="19">
        <f>SQRT(Parameters!$B$5)*Factors!QK3+SQRT(Parameters!$B$6)*Factors!QK7+SQRT(Parameters!$B$7)*Factors!QK10+SQRT(Parameters!$B$9)*NORM.S.INV(RAND())</f>
        <v/>
      </c>
      <c r="QL10" s="19">
        <f>SQRT(Parameters!$B$5)*Factors!QL3+SQRT(Parameters!$B$6)*Factors!QL7+SQRT(Parameters!$B$7)*Factors!QL10+SQRT(Parameters!$B$9)*NORM.S.INV(RAND())</f>
        <v/>
      </c>
      <c r="QM10" s="19">
        <f>SQRT(Parameters!$B$5)*Factors!QM3+SQRT(Parameters!$B$6)*Factors!QM7+SQRT(Parameters!$B$7)*Factors!QM10+SQRT(Parameters!$B$9)*NORM.S.INV(RAND())</f>
        <v/>
      </c>
      <c r="QN10" s="19">
        <f>SQRT(Parameters!$B$5)*Factors!QN3+SQRT(Parameters!$B$6)*Factors!QN7+SQRT(Parameters!$B$7)*Factors!QN10+SQRT(Parameters!$B$9)*NORM.S.INV(RAND())</f>
        <v/>
      </c>
      <c r="QO10" s="19">
        <f>SQRT(Parameters!$B$5)*Factors!QO3+SQRT(Parameters!$B$6)*Factors!QO7+SQRT(Parameters!$B$7)*Factors!QO10+SQRT(Parameters!$B$9)*NORM.S.INV(RAND())</f>
        <v/>
      </c>
      <c r="QP10" s="19">
        <f>SQRT(Parameters!$B$5)*Factors!QP3+SQRT(Parameters!$B$6)*Factors!QP7+SQRT(Parameters!$B$7)*Factors!QP10+SQRT(Parameters!$B$9)*NORM.S.INV(RAND())</f>
        <v/>
      </c>
      <c r="QQ10" s="19">
        <f>SQRT(Parameters!$B$5)*Factors!QQ3+SQRT(Parameters!$B$6)*Factors!QQ7+SQRT(Parameters!$B$7)*Factors!QQ10+SQRT(Parameters!$B$9)*NORM.S.INV(RAND())</f>
        <v/>
      </c>
      <c r="QR10" s="19">
        <f>SQRT(Parameters!$B$5)*Factors!QR3+SQRT(Parameters!$B$6)*Factors!QR7+SQRT(Parameters!$B$7)*Factors!QR10+SQRT(Parameters!$B$9)*NORM.S.INV(RAND())</f>
        <v/>
      </c>
      <c r="QS10" s="19">
        <f>SQRT(Parameters!$B$5)*Factors!QS3+SQRT(Parameters!$B$6)*Factors!QS7+SQRT(Parameters!$B$7)*Factors!QS10+SQRT(Parameters!$B$9)*NORM.S.INV(RAND())</f>
        <v/>
      </c>
      <c r="QT10" s="19">
        <f>SQRT(Parameters!$B$5)*Factors!QT3+SQRT(Parameters!$B$6)*Factors!QT7+SQRT(Parameters!$B$7)*Factors!QT10+SQRT(Parameters!$B$9)*NORM.S.INV(RAND())</f>
        <v/>
      </c>
      <c r="QU10" s="19">
        <f>SQRT(Parameters!$B$5)*Factors!QU3+SQRT(Parameters!$B$6)*Factors!QU7+SQRT(Parameters!$B$7)*Factors!QU10+SQRT(Parameters!$B$9)*NORM.S.INV(RAND())</f>
        <v/>
      </c>
      <c r="QV10" s="19">
        <f>SQRT(Parameters!$B$5)*Factors!QV3+SQRT(Parameters!$B$6)*Factors!QV7+SQRT(Parameters!$B$7)*Factors!QV10+SQRT(Parameters!$B$9)*NORM.S.INV(RAND())</f>
        <v/>
      </c>
      <c r="QW10" s="19">
        <f>SQRT(Parameters!$B$5)*Factors!QW3+SQRT(Parameters!$B$6)*Factors!QW7+SQRT(Parameters!$B$7)*Factors!QW10+SQRT(Parameters!$B$9)*NORM.S.INV(RAND())</f>
        <v/>
      </c>
      <c r="QX10" s="19">
        <f>SQRT(Parameters!$B$5)*Factors!QX3+SQRT(Parameters!$B$6)*Factors!QX7+SQRT(Parameters!$B$7)*Factors!QX10+SQRT(Parameters!$B$9)*NORM.S.INV(RAND())</f>
        <v/>
      </c>
      <c r="QY10" s="19">
        <f>SQRT(Parameters!$B$5)*Factors!QY3+SQRT(Parameters!$B$6)*Factors!QY7+SQRT(Parameters!$B$7)*Factors!QY10+SQRT(Parameters!$B$9)*NORM.S.INV(RAND())</f>
        <v/>
      </c>
      <c r="QZ10" s="19">
        <f>SQRT(Parameters!$B$5)*Factors!QZ3+SQRT(Parameters!$B$6)*Factors!QZ7+SQRT(Parameters!$B$7)*Factors!QZ10+SQRT(Parameters!$B$9)*NORM.S.INV(RAND())</f>
        <v/>
      </c>
      <c r="RA10" s="19">
        <f>SQRT(Parameters!$B$5)*Factors!RA3+SQRT(Parameters!$B$6)*Factors!RA7+SQRT(Parameters!$B$7)*Factors!RA10+SQRT(Parameters!$B$9)*NORM.S.INV(RAND())</f>
        <v/>
      </c>
      <c r="RB10" s="19">
        <f>SQRT(Parameters!$B$5)*Factors!RB3+SQRT(Parameters!$B$6)*Factors!RB7+SQRT(Parameters!$B$7)*Factors!RB10+SQRT(Parameters!$B$9)*NORM.S.INV(RAND())</f>
        <v/>
      </c>
      <c r="RC10" s="19">
        <f>SQRT(Parameters!$B$5)*Factors!RC3+SQRT(Parameters!$B$6)*Factors!RC7+SQRT(Parameters!$B$7)*Factors!RC10+SQRT(Parameters!$B$9)*NORM.S.INV(RAND())</f>
        <v/>
      </c>
      <c r="RD10" s="19">
        <f>SQRT(Parameters!$B$5)*Factors!RD3+SQRT(Parameters!$B$6)*Factors!RD7+SQRT(Parameters!$B$7)*Factors!RD10+SQRT(Parameters!$B$9)*NORM.S.INV(RAND())</f>
        <v/>
      </c>
      <c r="RE10" s="19">
        <f>SQRT(Parameters!$B$5)*Factors!RE3+SQRT(Parameters!$B$6)*Factors!RE7+SQRT(Parameters!$B$7)*Factors!RE10+SQRT(Parameters!$B$9)*NORM.S.INV(RAND())</f>
        <v/>
      </c>
      <c r="RF10" s="19">
        <f>SQRT(Parameters!$B$5)*Factors!RF3+SQRT(Parameters!$B$6)*Factors!RF7+SQRT(Parameters!$B$7)*Factors!RF10+SQRT(Parameters!$B$9)*NORM.S.INV(RAND())</f>
        <v/>
      </c>
      <c r="RG10" s="19">
        <f>SQRT(Parameters!$B$5)*Factors!RG3+SQRT(Parameters!$B$6)*Factors!RG7+SQRT(Parameters!$B$7)*Factors!RG10+SQRT(Parameters!$B$9)*NORM.S.INV(RAND())</f>
        <v/>
      </c>
      <c r="RH10" s="19">
        <f>SQRT(Parameters!$B$5)*Factors!RH3+SQRT(Parameters!$B$6)*Factors!RH7+SQRT(Parameters!$B$7)*Factors!RH10+SQRT(Parameters!$B$9)*NORM.S.INV(RAND())</f>
        <v/>
      </c>
      <c r="RI10" s="19">
        <f>SQRT(Parameters!$B$5)*Factors!RI3+SQRT(Parameters!$B$6)*Factors!RI7+SQRT(Parameters!$B$7)*Factors!RI10+SQRT(Parameters!$B$9)*NORM.S.INV(RAND())</f>
        <v/>
      </c>
      <c r="RJ10" s="19">
        <f>SQRT(Parameters!$B$5)*Factors!RJ3+SQRT(Parameters!$B$6)*Factors!RJ7+SQRT(Parameters!$B$7)*Factors!RJ10+SQRT(Parameters!$B$9)*NORM.S.INV(RAND())</f>
        <v/>
      </c>
      <c r="RK10" s="19">
        <f>SQRT(Parameters!$B$5)*Factors!RK3+SQRT(Parameters!$B$6)*Factors!RK7+SQRT(Parameters!$B$7)*Factors!RK10+SQRT(Parameters!$B$9)*NORM.S.INV(RAND())</f>
        <v/>
      </c>
      <c r="RL10" s="19">
        <f>SQRT(Parameters!$B$5)*Factors!RL3+SQRT(Parameters!$B$6)*Factors!RL7+SQRT(Parameters!$B$7)*Factors!RL10+SQRT(Parameters!$B$9)*NORM.S.INV(RAND())</f>
        <v/>
      </c>
      <c r="RM10" s="19">
        <f>SQRT(Parameters!$B$5)*Factors!RM3+SQRT(Parameters!$B$6)*Factors!RM7+SQRT(Parameters!$B$7)*Factors!RM10+SQRT(Parameters!$B$9)*NORM.S.INV(RAND())</f>
        <v/>
      </c>
      <c r="RN10" s="19">
        <f>SQRT(Parameters!$B$5)*Factors!RN3+SQRT(Parameters!$B$6)*Factors!RN7+SQRT(Parameters!$B$7)*Factors!RN10+SQRT(Parameters!$B$9)*NORM.S.INV(RAND())</f>
        <v/>
      </c>
      <c r="RO10" s="19">
        <f>SQRT(Parameters!$B$5)*Factors!RO3+SQRT(Parameters!$B$6)*Factors!RO7+SQRT(Parameters!$B$7)*Factors!RO10+SQRT(Parameters!$B$9)*NORM.S.INV(RAND())</f>
        <v/>
      </c>
      <c r="RP10" s="19">
        <f>SQRT(Parameters!$B$5)*Factors!RP3+SQRT(Parameters!$B$6)*Factors!RP7+SQRT(Parameters!$B$7)*Factors!RP10+SQRT(Parameters!$B$9)*NORM.S.INV(RAND())</f>
        <v/>
      </c>
      <c r="RQ10" s="19">
        <f>SQRT(Parameters!$B$5)*Factors!RQ3+SQRT(Parameters!$B$6)*Factors!RQ7+SQRT(Parameters!$B$7)*Factors!RQ10+SQRT(Parameters!$B$9)*NORM.S.INV(RAND())</f>
        <v/>
      </c>
      <c r="RR10" s="19">
        <f>SQRT(Parameters!$B$5)*Factors!RR3+SQRT(Parameters!$B$6)*Factors!RR7+SQRT(Parameters!$B$7)*Factors!RR10+SQRT(Parameters!$B$9)*NORM.S.INV(RAND())</f>
        <v/>
      </c>
      <c r="RS10" s="19">
        <f>SQRT(Parameters!$B$5)*Factors!RS3+SQRT(Parameters!$B$6)*Factors!RS7+SQRT(Parameters!$B$7)*Factors!RS10+SQRT(Parameters!$B$9)*NORM.S.INV(RAND())</f>
        <v/>
      </c>
      <c r="RT10" s="19">
        <f>SQRT(Parameters!$B$5)*Factors!RT3+SQRT(Parameters!$B$6)*Factors!RT7+SQRT(Parameters!$B$7)*Factors!RT10+SQRT(Parameters!$B$9)*NORM.S.INV(RAND())</f>
        <v/>
      </c>
      <c r="RU10" s="19">
        <f>SQRT(Parameters!$B$5)*Factors!RU3+SQRT(Parameters!$B$6)*Factors!RU7+SQRT(Parameters!$B$7)*Factors!RU10+SQRT(Parameters!$B$9)*NORM.S.INV(RAND())</f>
        <v/>
      </c>
      <c r="RV10" s="19">
        <f>SQRT(Parameters!$B$5)*Factors!RV3+SQRT(Parameters!$B$6)*Factors!RV7+SQRT(Parameters!$B$7)*Factors!RV10+SQRT(Parameters!$B$9)*NORM.S.INV(RAND())</f>
        <v/>
      </c>
      <c r="RW10" s="19">
        <f>SQRT(Parameters!$B$5)*Factors!RW3+SQRT(Parameters!$B$6)*Factors!RW7+SQRT(Parameters!$B$7)*Factors!RW10+SQRT(Parameters!$B$9)*NORM.S.INV(RAND())</f>
        <v/>
      </c>
      <c r="RX10" s="19">
        <f>SQRT(Parameters!$B$5)*Factors!RX3+SQRT(Parameters!$B$6)*Factors!RX7+SQRT(Parameters!$B$7)*Factors!RX10+SQRT(Parameters!$B$9)*NORM.S.INV(RAND())</f>
        <v/>
      </c>
      <c r="RY10" s="19">
        <f>SQRT(Parameters!$B$5)*Factors!RY3+SQRT(Parameters!$B$6)*Factors!RY7+SQRT(Parameters!$B$7)*Factors!RY10+SQRT(Parameters!$B$9)*NORM.S.INV(RAND())</f>
        <v/>
      </c>
      <c r="RZ10" s="19">
        <f>SQRT(Parameters!$B$5)*Factors!RZ3+SQRT(Parameters!$B$6)*Factors!RZ7+SQRT(Parameters!$B$7)*Factors!RZ10+SQRT(Parameters!$B$9)*NORM.S.INV(RAND())</f>
        <v/>
      </c>
      <c r="SA10" s="19">
        <f>SQRT(Parameters!$B$5)*Factors!SA3+SQRT(Parameters!$B$6)*Factors!SA7+SQRT(Parameters!$B$7)*Factors!SA10+SQRT(Parameters!$B$9)*NORM.S.INV(RAND())</f>
        <v/>
      </c>
      <c r="SB10" s="19">
        <f>SQRT(Parameters!$B$5)*Factors!SB3+SQRT(Parameters!$B$6)*Factors!SB7+SQRT(Parameters!$B$7)*Factors!SB10+SQRT(Parameters!$B$9)*NORM.S.INV(RAND())</f>
        <v/>
      </c>
      <c r="SC10" s="19">
        <f>SQRT(Parameters!$B$5)*Factors!SC3+SQRT(Parameters!$B$6)*Factors!SC7+SQRT(Parameters!$B$7)*Factors!SC10+SQRT(Parameters!$B$9)*NORM.S.INV(RAND())</f>
        <v/>
      </c>
      <c r="SD10" s="19">
        <f>SQRT(Parameters!$B$5)*Factors!SD3+SQRT(Parameters!$B$6)*Factors!SD7+SQRT(Parameters!$B$7)*Factors!SD10+SQRT(Parameters!$B$9)*NORM.S.INV(RAND())</f>
        <v/>
      </c>
      <c r="SE10" s="19">
        <f>SQRT(Parameters!$B$5)*Factors!SE3+SQRT(Parameters!$B$6)*Factors!SE7+SQRT(Parameters!$B$7)*Factors!SE10+SQRT(Parameters!$B$9)*NORM.S.INV(RAND())</f>
        <v/>
      </c>
      <c r="SF10" s="19">
        <f>SQRT(Parameters!$B$5)*Factors!SF3+SQRT(Parameters!$B$6)*Factors!SF7+SQRT(Parameters!$B$7)*Factors!SF10+SQRT(Parameters!$B$9)*NORM.S.INV(RAND())</f>
        <v/>
      </c>
      <c r="SG10" s="19">
        <f>SQRT(Parameters!$B$5)*Factors!SG3+SQRT(Parameters!$B$6)*Factors!SG7+SQRT(Parameters!$B$7)*Factors!SG10+SQRT(Parameters!$B$9)*NORM.S.INV(RAND())</f>
        <v/>
      </c>
    </row>
    <row r="11">
      <c r="A11" s="17" t="inlineStr">
        <is>
          <t>OBL-010</t>
        </is>
      </c>
      <c r="B11" s="19">
        <f>SQRT(Parameters!$B$5)*Factors!B3+SQRT(Parameters!$B$6)*Factors!B6+SQRT(Parameters!$B$7)*Factors!B9+SQRT(Parameters!$B$9)*NORM.S.INV(RAND())</f>
        <v/>
      </c>
      <c r="C11" s="19">
        <f>SQRT(Parameters!$B$5)*Factors!C3+SQRT(Parameters!$B$6)*Factors!C6+SQRT(Parameters!$B$7)*Factors!C9+SQRT(Parameters!$B$9)*NORM.S.INV(RAND())</f>
        <v/>
      </c>
      <c r="D11" s="19">
        <f>SQRT(Parameters!$B$5)*Factors!D3+SQRT(Parameters!$B$6)*Factors!D6+SQRT(Parameters!$B$7)*Factors!D9+SQRT(Parameters!$B$9)*NORM.S.INV(RAND())</f>
        <v/>
      </c>
      <c r="E11" s="19">
        <f>SQRT(Parameters!$B$5)*Factors!E3+SQRT(Parameters!$B$6)*Factors!E6+SQRT(Parameters!$B$7)*Factors!E9+SQRT(Parameters!$B$9)*NORM.S.INV(RAND())</f>
        <v/>
      </c>
      <c r="F11" s="19">
        <f>SQRT(Parameters!$B$5)*Factors!F3+SQRT(Parameters!$B$6)*Factors!F6+SQRT(Parameters!$B$7)*Factors!F9+SQRT(Parameters!$B$9)*NORM.S.INV(RAND())</f>
        <v/>
      </c>
      <c r="G11" s="19">
        <f>SQRT(Parameters!$B$5)*Factors!G3+SQRT(Parameters!$B$6)*Factors!G6+SQRT(Parameters!$B$7)*Factors!G9+SQRT(Parameters!$B$9)*NORM.S.INV(RAND())</f>
        <v/>
      </c>
      <c r="H11" s="19">
        <f>SQRT(Parameters!$B$5)*Factors!H3+SQRT(Parameters!$B$6)*Factors!H6+SQRT(Parameters!$B$7)*Factors!H9+SQRT(Parameters!$B$9)*NORM.S.INV(RAND())</f>
        <v/>
      </c>
      <c r="I11" s="19">
        <f>SQRT(Parameters!$B$5)*Factors!I3+SQRT(Parameters!$B$6)*Factors!I6+SQRT(Parameters!$B$7)*Factors!I9+SQRT(Parameters!$B$9)*NORM.S.INV(RAND())</f>
        <v/>
      </c>
      <c r="J11" s="19">
        <f>SQRT(Parameters!$B$5)*Factors!J3+SQRT(Parameters!$B$6)*Factors!J6+SQRT(Parameters!$B$7)*Factors!J9+SQRT(Parameters!$B$9)*NORM.S.INV(RAND())</f>
        <v/>
      </c>
      <c r="K11" s="19">
        <f>SQRT(Parameters!$B$5)*Factors!K3+SQRT(Parameters!$B$6)*Factors!K6+SQRT(Parameters!$B$7)*Factors!K9+SQRT(Parameters!$B$9)*NORM.S.INV(RAND())</f>
        <v/>
      </c>
      <c r="L11" s="19">
        <f>SQRT(Parameters!$B$5)*Factors!L3+SQRT(Parameters!$B$6)*Factors!L6+SQRT(Parameters!$B$7)*Factors!L9+SQRT(Parameters!$B$9)*NORM.S.INV(RAND())</f>
        <v/>
      </c>
      <c r="M11" s="19">
        <f>SQRT(Parameters!$B$5)*Factors!M3+SQRT(Parameters!$B$6)*Factors!M6+SQRT(Parameters!$B$7)*Factors!M9+SQRT(Parameters!$B$9)*NORM.S.INV(RAND())</f>
        <v/>
      </c>
      <c r="N11" s="19">
        <f>SQRT(Parameters!$B$5)*Factors!N3+SQRT(Parameters!$B$6)*Factors!N6+SQRT(Parameters!$B$7)*Factors!N9+SQRT(Parameters!$B$9)*NORM.S.INV(RAND())</f>
        <v/>
      </c>
      <c r="O11" s="19">
        <f>SQRT(Parameters!$B$5)*Factors!O3+SQRT(Parameters!$B$6)*Factors!O6+SQRT(Parameters!$B$7)*Factors!O9+SQRT(Parameters!$B$9)*NORM.S.INV(RAND())</f>
        <v/>
      </c>
      <c r="P11" s="19">
        <f>SQRT(Parameters!$B$5)*Factors!P3+SQRT(Parameters!$B$6)*Factors!P6+SQRT(Parameters!$B$7)*Factors!P9+SQRT(Parameters!$B$9)*NORM.S.INV(RAND())</f>
        <v/>
      </c>
      <c r="Q11" s="19">
        <f>SQRT(Parameters!$B$5)*Factors!Q3+SQRT(Parameters!$B$6)*Factors!Q6+SQRT(Parameters!$B$7)*Factors!Q9+SQRT(Parameters!$B$9)*NORM.S.INV(RAND())</f>
        <v/>
      </c>
      <c r="R11" s="19">
        <f>SQRT(Parameters!$B$5)*Factors!R3+SQRT(Parameters!$B$6)*Factors!R6+SQRT(Parameters!$B$7)*Factors!R9+SQRT(Parameters!$B$9)*NORM.S.INV(RAND())</f>
        <v/>
      </c>
      <c r="S11" s="19">
        <f>SQRT(Parameters!$B$5)*Factors!S3+SQRT(Parameters!$B$6)*Factors!S6+SQRT(Parameters!$B$7)*Factors!S9+SQRT(Parameters!$B$9)*NORM.S.INV(RAND())</f>
        <v/>
      </c>
      <c r="T11" s="19">
        <f>SQRT(Parameters!$B$5)*Factors!T3+SQRT(Parameters!$B$6)*Factors!T6+SQRT(Parameters!$B$7)*Factors!T9+SQRT(Parameters!$B$9)*NORM.S.INV(RAND())</f>
        <v/>
      </c>
      <c r="U11" s="19">
        <f>SQRT(Parameters!$B$5)*Factors!U3+SQRT(Parameters!$B$6)*Factors!U6+SQRT(Parameters!$B$7)*Factors!U9+SQRT(Parameters!$B$9)*NORM.S.INV(RAND())</f>
        <v/>
      </c>
      <c r="V11" s="19">
        <f>SQRT(Parameters!$B$5)*Factors!V3+SQRT(Parameters!$B$6)*Factors!V6+SQRT(Parameters!$B$7)*Factors!V9+SQRT(Parameters!$B$9)*NORM.S.INV(RAND())</f>
        <v/>
      </c>
      <c r="W11" s="19">
        <f>SQRT(Parameters!$B$5)*Factors!W3+SQRT(Parameters!$B$6)*Factors!W6+SQRT(Parameters!$B$7)*Factors!W9+SQRT(Parameters!$B$9)*NORM.S.INV(RAND())</f>
        <v/>
      </c>
      <c r="X11" s="19">
        <f>SQRT(Parameters!$B$5)*Factors!X3+SQRT(Parameters!$B$6)*Factors!X6+SQRT(Parameters!$B$7)*Factors!X9+SQRT(Parameters!$B$9)*NORM.S.INV(RAND())</f>
        <v/>
      </c>
      <c r="Y11" s="19">
        <f>SQRT(Parameters!$B$5)*Factors!Y3+SQRT(Parameters!$B$6)*Factors!Y6+SQRT(Parameters!$B$7)*Factors!Y9+SQRT(Parameters!$B$9)*NORM.S.INV(RAND())</f>
        <v/>
      </c>
      <c r="Z11" s="19">
        <f>SQRT(Parameters!$B$5)*Factors!Z3+SQRT(Parameters!$B$6)*Factors!Z6+SQRT(Parameters!$B$7)*Factors!Z9+SQRT(Parameters!$B$9)*NORM.S.INV(RAND())</f>
        <v/>
      </c>
      <c r="AA11" s="19">
        <f>SQRT(Parameters!$B$5)*Factors!AA3+SQRT(Parameters!$B$6)*Factors!AA6+SQRT(Parameters!$B$7)*Factors!AA9+SQRT(Parameters!$B$9)*NORM.S.INV(RAND())</f>
        <v/>
      </c>
      <c r="AB11" s="19">
        <f>SQRT(Parameters!$B$5)*Factors!AB3+SQRT(Parameters!$B$6)*Factors!AB6+SQRT(Parameters!$B$7)*Factors!AB9+SQRT(Parameters!$B$9)*NORM.S.INV(RAND())</f>
        <v/>
      </c>
      <c r="AC11" s="19">
        <f>SQRT(Parameters!$B$5)*Factors!AC3+SQRT(Parameters!$B$6)*Factors!AC6+SQRT(Parameters!$B$7)*Factors!AC9+SQRT(Parameters!$B$9)*NORM.S.INV(RAND())</f>
        <v/>
      </c>
      <c r="AD11" s="19">
        <f>SQRT(Parameters!$B$5)*Factors!AD3+SQRT(Parameters!$B$6)*Factors!AD6+SQRT(Parameters!$B$7)*Factors!AD9+SQRT(Parameters!$B$9)*NORM.S.INV(RAND())</f>
        <v/>
      </c>
      <c r="AE11" s="19">
        <f>SQRT(Parameters!$B$5)*Factors!AE3+SQRT(Parameters!$B$6)*Factors!AE6+SQRT(Parameters!$B$7)*Factors!AE9+SQRT(Parameters!$B$9)*NORM.S.INV(RAND())</f>
        <v/>
      </c>
      <c r="AF11" s="19">
        <f>SQRT(Parameters!$B$5)*Factors!AF3+SQRT(Parameters!$B$6)*Factors!AF6+SQRT(Parameters!$B$7)*Factors!AF9+SQRT(Parameters!$B$9)*NORM.S.INV(RAND())</f>
        <v/>
      </c>
      <c r="AG11" s="19">
        <f>SQRT(Parameters!$B$5)*Factors!AG3+SQRT(Parameters!$B$6)*Factors!AG6+SQRT(Parameters!$B$7)*Factors!AG9+SQRT(Parameters!$B$9)*NORM.S.INV(RAND())</f>
        <v/>
      </c>
      <c r="AH11" s="19">
        <f>SQRT(Parameters!$B$5)*Factors!AH3+SQRT(Parameters!$B$6)*Factors!AH6+SQRT(Parameters!$B$7)*Factors!AH9+SQRT(Parameters!$B$9)*NORM.S.INV(RAND())</f>
        <v/>
      </c>
      <c r="AI11" s="19">
        <f>SQRT(Parameters!$B$5)*Factors!AI3+SQRT(Parameters!$B$6)*Factors!AI6+SQRT(Parameters!$B$7)*Factors!AI9+SQRT(Parameters!$B$9)*NORM.S.INV(RAND())</f>
        <v/>
      </c>
      <c r="AJ11" s="19">
        <f>SQRT(Parameters!$B$5)*Factors!AJ3+SQRT(Parameters!$B$6)*Factors!AJ6+SQRT(Parameters!$B$7)*Factors!AJ9+SQRT(Parameters!$B$9)*NORM.S.INV(RAND())</f>
        <v/>
      </c>
      <c r="AK11" s="19">
        <f>SQRT(Parameters!$B$5)*Factors!AK3+SQRT(Parameters!$B$6)*Factors!AK6+SQRT(Parameters!$B$7)*Factors!AK9+SQRT(Parameters!$B$9)*NORM.S.INV(RAND())</f>
        <v/>
      </c>
      <c r="AL11" s="19">
        <f>SQRT(Parameters!$B$5)*Factors!AL3+SQRT(Parameters!$B$6)*Factors!AL6+SQRT(Parameters!$B$7)*Factors!AL9+SQRT(Parameters!$B$9)*NORM.S.INV(RAND())</f>
        <v/>
      </c>
      <c r="AM11" s="19">
        <f>SQRT(Parameters!$B$5)*Factors!AM3+SQRT(Parameters!$B$6)*Factors!AM6+SQRT(Parameters!$B$7)*Factors!AM9+SQRT(Parameters!$B$9)*NORM.S.INV(RAND())</f>
        <v/>
      </c>
      <c r="AN11" s="19">
        <f>SQRT(Parameters!$B$5)*Factors!AN3+SQRT(Parameters!$B$6)*Factors!AN6+SQRT(Parameters!$B$7)*Factors!AN9+SQRT(Parameters!$B$9)*NORM.S.INV(RAND())</f>
        <v/>
      </c>
      <c r="AO11" s="19">
        <f>SQRT(Parameters!$B$5)*Factors!AO3+SQRT(Parameters!$B$6)*Factors!AO6+SQRT(Parameters!$B$7)*Factors!AO9+SQRT(Parameters!$B$9)*NORM.S.INV(RAND())</f>
        <v/>
      </c>
      <c r="AP11" s="19">
        <f>SQRT(Parameters!$B$5)*Factors!AP3+SQRT(Parameters!$B$6)*Factors!AP6+SQRT(Parameters!$B$7)*Factors!AP9+SQRT(Parameters!$B$9)*NORM.S.INV(RAND())</f>
        <v/>
      </c>
      <c r="AQ11" s="19">
        <f>SQRT(Parameters!$B$5)*Factors!AQ3+SQRT(Parameters!$B$6)*Factors!AQ6+SQRT(Parameters!$B$7)*Factors!AQ9+SQRT(Parameters!$B$9)*NORM.S.INV(RAND())</f>
        <v/>
      </c>
      <c r="AR11" s="19">
        <f>SQRT(Parameters!$B$5)*Factors!AR3+SQRT(Parameters!$B$6)*Factors!AR6+SQRT(Parameters!$B$7)*Factors!AR9+SQRT(Parameters!$B$9)*NORM.S.INV(RAND())</f>
        <v/>
      </c>
      <c r="AS11" s="19">
        <f>SQRT(Parameters!$B$5)*Factors!AS3+SQRT(Parameters!$B$6)*Factors!AS6+SQRT(Parameters!$B$7)*Factors!AS9+SQRT(Parameters!$B$9)*NORM.S.INV(RAND())</f>
        <v/>
      </c>
      <c r="AT11" s="19">
        <f>SQRT(Parameters!$B$5)*Factors!AT3+SQRT(Parameters!$B$6)*Factors!AT6+SQRT(Parameters!$B$7)*Factors!AT9+SQRT(Parameters!$B$9)*NORM.S.INV(RAND())</f>
        <v/>
      </c>
      <c r="AU11" s="19">
        <f>SQRT(Parameters!$B$5)*Factors!AU3+SQRT(Parameters!$B$6)*Factors!AU6+SQRT(Parameters!$B$7)*Factors!AU9+SQRT(Parameters!$B$9)*NORM.S.INV(RAND())</f>
        <v/>
      </c>
      <c r="AV11" s="19">
        <f>SQRT(Parameters!$B$5)*Factors!AV3+SQRT(Parameters!$B$6)*Factors!AV6+SQRT(Parameters!$B$7)*Factors!AV9+SQRT(Parameters!$B$9)*NORM.S.INV(RAND())</f>
        <v/>
      </c>
      <c r="AW11" s="19">
        <f>SQRT(Parameters!$B$5)*Factors!AW3+SQRT(Parameters!$B$6)*Factors!AW6+SQRT(Parameters!$B$7)*Factors!AW9+SQRT(Parameters!$B$9)*NORM.S.INV(RAND())</f>
        <v/>
      </c>
      <c r="AX11" s="19">
        <f>SQRT(Parameters!$B$5)*Factors!AX3+SQRT(Parameters!$B$6)*Factors!AX6+SQRT(Parameters!$B$7)*Factors!AX9+SQRT(Parameters!$B$9)*NORM.S.INV(RAND())</f>
        <v/>
      </c>
      <c r="AY11" s="19">
        <f>SQRT(Parameters!$B$5)*Factors!AY3+SQRT(Parameters!$B$6)*Factors!AY6+SQRT(Parameters!$B$7)*Factors!AY9+SQRT(Parameters!$B$9)*NORM.S.INV(RAND())</f>
        <v/>
      </c>
      <c r="AZ11" s="19">
        <f>SQRT(Parameters!$B$5)*Factors!AZ3+SQRT(Parameters!$B$6)*Factors!AZ6+SQRT(Parameters!$B$7)*Factors!AZ9+SQRT(Parameters!$B$9)*NORM.S.INV(RAND())</f>
        <v/>
      </c>
      <c r="BA11" s="19">
        <f>SQRT(Parameters!$B$5)*Factors!BA3+SQRT(Parameters!$B$6)*Factors!BA6+SQRT(Parameters!$B$7)*Factors!BA9+SQRT(Parameters!$B$9)*NORM.S.INV(RAND())</f>
        <v/>
      </c>
      <c r="BB11" s="19">
        <f>SQRT(Parameters!$B$5)*Factors!BB3+SQRT(Parameters!$B$6)*Factors!BB6+SQRT(Parameters!$B$7)*Factors!BB9+SQRT(Parameters!$B$9)*NORM.S.INV(RAND())</f>
        <v/>
      </c>
      <c r="BC11" s="19">
        <f>SQRT(Parameters!$B$5)*Factors!BC3+SQRT(Parameters!$B$6)*Factors!BC6+SQRT(Parameters!$B$7)*Factors!BC9+SQRT(Parameters!$B$9)*NORM.S.INV(RAND())</f>
        <v/>
      </c>
      <c r="BD11" s="19">
        <f>SQRT(Parameters!$B$5)*Factors!BD3+SQRT(Parameters!$B$6)*Factors!BD6+SQRT(Parameters!$B$7)*Factors!BD9+SQRT(Parameters!$B$9)*NORM.S.INV(RAND())</f>
        <v/>
      </c>
      <c r="BE11" s="19">
        <f>SQRT(Parameters!$B$5)*Factors!BE3+SQRT(Parameters!$B$6)*Factors!BE6+SQRT(Parameters!$B$7)*Factors!BE9+SQRT(Parameters!$B$9)*NORM.S.INV(RAND())</f>
        <v/>
      </c>
      <c r="BF11" s="19">
        <f>SQRT(Parameters!$B$5)*Factors!BF3+SQRT(Parameters!$B$6)*Factors!BF6+SQRT(Parameters!$B$7)*Factors!BF9+SQRT(Parameters!$B$9)*NORM.S.INV(RAND())</f>
        <v/>
      </c>
      <c r="BG11" s="19">
        <f>SQRT(Parameters!$B$5)*Factors!BG3+SQRT(Parameters!$B$6)*Factors!BG6+SQRT(Parameters!$B$7)*Factors!BG9+SQRT(Parameters!$B$9)*NORM.S.INV(RAND())</f>
        <v/>
      </c>
      <c r="BH11" s="19">
        <f>SQRT(Parameters!$B$5)*Factors!BH3+SQRT(Parameters!$B$6)*Factors!BH6+SQRT(Parameters!$B$7)*Factors!BH9+SQRT(Parameters!$B$9)*NORM.S.INV(RAND())</f>
        <v/>
      </c>
      <c r="BI11" s="19">
        <f>SQRT(Parameters!$B$5)*Factors!BI3+SQRT(Parameters!$B$6)*Factors!BI6+SQRT(Parameters!$B$7)*Factors!BI9+SQRT(Parameters!$B$9)*NORM.S.INV(RAND())</f>
        <v/>
      </c>
      <c r="BJ11" s="19">
        <f>SQRT(Parameters!$B$5)*Factors!BJ3+SQRT(Parameters!$B$6)*Factors!BJ6+SQRT(Parameters!$B$7)*Factors!BJ9+SQRT(Parameters!$B$9)*NORM.S.INV(RAND())</f>
        <v/>
      </c>
      <c r="BK11" s="19">
        <f>SQRT(Parameters!$B$5)*Factors!BK3+SQRT(Parameters!$B$6)*Factors!BK6+SQRT(Parameters!$B$7)*Factors!BK9+SQRT(Parameters!$B$9)*NORM.S.INV(RAND())</f>
        <v/>
      </c>
      <c r="BL11" s="19">
        <f>SQRT(Parameters!$B$5)*Factors!BL3+SQRT(Parameters!$B$6)*Factors!BL6+SQRT(Parameters!$B$7)*Factors!BL9+SQRT(Parameters!$B$9)*NORM.S.INV(RAND())</f>
        <v/>
      </c>
      <c r="BM11" s="19">
        <f>SQRT(Parameters!$B$5)*Factors!BM3+SQRT(Parameters!$B$6)*Factors!BM6+SQRT(Parameters!$B$7)*Factors!BM9+SQRT(Parameters!$B$9)*NORM.S.INV(RAND())</f>
        <v/>
      </c>
      <c r="BN11" s="19">
        <f>SQRT(Parameters!$B$5)*Factors!BN3+SQRT(Parameters!$B$6)*Factors!BN6+SQRT(Parameters!$B$7)*Factors!BN9+SQRT(Parameters!$B$9)*NORM.S.INV(RAND())</f>
        <v/>
      </c>
      <c r="BO11" s="19">
        <f>SQRT(Parameters!$B$5)*Factors!BO3+SQRT(Parameters!$B$6)*Factors!BO6+SQRT(Parameters!$B$7)*Factors!BO9+SQRT(Parameters!$B$9)*NORM.S.INV(RAND())</f>
        <v/>
      </c>
      <c r="BP11" s="19">
        <f>SQRT(Parameters!$B$5)*Factors!BP3+SQRT(Parameters!$B$6)*Factors!BP6+SQRT(Parameters!$B$7)*Factors!BP9+SQRT(Parameters!$B$9)*NORM.S.INV(RAND())</f>
        <v/>
      </c>
      <c r="BQ11" s="19">
        <f>SQRT(Parameters!$B$5)*Factors!BQ3+SQRT(Parameters!$B$6)*Factors!BQ6+SQRT(Parameters!$B$7)*Factors!BQ9+SQRT(Parameters!$B$9)*NORM.S.INV(RAND())</f>
        <v/>
      </c>
      <c r="BR11" s="19">
        <f>SQRT(Parameters!$B$5)*Factors!BR3+SQRT(Parameters!$B$6)*Factors!BR6+SQRT(Parameters!$B$7)*Factors!BR9+SQRT(Parameters!$B$9)*NORM.S.INV(RAND())</f>
        <v/>
      </c>
      <c r="BS11" s="19">
        <f>SQRT(Parameters!$B$5)*Factors!BS3+SQRT(Parameters!$B$6)*Factors!BS6+SQRT(Parameters!$B$7)*Factors!BS9+SQRT(Parameters!$B$9)*NORM.S.INV(RAND())</f>
        <v/>
      </c>
      <c r="BT11" s="19">
        <f>SQRT(Parameters!$B$5)*Factors!BT3+SQRT(Parameters!$B$6)*Factors!BT6+SQRT(Parameters!$B$7)*Factors!BT9+SQRT(Parameters!$B$9)*NORM.S.INV(RAND())</f>
        <v/>
      </c>
      <c r="BU11" s="19">
        <f>SQRT(Parameters!$B$5)*Factors!BU3+SQRT(Parameters!$B$6)*Factors!BU6+SQRT(Parameters!$B$7)*Factors!BU9+SQRT(Parameters!$B$9)*NORM.S.INV(RAND())</f>
        <v/>
      </c>
      <c r="BV11" s="19">
        <f>SQRT(Parameters!$B$5)*Factors!BV3+SQRT(Parameters!$B$6)*Factors!BV6+SQRT(Parameters!$B$7)*Factors!BV9+SQRT(Parameters!$B$9)*NORM.S.INV(RAND())</f>
        <v/>
      </c>
      <c r="BW11" s="19">
        <f>SQRT(Parameters!$B$5)*Factors!BW3+SQRT(Parameters!$B$6)*Factors!BW6+SQRT(Parameters!$B$7)*Factors!BW9+SQRT(Parameters!$B$9)*NORM.S.INV(RAND())</f>
        <v/>
      </c>
      <c r="BX11" s="19">
        <f>SQRT(Parameters!$B$5)*Factors!BX3+SQRT(Parameters!$B$6)*Factors!BX6+SQRT(Parameters!$B$7)*Factors!BX9+SQRT(Parameters!$B$9)*NORM.S.INV(RAND())</f>
        <v/>
      </c>
      <c r="BY11" s="19">
        <f>SQRT(Parameters!$B$5)*Factors!BY3+SQRT(Parameters!$B$6)*Factors!BY6+SQRT(Parameters!$B$7)*Factors!BY9+SQRT(Parameters!$B$9)*NORM.S.INV(RAND())</f>
        <v/>
      </c>
      <c r="BZ11" s="19">
        <f>SQRT(Parameters!$B$5)*Factors!BZ3+SQRT(Parameters!$B$6)*Factors!BZ6+SQRT(Parameters!$B$7)*Factors!BZ9+SQRT(Parameters!$B$9)*NORM.S.INV(RAND())</f>
        <v/>
      </c>
      <c r="CA11" s="19">
        <f>SQRT(Parameters!$B$5)*Factors!CA3+SQRT(Parameters!$B$6)*Factors!CA6+SQRT(Parameters!$B$7)*Factors!CA9+SQRT(Parameters!$B$9)*NORM.S.INV(RAND())</f>
        <v/>
      </c>
      <c r="CB11" s="19">
        <f>SQRT(Parameters!$B$5)*Factors!CB3+SQRT(Parameters!$B$6)*Factors!CB6+SQRT(Parameters!$B$7)*Factors!CB9+SQRT(Parameters!$B$9)*NORM.S.INV(RAND())</f>
        <v/>
      </c>
      <c r="CC11" s="19">
        <f>SQRT(Parameters!$B$5)*Factors!CC3+SQRT(Parameters!$B$6)*Factors!CC6+SQRT(Parameters!$B$7)*Factors!CC9+SQRT(Parameters!$B$9)*NORM.S.INV(RAND())</f>
        <v/>
      </c>
      <c r="CD11" s="19">
        <f>SQRT(Parameters!$B$5)*Factors!CD3+SQRT(Parameters!$B$6)*Factors!CD6+SQRT(Parameters!$B$7)*Factors!CD9+SQRT(Parameters!$B$9)*NORM.S.INV(RAND())</f>
        <v/>
      </c>
      <c r="CE11" s="19">
        <f>SQRT(Parameters!$B$5)*Factors!CE3+SQRT(Parameters!$B$6)*Factors!CE6+SQRT(Parameters!$B$7)*Factors!CE9+SQRT(Parameters!$B$9)*NORM.S.INV(RAND())</f>
        <v/>
      </c>
      <c r="CF11" s="19">
        <f>SQRT(Parameters!$B$5)*Factors!CF3+SQRT(Parameters!$B$6)*Factors!CF6+SQRT(Parameters!$B$7)*Factors!CF9+SQRT(Parameters!$B$9)*NORM.S.INV(RAND())</f>
        <v/>
      </c>
      <c r="CG11" s="19">
        <f>SQRT(Parameters!$B$5)*Factors!CG3+SQRT(Parameters!$B$6)*Factors!CG6+SQRT(Parameters!$B$7)*Factors!CG9+SQRT(Parameters!$B$9)*NORM.S.INV(RAND())</f>
        <v/>
      </c>
      <c r="CH11" s="19">
        <f>SQRT(Parameters!$B$5)*Factors!CH3+SQRT(Parameters!$B$6)*Factors!CH6+SQRT(Parameters!$B$7)*Factors!CH9+SQRT(Parameters!$B$9)*NORM.S.INV(RAND())</f>
        <v/>
      </c>
      <c r="CI11" s="19">
        <f>SQRT(Parameters!$B$5)*Factors!CI3+SQRT(Parameters!$B$6)*Factors!CI6+SQRT(Parameters!$B$7)*Factors!CI9+SQRT(Parameters!$B$9)*NORM.S.INV(RAND())</f>
        <v/>
      </c>
      <c r="CJ11" s="19">
        <f>SQRT(Parameters!$B$5)*Factors!CJ3+SQRT(Parameters!$B$6)*Factors!CJ6+SQRT(Parameters!$B$7)*Factors!CJ9+SQRT(Parameters!$B$9)*NORM.S.INV(RAND())</f>
        <v/>
      </c>
      <c r="CK11" s="19">
        <f>SQRT(Parameters!$B$5)*Factors!CK3+SQRT(Parameters!$B$6)*Factors!CK6+SQRT(Parameters!$B$7)*Factors!CK9+SQRT(Parameters!$B$9)*NORM.S.INV(RAND())</f>
        <v/>
      </c>
      <c r="CL11" s="19">
        <f>SQRT(Parameters!$B$5)*Factors!CL3+SQRT(Parameters!$B$6)*Factors!CL6+SQRT(Parameters!$B$7)*Factors!CL9+SQRT(Parameters!$B$9)*NORM.S.INV(RAND())</f>
        <v/>
      </c>
      <c r="CM11" s="19">
        <f>SQRT(Parameters!$B$5)*Factors!CM3+SQRT(Parameters!$B$6)*Factors!CM6+SQRT(Parameters!$B$7)*Factors!CM9+SQRT(Parameters!$B$9)*NORM.S.INV(RAND())</f>
        <v/>
      </c>
      <c r="CN11" s="19">
        <f>SQRT(Parameters!$B$5)*Factors!CN3+SQRT(Parameters!$B$6)*Factors!CN6+SQRT(Parameters!$B$7)*Factors!CN9+SQRT(Parameters!$B$9)*NORM.S.INV(RAND())</f>
        <v/>
      </c>
      <c r="CO11" s="19">
        <f>SQRT(Parameters!$B$5)*Factors!CO3+SQRT(Parameters!$B$6)*Factors!CO6+SQRT(Parameters!$B$7)*Factors!CO9+SQRT(Parameters!$B$9)*NORM.S.INV(RAND())</f>
        <v/>
      </c>
      <c r="CP11" s="19">
        <f>SQRT(Parameters!$B$5)*Factors!CP3+SQRT(Parameters!$B$6)*Factors!CP6+SQRT(Parameters!$B$7)*Factors!CP9+SQRT(Parameters!$B$9)*NORM.S.INV(RAND())</f>
        <v/>
      </c>
      <c r="CQ11" s="19">
        <f>SQRT(Parameters!$B$5)*Factors!CQ3+SQRT(Parameters!$B$6)*Factors!CQ6+SQRT(Parameters!$B$7)*Factors!CQ9+SQRT(Parameters!$B$9)*NORM.S.INV(RAND())</f>
        <v/>
      </c>
      <c r="CR11" s="19">
        <f>SQRT(Parameters!$B$5)*Factors!CR3+SQRT(Parameters!$B$6)*Factors!CR6+SQRT(Parameters!$B$7)*Factors!CR9+SQRT(Parameters!$B$9)*NORM.S.INV(RAND())</f>
        <v/>
      </c>
      <c r="CS11" s="19">
        <f>SQRT(Parameters!$B$5)*Factors!CS3+SQRT(Parameters!$B$6)*Factors!CS6+SQRT(Parameters!$B$7)*Factors!CS9+SQRT(Parameters!$B$9)*NORM.S.INV(RAND())</f>
        <v/>
      </c>
      <c r="CT11" s="19">
        <f>SQRT(Parameters!$B$5)*Factors!CT3+SQRT(Parameters!$B$6)*Factors!CT6+SQRT(Parameters!$B$7)*Factors!CT9+SQRT(Parameters!$B$9)*NORM.S.INV(RAND())</f>
        <v/>
      </c>
      <c r="CU11" s="19">
        <f>SQRT(Parameters!$B$5)*Factors!CU3+SQRT(Parameters!$B$6)*Factors!CU6+SQRT(Parameters!$B$7)*Factors!CU9+SQRT(Parameters!$B$9)*NORM.S.INV(RAND())</f>
        <v/>
      </c>
      <c r="CV11" s="19">
        <f>SQRT(Parameters!$B$5)*Factors!CV3+SQRT(Parameters!$B$6)*Factors!CV6+SQRT(Parameters!$B$7)*Factors!CV9+SQRT(Parameters!$B$9)*NORM.S.INV(RAND())</f>
        <v/>
      </c>
      <c r="CW11" s="19">
        <f>SQRT(Parameters!$B$5)*Factors!CW3+SQRT(Parameters!$B$6)*Factors!CW6+SQRT(Parameters!$B$7)*Factors!CW9+SQRT(Parameters!$B$9)*NORM.S.INV(RAND())</f>
        <v/>
      </c>
      <c r="CX11" s="19">
        <f>SQRT(Parameters!$B$5)*Factors!CX3+SQRT(Parameters!$B$6)*Factors!CX6+SQRT(Parameters!$B$7)*Factors!CX9+SQRT(Parameters!$B$9)*NORM.S.INV(RAND())</f>
        <v/>
      </c>
      <c r="CY11" s="19">
        <f>SQRT(Parameters!$B$5)*Factors!CY3+SQRT(Parameters!$B$6)*Factors!CY6+SQRT(Parameters!$B$7)*Factors!CY9+SQRT(Parameters!$B$9)*NORM.S.INV(RAND())</f>
        <v/>
      </c>
      <c r="CZ11" s="19">
        <f>SQRT(Parameters!$B$5)*Factors!CZ3+SQRT(Parameters!$B$6)*Factors!CZ6+SQRT(Parameters!$B$7)*Factors!CZ9+SQRT(Parameters!$B$9)*NORM.S.INV(RAND())</f>
        <v/>
      </c>
      <c r="DA11" s="19">
        <f>SQRT(Parameters!$B$5)*Factors!DA3+SQRT(Parameters!$B$6)*Factors!DA6+SQRT(Parameters!$B$7)*Factors!DA9+SQRT(Parameters!$B$9)*NORM.S.INV(RAND())</f>
        <v/>
      </c>
      <c r="DB11" s="19">
        <f>SQRT(Parameters!$B$5)*Factors!DB3+SQRT(Parameters!$B$6)*Factors!DB6+SQRT(Parameters!$B$7)*Factors!DB9+SQRT(Parameters!$B$9)*NORM.S.INV(RAND())</f>
        <v/>
      </c>
      <c r="DC11" s="19">
        <f>SQRT(Parameters!$B$5)*Factors!DC3+SQRT(Parameters!$B$6)*Factors!DC6+SQRT(Parameters!$B$7)*Factors!DC9+SQRT(Parameters!$B$9)*NORM.S.INV(RAND())</f>
        <v/>
      </c>
      <c r="DD11" s="19">
        <f>SQRT(Parameters!$B$5)*Factors!DD3+SQRT(Parameters!$B$6)*Factors!DD6+SQRT(Parameters!$B$7)*Factors!DD9+SQRT(Parameters!$B$9)*NORM.S.INV(RAND())</f>
        <v/>
      </c>
      <c r="DE11" s="19">
        <f>SQRT(Parameters!$B$5)*Factors!DE3+SQRT(Parameters!$B$6)*Factors!DE6+SQRT(Parameters!$B$7)*Factors!DE9+SQRT(Parameters!$B$9)*NORM.S.INV(RAND())</f>
        <v/>
      </c>
      <c r="DF11" s="19">
        <f>SQRT(Parameters!$B$5)*Factors!DF3+SQRT(Parameters!$B$6)*Factors!DF6+SQRT(Parameters!$B$7)*Factors!DF9+SQRT(Parameters!$B$9)*NORM.S.INV(RAND())</f>
        <v/>
      </c>
      <c r="DG11" s="19">
        <f>SQRT(Parameters!$B$5)*Factors!DG3+SQRT(Parameters!$B$6)*Factors!DG6+SQRT(Parameters!$B$7)*Factors!DG9+SQRT(Parameters!$B$9)*NORM.S.INV(RAND())</f>
        <v/>
      </c>
      <c r="DH11" s="19">
        <f>SQRT(Parameters!$B$5)*Factors!DH3+SQRT(Parameters!$B$6)*Factors!DH6+SQRT(Parameters!$B$7)*Factors!DH9+SQRT(Parameters!$B$9)*NORM.S.INV(RAND())</f>
        <v/>
      </c>
      <c r="DI11" s="19">
        <f>SQRT(Parameters!$B$5)*Factors!DI3+SQRT(Parameters!$B$6)*Factors!DI6+SQRT(Parameters!$B$7)*Factors!DI9+SQRT(Parameters!$B$9)*NORM.S.INV(RAND())</f>
        <v/>
      </c>
      <c r="DJ11" s="19">
        <f>SQRT(Parameters!$B$5)*Factors!DJ3+SQRT(Parameters!$B$6)*Factors!DJ6+SQRT(Parameters!$B$7)*Factors!DJ9+SQRT(Parameters!$B$9)*NORM.S.INV(RAND())</f>
        <v/>
      </c>
      <c r="DK11" s="19">
        <f>SQRT(Parameters!$B$5)*Factors!DK3+SQRT(Parameters!$B$6)*Factors!DK6+SQRT(Parameters!$B$7)*Factors!DK9+SQRT(Parameters!$B$9)*NORM.S.INV(RAND())</f>
        <v/>
      </c>
      <c r="DL11" s="19">
        <f>SQRT(Parameters!$B$5)*Factors!DL3+SQRT(Parameters!$B$6)*Factors!DL6+SQRT(Parameters!$B$7)*Factors!DL9+SQRT(Parameters!$B$9)*NORM.S.INV(RAND())</f>
        <v/>
      </c>
      <c r="DM11" s="19">
        <f>SQRT(Parameters!$B$5)*Factors!DM3+SQRT(Parameters!$B$6)*Factors!DM6+SQRT(Parameters!$B$7)*Factors!DM9+SQRT(Parameters!$B$9)*NORM.S.INV(RAND())</f>
        <v/>
      </c>
      <c r="DN11" s="19">
        <f>SQRT(Parameters!$B$5)*Factors!DN3+SQRT(Parameters!$B$6)*Factors!DN6+SQRT(Parameters!$B$7)*Factors!DN9+SQRT(Parameters!$B$9)*NORM.S.INV(RAND())</f>
        <v/>
      </c>
      <c r="DO11" s="19">
        <f>SQRT(Parameters!$B$5)*Factors!DO3+SQRT(Parameters!$B$6)*Factors!DO6+SQRT(Parameters!$B$7)*Factors!DO9+SQRT(Parameters!$B$9)*NORM.S.INV(RAND())</f>
        <v/>
      </c>
      <c r="DP11" s="19">
        <f>SQRT(Parameters!$B$5)*Factors!DP3+SQRT(Parameters!$B$6)*Factors!DP6+SQRT(Parameters!$B$7)*Factors!DP9+SQRT(Parameters!$B$9)*NORM.S.INV(RAND())</f>
        <v/>
      </c>
      <c r="DQ11" s="19">
        <f>SQRT(Parameters!$B$5)*Factors!DQ3+SQRT(Parameters!$B$6)*Factors!DQ6+SQRT(Parameters!$B$7)*Factors!DQ9+SQRT(Parameters!$B$9)*NORM.S.INV(RAND())</f>
        <v/>
      </c>
      <c r="DR11" s="19">
        <f>SQRT(Parameters!$B$5)*Factors!DR3+SQRT(Parameters!$B$6)*Factors!DR6+SQRT(Parameters!$B$7)*Factors!DR9+SQRT(Parameters!$B$9)*NORM.S.INV(RAND())</f>
        <v/>
      </c>
      <c r="DS11" s="19">
        <f>SQRT(Parameters!$B$5)*Factors!DS3+SQRT(Parameters!$B$6)*Factors!DS6+SQRT(Parameters!$B$7)*Factors!DS9+SQRT(Parameters!$B$9)*NORM.S.INV(RAND())</f>
        <v/>
      </c>
      <c r="DT11" s="19">
        <f>SQRT(Parameters!$B$5)*Factors!DT3+SQRT(Parameters!$B$6)*Factors!DT6+SQRT(Parameters!$B$7)*Factors!DT9+SQRT(Parameters!$B$9)*NORM.S.INV(RAND())</f>
        <v/>
      </c>
      <c r="DU11" s="19">
        <f>SQRT(Parameters!$B$5)*Factors!DU3+SQRT(Parameters!$B$6)*Factors!DU6+SQRT(Parameters!$B$7)*Factors!DU9+SQRT(Parameters!$B$9)*NORM.S.INV(RAND())</f>
        <v/>
      </c>
      <c r="DV11" s="19">
        <f>SQRT(Parameters!$B$5)*Factors!DV3+SQRT(Parameters!$B$6)*Factors!DV6+SQRT(Parameters!$B$7)*Factors!DV9+SQRT(Parameters!$B$9)*NORM.S.INV(RAND())</f>
        <v/>
      </c>
      <c r="DW11" s="19">
        <f>SQRT(Parameters!$B$5)*Factors!DW3+SQRT(Parameters!$B$6)*Factors!DW6+SQRT(Parameters!$B$7)*Factors!DW9+SQRT(Parameters!$B$9)*NORM.S.INV(RAND())</f>
        <v/>
      </c>
      <c r="DX11" s="19">
        <f>SQRT(Parameters!$B$5)*Factors!DX3+SQRT(Parameters!$B$6)*Factors!DX6+SQRT(Parameters!$B$7)*Factors!DX9+SQRT(Parameters!$B$9)*NORM.S.INV(RAND())</f>
        <v/>
      </c>
      <c r="DY11" s="19">
        <f>SQRT(Parameters!$B$5)*Factors!DY3+SQRT(Parameters!$B$6)*Factors!DY6+SQRT(Parameters!$B$7)*Factors!DY9+SQRT(Parameters!$B$9)*NORM.S.INV(RAND())</f>
        <v/>
      </c>
      <c r="DZ11" s="19">
        <f>SQRT(Parameters!$B$5)*Factors!DZ3+SQRT(Parameters!$B$6)*Factors!DZ6+SQRT(Parameters!$B$7)*Factors!DZ9+SQRT(Parameters!$B$9)*NORM.S.INV(RAND())</f>
        <v/>
      </c>
      <c r="EA11" s="19">
        <f>SQRT(Parameters!$B$5)*Factors!EA3+SQRT(Parameters!$B$6)*Factors!EA6+SQRT(Parameters!$B$7)*Factors!EA9+SQRT(Parameters!$B$9)*NORM.S.INV(RAND())</f>
        <v/>
      </c>
      <c r="EB11" s="19">
        <f>SQRT(Parameters!$B$5)*Factors!EB3+SQRT(Parameters!$B$6)*Factors!EB6+SQRT(Parameters!$B$7)*Factors!EB9+SQRT(Parameters!$B$9)*NORM.S.INV(RAND())</f>
        <v/>
      </c>
      <c r="EC11" s="19">
        <f>SQRT(Parameters!$B$5)*Factors!EC3+SQRT(Parameters!$B$6)*Factors!EC6+SQRT(Parameters!$B$7)*Factors!EC9+SQRT(Parameters!$B$9)*NORM.S.INV(RAND())</f>
        <v/>
      </c>
      <c r="ED11" s="19">
        <f>SQRT(Parameters!$B$5)*Factors!ED3+SQRT(Parameters!$B$6)*Factors!ED6+SQRT(Parameters!$B$7)*Factors!ED9+SQRT(Parameters!$B$9)*NORM.S.INV(RAND())</f>
        <v/>
      </c>
      <c r="EE11" s="19">
        <f>SQRT(Parameters!$B$5)*Factors!EE3+SQRT(Parameters!$B$6)*Factors!EE6+SQRT(Parameters!$B$7)*Factors!EE9+SQRT(Parameters!$B$9)*NORM.S.INV(RAND())</f>
        <v/>
      </c>
      <c r="EF11" s="19">
        <f>SQRT(Parameters!$B$5)*Factors!EF3+SQRT(Parameters!$B$6)*Factors!EF6+SQRT(Parameters!$B$7)*Factors!EF9+SQRT(Parameters!$B$9)*NORM.S.INV(RAND())</f>
        <v/>
      </c>
      <c r="EG11" s="19">
        <f>SQRT(Parameters!$B$5)*Factors!EG3+SQRT(Parameters!$B$6)*Factors!EG6+SQRT(Parameters!$B$7)*Factors!EG9+SQRT(Parameters!$B$9)*NORM.S.INV(RAND())</f>
        <v/>
      </c>
      <c r="EH11" s="19">
        <f>SQRT(Parameters!$B$5)*Factors!EH3+SQRT(Parameters!$B$6)*Factors!EH6+SQRT(Parameters!$B$7)*Factors!EH9+SQRT(Parameters!$B$9)*NORM.S.INV(RAND())</f>
        <v/>
      </c>
      <c r="EI11" s="19">
        <f>SQRT(Parameters!$B$5)*Factors!EI3+SQRT(Parameters!$B$6)*Factors!EI6+SQRT(Parameters!$B$7)*Factors!EI9+SQRT(Parameters!$B$9)*NORM.S.INV(RAND())</f>
        <v/>
      </c>
      <c r="EJ11" s="19">
        <f>SQRT(Parameters!$B$5)*Factors!EJ3+SQRT(Parameters!$B$6)*Factors!EJ6+SQRT(Parameters!$B$7)*Factors!EJ9+SQRT(Parameters!$B$9)*NORM.S.INV(RAND())</f>
        <v/>
      </c>
      <c r="EK11" s="19">
        <f>SQRT(Parameters!$B$5)*Factors!EK3+SQRT(Parameters!$B$6)*Factors!EK6+SQRT(Parameters!$B$7)*Factors!EK9+SQRT(Parameters!$B$9)*NORM.S.INV(RAND())</f>
        <v/>
      </c>
      <c r="EL11" s="19">
        <f>SQRT(Parameters!$B$5)*Factors!EL3+SQRT(Parameters!$B$6)*Factors!EL6+SQRT(Parameters!$B$7)*Factors!EL9+SQRT(Parameters!$B$9)*NORM.S.INV(RAND())</f>
        <v/>
      </c>
      <c r="EM11" s="19">
        <f>SQRT(Parameters!$B$5)*Factors!EM3+SQRT(Parameters!$B$6)*Factors!EM6+SQRT(Parameters!$B$7)*Factors!EM9+SQRT(Parameters!$B$9)*NORM.S.INV(RAND())</f>
        <v/>
      </c>
      <c r="EN11" s="19">
        <f>SQRT(Parameters!$B$5)*Factors!EN3+SQRT(Parameters!$B$6)*Factors!EN6+SQRT(Parameters!$B$7)*Factors!EN9+SQRT(Parameters!$B$9)*NORM.S.INV(RAND())</f>
        <v/>
      </c>
      <c r="EO11" s="19">
        <f>SQRT(Parameters!$B$5)*Factors!EO3+SQRT(Parameters!$B$6)*Factors!EO6+SQRT(Parameters!$B$7)*Factors!EO9+SQRT(Parameters!$B$9)*NORM.S.INV(RAND())</f>
        <v/>
      </c>
      <c r="EP11" s="19">
        <f>SQRT(Parameters!$B$5)*Factors!EP3+SQRT(Parameters!$B$6)*Factors!EP6+SQRT(Parameters!$B$7)*Factors!EP9+SQRT(Parameters!$B$9)*NORM.S.INV(RAND())</f>
        <v/>
      </c>
      <c r="EQ11" s="19">
        <f>SQRT(Parameters!$B$5)*Factors!EQ3+SQRT(Parameters!$B$6)*Factors!EQ6+SQRT(Parameters!$B$7)*Factors!EQ9+SQRT(Parameters!$B$9)*NORM.S.INV(RAND())</f>
        <v/>
      </c>
      <c r="ER11" s="19">
        <f>SQRT(Parameters!$B$5)*Factors!ER3+SQRT(Parameters!$B$6)*Factors!ER6+SQRT(Parameters!$B$7)*Factors!ER9+SQRT(Parameters!$B$9)*NORM.S.INV(RAND())</f>
        <v/>
      </c>
      <c r="ES11" s="19">
        <f>SQRT(Parameters!$B$5)*Factors!ES3+SQRT(Parameters!$B$6)*Factors!ES6+SQRT(Parameters!$B$7)*Factors!ES9+SQRT(Parameters!$B$9)*NORM.S.INV(RAND())</f>
        <v/>
      </c>
      <c r="ET11" s="19">
        <f>SQRT(Parameters!$B$5)*Factors!ET3+SQRT(Parameters!$B$6)*Factors!ET6+SQRT(Parameters!$B$7)*Factors!ET9+SQRT(Parameters!$B$9)*NORM.S.INV(RAND())</f>
        <v/>
      </c>
      <c r="EU11" s="19">
        <f>SQRT(Parameters!$B$5)*Factors!EU3+SQRT(Parameters!$B$6)*Factors!EU6+SQRT(Parameters!$B$7)*Factors!EU9+SQRT(Parameters!$B$9)*NORM.S.INV(RAND())</f>
        <v/>
      </c>
      <c r="EV11" s="19">
        <f>SQRT(Parameters!$B$5)*Factors!EV3+SQRT(Parameters!$B$6)*Factors!EV6+SQRT(Parameters!$B$7)*Factors!EV9+SQRT(Parameters!$B$9)*NORM.S.INV(RAND())</f>
        <v/>
      </c>
      <c r="EW11" s="19">
        <f>SQRT(Parameters!$B$5)*Factors!EW3+SQRT(Parameters!$B$6)*Factors!EW6+SQRT(Parameters!$B$7)*Factors!EW9+SQRT(Parameters!$B$9)*NORM.S.INV(RAND())</f>
        <v/>
      </c>
      <c r="EX11" s="19">
        <f>SQRT(Parameters!$B$5)*Factors!EX3+SQRT(Parameters!$B$6)*Factors!EX6+SQRT(Parameters!$B$7)*Factors!EX9+SQRT(Parameters!$B$9)*NORM.S.INV(RAND())</f>
        <v/>
      </c>
      <c r="EY11" s="19">
        <f>SQRT(Parameters!$B$5)*Factors!EY3+SQRT(Parameters!$B$6)*Factors!EY6+SQRT(Parameters!$B$7)*Factors!EY9+SQRT(Parameters!$B$9)*NORM.S.INV(RAND())</f>
        <v/>
      </c>
      <c r="EZ11" s="19">
        <f>SQRT(Parameters!$B$5)*Factors!EZ3+SQRT(Parameters!$B$6)*Factors!EZ6+SQRT(Parameters!$B$7)*Factors!EZ9+SQRT(Parameters!$B$9)*NORM.S.INV(RAND())</f>
        <v/>
      </c>
      <c r="FA11" s="19">
        <f>SQRT(Parameters!$B$5)*Factors!FA3+SQRT(Parameters!$B$6)*Factors!FA6+SQRT(Parameters!$B$7)*Factors!FA9+SQRT(Parameters!$B$9)*NORM.S.INV(RAND())</f>
        <v/>
      </c>
      <c r="FB11" s="19">
        <f>SQRT(Parameters!$B$5)*Factors!FB3+SQRT(Parameters!$B$6)*Factors!FB6+SQRT(Parameters!$B$7)*Factors!FB9+SQRT(Parameters!$B$9)*NORM.S.INV(RAND())</f>
        <v/>
      </c>
      <c r="FC11" s="19">
        <f>SQRT(Parameters!$B$5)*Factors!FC3+SQRT(Parameters!$B$6)*Factors!FC6+SQRT(Parameters!$B$7)*Factors!FC9+SQRT(Parameters!$B$9)*NORM.S.INV(RAND())</f>
        <v/>
      </c>
      <c r="FD11" s="19">
        <f>SQRT(Parameters!$B$5)*Factors!FD3+SQRT(Parameters!$B$6)*Factors!FD6+SQRT(Parameters!$B$7)*Factors!FD9+SQRT(Parameters!$B$9)*NORM.S.INV(RAND())</f>
        <v/>
      </c>
      <c r="FE11" s="19">
        <f>SQRT(Parameters!$B$5)*Factors!FE3+SQRT(Parameters!$B$6)*Factors!FE6+SQRT(Parameters!$B$7)*Factors!FE9+SQRT(Parameters!$B$9)*NORM.S.INV(RAND())</f>
        <v/>
      </c>
      <c r="FF11" s="19">
        <f>SQRT(Parameters!$B$5)*Factors!FF3+SQRT(Parameters!$B$6)*Factors!FF6+SQRT(Parameters!$B$7)*Factors!FF9+SQRT(Parameters!$B$9)*NORM.S.INV(RAND())</f>
        <v/>
      </c>
      <c r="FG11" s="19">
        <f>SQRT(Parameters!$B$5)*Factors!FG3+SQRT(Parameters!$B$6)*Factors!FG6+SQRT(Parameters!$B$7)*Factors!FG9+SQRT(Parameters!$B$9)*NORM.S.INV(RAND())</f>
        <v/>
      </c>
      <c r="FH11" s="19">
        <f>SQRT(Parameters!$B$5)*Factors!FH3+SQRT(Parameters!$B$6)*Factors!FH6+SQRT(Parameters!$B$7)*Factors!FH9+SQRT(Parameters!$B$9)*NORM.S.INV(RAND())</f>
        <v/>
      </c>
      <c r="FI11" s="19">
        <f>SQRT(Parameters!$B$5)*Factors!FI3+SQRT(Parameters!$B$6)*Factors!FI6+SQRT(Parameters!$B$7)*Factors!FI9+SQRT(Parameters!$B$9)*NORM.S.INV(RAND())</f>
        <v/>
      </c>
      <c r="FJ11" s="19">
        <f>SQRT(Parameters!$B$5)*Factors!FJ3+SQRT(Parameters!$B$6)*Factors!FJ6+SQRT(Parameters!$B$7)*Factors!FJ9+SQRT(Parameters!$B$9)*NORM.S.INV(RAND())</f>
        <v/>
      </c>
      <c r="FK11" s="19">
        <f>SQRT(Parameters!$B$5)*Factors!FK3+SQRT(Parameters!$B$6)*Factors!FK6+SQRT(Parameters!$B$7)*Factors!FK9+SQRT(Parameters!$B$9)*NORM.S.INV(RAND())</f>
        <v/>
      </c>
      <c r="FL11" s="19">
        <f>SQRT(Parameters!$B$5)*Factors!FL3+SQRT(Parameters!$B$6)*Factors!FL6+SQRT(Parameters!$B$7)*Factors!FL9+SQRT(Parameters!$B$9)*NORM.S.INV(RAND())</f>
        <v/>
      </c>
      <c r="FM11" s="19">
        <f>SQRT(Parameters!$B$5)*Factors!FM3+SQRT(Parameters!$B$6)*Factors!FM6+SQRT(Parameters!$B$7)*Factors!FM9+SQRT(Parameters!$B$9)*NORM.S.INV(RAND())</f>
        <v/>
      </c>
      <c r="FN11" s="19">
        <f>SQRT(Parameters!$B$5)*Factors!FN3+SQRT(Parameters!$B$6)*Factors!FN6+SQRT(Parameters!$B$7)*Factors!FN9+SQRT(Parameters!$B$9)*NORM.S.INV(RAND())</f>
        <v/>
      </c>
      <c r="FO11" s="19">
        <f>SQRT(Parameters!$B$5)*Factors!FO3+SQRT(Parameters!$B$6)*Factors!FO6+SQRT(Parameters!$B$7)*Factors!FO9+SQRT(Parameters!$B$9)*NORM.S.INV(RAND())</f>
        <v/>
      </c>
      <c r="FP11" s="19">
        <f>SQRT(Parameters!$B$5)*Factors!FP3+SQRT(Parameters!$B$6)*Factors!FP6+SQRT(Parameters!$B$7)*Factors!FP9+SQRT(Parameters!$B$9)*NORM.S.INV(RAND())</f>
        <v/>
      </c>
      <c r="FQ11" s="19">
        <f>SQRT(Parameters!$B$5)*Factors!FQ3+SQRT(Parameters!$B$6)*Factors!FQ6+SQRT(Parameters!$B$7)*Factors!FQ9+SQRT(Parameters!$B$9)*NORM.S.INV(RAND())</f>
        <v/>
      </c>
      <c r="FR11" s="19">
        <f>SQRT(Parameters!$B$5)*Factors!FR3+SQRT(Parameters!$B$6)*Factors!FR6+SQRT(Parameters!$B$7)*Factors!FR9+SQRT(Parameters!$B$9)*NORM.S.INV(RAND())</f>
        <v/>
      </c>
      <c r="FS11" s="19">
        <f>SQRT(Parameters!$B$5)*Factors!FS3+SQRT(Parameters!$B$6)*Factors!FS6+SQRT(Parameters!$B$7)*Factors!FS9+SQRT(Parameters!$B$9)*NORM.S.INV(RAND())</f>
        <v/>
      </c>
      <c r="FT11" s="19">
        <f>SQRT(Parameters!$B$5)*Factors!FT3+SQRT(Parameters!$B$6)*Factors!FT6+SQRT(Parameters!$B$7)*Factors!FT9+SQRT(Parameters!$B$9)*NORM.S.INV(RAND())</f>
        <v/>
      </c>
      <c r="FU11" s="19">
        <f>SQRT(Parameters!$B$5)*Factors!FU3+SQRT(Parameters!$B$6)*Factors!FU6+SQRT(Parameters!$B$7)*Factors!FU9+SQRT(Parameters!$B$9)*NORM.S.INV(RAND())</f>
        <v/>
      </c>
      <c r="FV11" s="19">
        <f>SQRT(Parameters!$B$5)*Factors!FV3+SQRT(Parameters!$B$6)*Factors!FV6+SQRT(Parameters!$B$7)*Factors!FV9+SQRT(Parameters!$B$9)*NORM.S.INV(RAND())</f>
        <v/>
      </c>
      <c r="FW11" s="19">
        <f>SQRT(Parameters!$B$5)*Factors!FW3+SQRT(Parameters!$B$6)*Factors!FW6+SQRT(Parameters!$B$7)*Factors!FW9+SQRT(Parameters!$B$9)*NORM.S.INV(RAND())</f>
        <v/>
      </c>
      <c r="FX11" s="19">
        <f>SQRT(Parameters!$B$5)*Factors!FX3+SQRT(Parameters!$B$6)*Factors!FX6+SQRT(Parameters!$B$7)*Factors!FX9+SQRT(Parameters!$B$9)*NORM.S.INV(RAND())</f>
        <v/>
      </c>
      <c r="FY11" s="19">
        <f>SQRT(Parameters!$B$5)*Factors!FY3+SQRT(Parameters!$B$6)*Factors!FY6+SQRT(Parameters!$B$7)*Factors!FY9+SQRT(Parameters!$B$9)*NORM.S.INV(RAND())</f>
        <v/>
      </c>
      <c r="FZ11" s="19">
        <f>SQRT(Parameters!$B$5)*Factors!FZ3+SQRT(Parameters!$B$6)*Factors!FZ6+SQRT(Parameters!$B$7)*Factors!FZ9+SQRT(Parameters!$B$9)*NORM.S.INV(RAND())</f>
        <v/>
      </c>
      <c r="GA11" s="19">
        <f>SQRT(Parameters!$B$5)*Factors!GA3+SQRT(Parameters!$B$6)*Factors!GA6+SQRT(Parameters!$B$7)*Factors!GA9+SQRT(Parameters!$B$9)*NORM.S.INV(RAND())</f>
        <v/>
      </c>
      <c r="GB11" s="19">
        <f>SQRT(Parameters!$B$5)*Factors!GB3+SQRT(Parameters!$B$6)*Factors!GB6+SQRT(Parameters!$B$7)*Factors!GB9+SQRT(Parameters!$B$9)*NORM.S.INV(RAND())</f>
        <v/>
      </c>
      <c r="GC11" s="19">
        <f>SQRT(Parameters!$B$5)*Factors!GC3+SQRT(Parameters!$B$6)*Factors!GC6+SQRT(Parameters!$B$7)*Factors!GC9+SQRT(Parameters!$B$9)*NORM.S.INV(RAND())</f>
        <v/>
      </c>
      <c r="GD11" s="19">
        <f>SQRT(Parameters!$B$5)*Factors!GD3+SQRT(Parameters!$B$6)*Factors!GD6+SQRT(Parameters!$B$7)*Factors!GD9+SQRT(Parameters!$B$9)*NORM.S.INV(RAND())</f>
        <v/>
      </c>
      <c r="GE11" s="19">
        <f>SQRT(Parameters!$B$5)*Factors!GE3+SQRT(Parameters!$B$6)*Factors!GE6+SQRT(Parameters!$B$7)*Factors!GE9+SQRT(Parameters!$B$9)*NORM.S.INV(RAND())</f>
        <v/>
      </c>
      <c r="GF11" s="19">
        <f>SQRT(Parameters!$B$5)*Factors!GF3+SQRT(Parameters!$B$6)*Factors!GF6+SQRT(Parameters!$B$7)*Factors!GF9+SQRT(Parameters!$B$9)*NORM.S.INV(RAND())</f>
        <v/>
      </c>
      <c r="GG11" s="19">
        <f>SQRT(Parameters!$B$5)*Factors!GG3+SQRT(Parameters!$B$6)*Factors!GG6+SQRT(Parameters!$B$7)*Factors!GG9+SQRT(Parameters!$B$9)*NORM.S.INV(RAND())</f>
        <v/>
      </c>
      <c r="GH11" s="19">
        <f>SQRT(Parameters!$B$5)*Factors!GH3+SQRT(Parameters!$B$6)*Factors!GH6+SQRT(Parameters!$B$7)*Factors!GH9+SQRT(Parameters!$B$9)*NORM.S.INV(RAND())</f>
        <v/>
      </c>
      <c r="GI11" s="19">
        <f>SQRT(Parameters!$B$5)*Factors!GI3+SQRT(Parameters!$B$6)*Factors!GI6+SQRT(Parameters!$B$7)*Factors!GI9+SQRT(Parameters!$B$9)*NORM.S.INV(RAND())</f>
        <v/>
      </c>
      <c r="GJ11" s="19">
        <f>SQRT(Parameters!$B$5)*Factors!GJ3+SQRT(Parameters!$B$6)*Factors!GJ6+SQRT(Parameters!$B$7)*Factors!GJ9+SQRT(Parameters!$B$9)*NORM.S.INV(RAND())</f>
        <v/>
      </c>
      <c r="GK11" s="19">
        <f>SQRT(Parameters!$B$5)*Factors!GK3+SQRT(Parameters!$B$6)*Factors!GK6+SQRT(Parameters!$B$7)*Factors!GK9+SQRT(Parameters!$B$9)*NORM.S.INV(RAND())</f>
        <v/>
      </c>
      <c r="GL11" s="19">
        <f>SQRT(Parameters!$B$5)*Factors!GL3+SQRT(Parameters!$B$6)*Factors!GL6+SQRT(Parameters!$B$7)*Factors!GL9+SQRT(Parameters!$B$9)*NORM.S.INV(RAND())</f>
        <v/>
      </c>
      <c r="GM11" s="19">
        <f>SQRT(Parameters!$B$5)*Factors!GM3+SQRT(Parameters!$B$6)*Factors!GM6+SQRT(Parameters!$B$7)*Factors!GM9+SQRT(Parameters!$B$9)*NORM.S.INV(RAND())</f>
        <v/>
      </c>
      <c r="GN11" s="19">
        <f>SQRT(Parameters!$B$5)*Factors!GN3+SQRT(Parameters!$B$6)*Factors!GN6+SQRT(Parameters!$B$7)*Factors!GN9+SQRT(Parameters!$B$9)*NORM.S.INV(RAND())</f>
        <v/>
      </c>
      <c r="GO11" s="19">
        <f>SQRT(Parameters!$B$5)*Factors!GO3+SQRT(Parameters!$B$6)*Factors!GO6+SQRT(Parameters!$B$7)*Factors!GO9+SQRT(Parameters!$B$9)*NORM.S.INV(RAND())</f>
        <v/>
      </c>
      <c r="GP11" s="19">
        <f>SQRT(Parameters!$B$5)*Factors!GP3+SQRT(Parameters!$B$6)*Factors!GP6+SQRT(Parameters!$B$7)*Factors!GP9+SQRT(Parameters!$B$9)*NORM.S.INV(RAND())</f>
        <v/>
      </c>
      <c r="GQ11" s="19">
        <f>SQRT(Parameters!$B$5)*Factors!GQ3+SQRT(Parameters!$B$6)*Factors!GQ6+SQRT(Parameters!$B$7)*Factors!GQ9+SQRT(Parameters!$B$9)*NORM.S.INV(RAND())</f>
        <v/>
      </c>
      <c r="GR11" s="19">
        <f>SQRT(Parameters!$B$5)*Factors!GR3+SQRT(Parameters!$B$6)*Factors!GR6+SQRT(Parameters!$B$7)*Factors!GR9+SQRT(Parameters!$B$9)*NORM.S.INV(RAND())</f>
        <v/>
      </c>
      <c r="GS11" s="19">
        <f>SQRT(Parameters!$B$5)*Factors!GS3+SQRT(Parameters!$B$6)*Factors!GS6+SQRT(Parameters!$B$7)*Factors!GS9+SQRT(Parameters!$B$9)*NORM.S.INV(RAND())</f>
        <v/>
      </c>
      <c r="GT11" s="19">
        <f>SQRT(Parameters!$B$5)*Factors!GT3+SQRT(Parameters!$B$6)*Factors!GT6+SQRT(Parameters!$B$7)*Factors!GT9+SQRT(Parameters!$B$9)*NORM.S.INV(RAND())</f>
        <v/>
      </c>
      <c r="GU11" s="19">
        <f>SQRT(Parameters!$B$5)*Factors!GU3+SQRT(Parameters!$B$6)*Factors!GU6+SQRT(Parameters!$B$7)*Factors!GU9+SQRT(Parameters!$B$9)*NORM.S.INV(RAND())</f>
        <v/>
      </c>
      <c r="GV11" s="19">
        <f>SQRT(Parameters!$B$5)*Factors!GV3+SQRT(Parameters!$B$6)*Factors!GV6+SQRT(Parameters!$B$7)*Factors!GV9+SQRT(Parameters!$B$9)*NORM.S.INV(RAND())</f>
        <v/>
      </c>
      <c r="GW11" s="19">
        <f>SQRT(Parameters!$B$5)*Factors!GW3+SQRT(Parameters!$B$6)*Factors!GW6+SQRT(Parameters!$B$7)*Factors!GW9+SQRT(Parameters!$B$9)*NORM.S.INV(RAND())</f>
        <v/>
      </c>
      <c r="GX11" s="19">
        <f>SQRT(Parameters!$B$5)*Factors!GX3+SQRT(Parameters!$B$6)*Factors!GX6+SQRT(Parameters!$B$7)*Factors!GX9+SQRT(Parameters!$B$9)*NORM.S.INV(RAND())</f>
        <v/>
      </c>
      <c r="GY11" s="19">
        <f>SQRT(Parameters!$B$5)*Factors!GY3+SQRT(Parameters!$B$6)*Factors!GY6+SQRT(Parameters!$B$7)*Factors!GY9+SQRT(Parameters!$B$9)*NORM.S.INV(RAND())</f>
        <v/>
      </c>
      <c r="GZ11" s="19">
        <f>SQRT(Parameters!$B$5)*Factors!GZ3+SQRT(Parameters!$B$6)*Factors!GZ6+SQRT(Parameters!$B$7)*Factors!GZ9+SQRT(Parameters!$B$9)*NORM.S.INV(RAND())</f>
        <v/>
      </c>
      <c r="HA11" s="19">
        <f>SQRT(Parameters!$B$5)*Factors!HA3+SQRT(Parameters!$B$6)*Factors!HA6+SQRT(Parameters!$B$7)*Factors!HA9+SQRT(Parameters!$B$9)*NORM.S.INV(RAND())</f>
        <v/>
      </c>
      <c r="HB11" s="19">
        <f>SQRT(Parameters!$B$5)*Factors!HB3+SQRT(Parameters!$B$6)*Factors!HB6+SQRT(Parameters!$B$7)*Factors!HB9+SQRT(Parameters!$B$9)*NORM.S.INV(RAND())</f>
        <v/>
      </c>
      <c r="HC11" s="19">
        <f>SQRT(Parameters!$B$5)*Factors!HC3+SQRT(Parameters!$B$6)*Factors!HC6+SQRT(Parameters!$B$7)*Factors!HC9+SQRT(Parameters!$B$9)*NORM.S.INV(RAND())</f>
        <v/>
      </c>
      <c r="HD11" s="19">
        <f>SQRT(Parameters!$B$5)*Factors!HD3+SQRT(Parameters!$B$6)*Factors!HD6+SQRT(Parameters!$B$7)*Factors!HD9+SQRT(Parameters!$B$9)*NORM.S.INV(RAND())</f>
        <v/>
      </c>
      <c r="HE11" s="19">
        <f>SQRT(Parameters!$B$5)*Factors!HE3+SQRT(Parameters!$B$6)*Factors!HE6+SQRT(Parameters!$B$7)*Factors!HE9+SQRT(Parameters!$B$9)*NORM.S.INV(RAND())</f>
        <v/>
      </c>
      <c r="HF11" s="19">
        <f>SQRT(Parameters!$B$5)*Factors!HF3+SQRT(Parameters!$B$6)*Factors!HF6+SQRT(Parameters!$B$7)*Factors!HF9+SQRT(Parameters!$B$9)*NORM.S.INV(RAND())</f>
        <v/>
      </c>
      <c r="HG11" s="19">
        <f>SQRT(Parameters!$B$5)*Factors!HG3+SQRT(Parameters!$B$6)*Factors!HG6+SQRT(Parameters!$B$7)*Factors!HG9+SQRT(Parameters!$B$9)*NORM.S.INV(RAND())</f>
        <v/>
      </c>
      <c r="HH11" s="19">
        <f>SQRT(Parameters!$B$5)*Factors!HH3+SQRT(Parameters!$B$6)*Factors!HH6+SQRT(Parameters!$B$7)*Factors!HH9+SQRT(Parameters!$B$9)*NORM.S.INV(RAND())</f>
        <v/>
      </c>
      <c r="HI11" s="19">
        <f>SQRT(Parameters!$B$5)*Factors!HI3+SQRT(Parameters!$B$6)*Factors!HI6+SQRT(Parameters!$B$7)*Factors!HI9+SQRT(Parameters!$B$9)*NORM.S.INV(RAND())</f>
        <v/>
      </c>
      <c r="HJ11" s="19">
        <f>SQRT(Parameters!$B$5)*Factors!HJ3+SQRT(Parameters!$B$6)*Factors!HJ6+SQRT(Parameters!$B$7)*Factors!HJ9+SQRT(Parameters!$B$9)*NORM.S.INV(RAND())</f>
        <v/>
      </c>
      <c r="HK11" s="19">
        <f>SQRT(Parameters!$B$5)*Factors!HK3+SQRT(Parameters!$B$6)*Factors!HK6+SQRT(Parameters!$B$7)*Factors!HK9+SQRT(Parameters!$B$9)*NORM.S.INV(RAND())</f>
        <v/>
      </c>
      <c r="HL11" s="19">
        <f>SQRT(Parameters!$B$5)*Factors!HL3+SQRT(Parameters!$B$6)*Factors!HL6+SQRT(Parameters!$B$7)*Factors!HL9+SQRT(Parameters!$B$9)*NORM.S.INV(RAND())</f>
        <v/>
      </c>
      <c r="HM11" s="19">
        <f>SQRT(Parameters!$B$5)*Factors!HM3+SQRT(Parameters!$B$6)*Factors!HM6+SQRT(Parameters!$B$7)*Factors!HM9+SQRT(Parameters!$B$9)*NORM.S.INV(RAND())</f>
        <v/>
      </c>
      <c r="HN11" s="19">
        <f>SQRT(Parameters!$B$5)*Factors!HN3+SQRT(Parameters!$B$6)*Factors!HN6+SQRT(Parameters!$B$7)*Factors!HN9+SQRT(Parameters!$B$9)*NORM.S.INV(RAND())</f>
        <v/>
      </c>
      <c r="HO11" s="19">
        <f>SQRT(Parameters!$B$5)*Factors!HO3+SQRT(Parameters!$B$6)*Factors!HO6+SQRT(Parameters!$B$7)*Factors!HO9+SQRT(Parameters!$B$9)*NORM.S.INV(RAND())</f>
        <v/>
      </c>
      <c r="HP11" s="19">
        <f>SQRT(Parameters!$B$5)*Factors!HP3+SQRT(Parameters!$B$6)*Factors!HP6+SQRT(Parameters!$B$7)*Factors!HP9+SQRT(Parameters!$B$9)*NORM.S.INV(RAND())</f>
        <v/>
      </c>
      <c r="HQ11" s="19">
        <f>SQRT(Parameters!$B$5)*Factors!HQ3+SQRT(Parameters!$B$6)*Factors!HQ6+SQRT(Parameters!$B$7)*Factors!HQ9+SQRT(Parameters!$B$9)*NORM.S.INV(RAND())</f>
        <v/>
      </c>
      <c r="HR11" s="19">
        <f>SQRT(Parameters!$B$5)*Factors!HR3+SQRT(Parameters!$B$6)*Factors!HR6+SQRT(Parameters!$B$7)*Factors!HR9+SQRT(Parameters!$B$9)*NORM.S.INV(RAND())</f>
        <v/>
      </c>
      <c r="HS11" s="19">
        <f>SQRT(Parameters!$B$5)*Factors!HS3+SQRT(Parameters!$B$6)*Factors!HS6+SQRT(Parameters!$B$7)*Factors!HS9+SQRT(Parameters!$B$9)*NORM.S.INV(RAND())</f>
        <v/>
      </c>
      <c r="HT11" s="19">
        <f>SQRT(Parameters!$B$5)*Factors!HT3+SQRT(Parameters!$B$6)*Factors!HT6+SQRT(Parameters!$B$7)*Factors!HT9+SQRT(Parameters!$B$9)*NORM.S.INV(RAND())</f>
        <v/>
      </c>
      <c r="HU11" s="19">
        <f>SQRT(Parameters!$B$5)*Factors!HU3+SQRT(Parameters!$B$6)*Factors!HU6+SQRT(Parameters!$B$7)*Factors!HU9+SQRT(Parameters!$B$9)*NORM.S.INV(RAND())</f>
        <v/>
      </c>
      <c r="HV11" s="19">
        <f>SQRT(Parameters!$B$5)*Factors!HV3+SQRT(Parameters!$B$6)*Factors!HV6+SQRT(Parameters!$B$7)*Factors!HV9+SQRT(Parameters!$B$9)*NORM.S.INV(RAND())</f>
        <v/>
      </c>
      <c r="HW11" s="19">
        <f>SQRT(Parameters!$B$5)*Factors!HW3+SQRT(Parameters!$B$6)*Factors!HW6+SQRT(Parameters!$B$7)*Factors!HW9+SQRT(Parameters!$B$9)*NORM.S.INV(RAND())</f>
        <v/>
      </c>
      <c r="HX11" s="19">
        <f>SQRT(Parameters!$B$5)*Factors!HX3+SQRT(Parameters!$B$6)*Factors!HX6+SQRT(Parameters!$B$7)*Factors!HX9+SQRT(Parameters!$B$9)*NORM.S.INV(RAND())</f>
        <v/>
      </c>
      <c r="HY11" s="19">
        <f>SQRT(Parameters!$B$5)*Factors!HY3+SQRT(Parameters!$B$6)*Factors!HY6+SQRT(Parameters!$B$7)*Factors!HY9+SQRT(Parameters!$B$9)*NORM.S.INV(RAND())</f>
        <v/>
      </c>
      <c r="HZ11" s="19">
        <f>SQRT(Parameters!$B$5)*Factors!HZ3+SQRT(Parameters!$B$6)*Factors!HZ6+SQRT(Parameters!$B$7)*Factors!HZ9+SQRT(Parameters!$B$9)*NORM.S.INV(RAND())</f>
        <v/>
      </c>
      <c r="IA11" s="19">
        <f>SQRT(Parameters!$B$5)*Factors!IA3+SQRT(Parameters!$B$6)*Factors!IA6+SQRT(Parameters!$B$7)*Factors!IA9+SQRT(Parameters!$B$9)*NORM.S.INV(RAND())</f>
        <v/>
      </c>
      <c r="IB11" s="19">
        <f>SQRT(Parameters!$B$5)*Factors!IB3+SQRT(Parameters!$B$6)*Factors!IB6+SQRT(Parameters!$B$7)*Factors!IB9+SQRT(Parameters!$B$9)*NORM.S.INV(RAND())</f>
        <v/>
      </c>
      <c r="IC11" s="19">
        <f>SQRT(Parameters!$B$5)*Factors!IC3+SQRT(Parameters!$B$6)*Factors!IC6+SQRT(Parameters!$B$7)*Factors!IC9+SQRT(Parameters!$B$9)*NORM.S.INV(RAND())</f>
        <v/>
      </c>
      <c r="ID11" s="19">
        <f>SQRT(Parameters!$B$5)*Factors!ID3+SQRT(Parameters!$B$6)*Factors!ID6+SQRT(Parameters!$B$7)*Factors!ID9+SQRT(Parameters!$B$9)*NORM.S.INV(RAND())</f>
        <v/>
      </c>
      <c r="IE11" s="19">
        <f>SQRT(Parameters!$B$5)*Factors!IE3+SQRT(Parameters!$B$6)*Factors!IE6+SQRT(Parameters!$B$7)*Factors!IE9+SQRT(Parameters!$B$9)*NORM.S.INV(RAND())</f>
        <v/>
      </c>
      <c r="IF11" s="19">
        <f>SQRT(Parameters!$B$5)*Factors!IF3+SQRT(Parameters!$B$6)*Factors!IF6+SQRT(Parameters!$B$7)*Factors!IF9+SQRT(Parameters!$B$9)*NORM.S.INV(RAND())</f>
        <v/>
      </c>
      <c r="IG11" s="19">
        <f>SQRT(Parameters!$B$5)*Factors!IG3+SQRT(Parameters!$B$6)*Factors!IG6+SQRT(Parameters!$B$7)*Factors!IG9+SQRT(Parameters!$B$9)*NORM.S.INV(RAND())</f>
        <v/>
      </c>
      <c r="IH11" s="19">
        <f>SQRT(Parameters!$B$5)*Factors!IH3+SQRT(Parameters!$B$6)*Factors!IH6+SQRT(Parameters!$B$7)*Factors!IH9+SQRT(Parameters!$B$9)*NORM.S.INV(RAND())</f>
        <v/>
      </c>
      <c r="II11" s="19">
        <f>SQRT(Parameters!$B$5)*Factors!II3+SQRT(Parameters!$B$6)*Factors!II6+SQRT(Parameters!$B$7)*Factors!II9+SQRT(Parameters!$B$9)*NORM.S.INV(RAND())</f>
        <v/>
      </c>
      <c r="IJ11" s="19">
        <f>SQRT(Parameters!$B$5)*Factors!IJ3+SQRT(Parameters!$B$6)*Factors!IJ6+SQRT(Parameters!$B$7)*Factors!IJ9+SQRT(Parameters!$B$9)*NORM.S.INV(RAND())</f>
        <v/>
      </c>
      <c r="IK11" s="19">
        <f>SQRT(Parameters!$B$5)*Factors!IK3+SQRT(Parameters!$B$6)*Factors!IK6+SQRT(Parameters!$B$7)*Factors!IK9+SQRT(Parameters!$B$9)*NORM.S.INV(RAND())</f>
        <v/>
      </c>
      <c r="IL11" s="19">
        <f>SQRT(Parameters!$B$5)*Factors!IL3+SQRT(Parameters!$B$6)*Factors!IL6+SQRT(Parameters!$B$7)*Factors!IL9+SQRT(Parameters!$B$9)*NORM.S.INV(RAND())</f>
        <v/>
      </c>
      <c r="IM11" s="19">
        <f>SQRT(Parameters!$B$5)*Factors!IM3+SQRT(Parameters!$B$6)*Factors!IM6+SQRT(Parameters!$B$7)*Factors!IM9+SQRT(Parameters!$B$9)*NORM.S.INV(RAND())</f>
        <v/>
      </c>
      <c r="IN11" s="19">
        <f>SQRT(Parameters!$B$5)*Factors!IN3+SQRT(Parameters!$B$6)*Factors!IN6+SQRT(Parameters!$B$7)*Factors!IN9+SQRT(Parameters!$B$9)*NORM.S.INV(RAND())</f>
        <v/>
      </c>
      <c r="IO11" s="19">
        <f>SQRT(Parameters!$B$5)*Factors!IO3+SQRT(Parameters!$B$6)*Factors!IO6+SQRT(Parameters!$B$7)*Factors!IO9+SQRT(Parameters!$B$9)*NORM.S.INV(RAND())</f>
        <v/>
      </c>
      <c r="IP11" s="19">
        <f>SQRT(Parameters!$B$5)*Factors!IP3+SQRT(Parameters!$B$6)*Factors!IP6+SQRT(Parameters!$B$7)*Factors!IP9+SQRT(Parameters!$B$9)*NORM.S.INV(RAND())</f>
        <v/>
      </c>
      <c r="IQ11" s="19">
        <f>SQRT(Parameters!$B$5)*Factors!IQ3+SQRT(Parameters!$B$6)*Factors!IQ6+SQRT(Parameters!$B$7)*Factors!IQ9+SQRT(Parameters!$B$9)*NORM.S.INV(RAND())</f>
        <v/>
      </c>
      <c r="IR11" s="19">
        <f>SQRT(Parameters!$B$5)*Factors!IR3+SQRT(Parameters!$B$6)*Factors!IR6+SQRT(Parameters!$B$7)*Factors!IR9+SQRT(Parameters!$B$9)*NORM.S.INV(RAND())</f>
        <v/>
      </c>
      <c r="IS11" s="19">
        <f>SQRT(Parameters!$B$5)*Factors!IS3+SQRT(Parameters!$B$6)*Factors!IS6+SQRT(Parameters!$B$7)*Factors!IS9+SQRT(Parameters!$B$9)*NORM.S.INV(RAND())</f>
        <v/>
      </c>
      <c r="IT11" s="19">
        <f>SQRT(Parameters!$B$5)*Factors!IT3+SQRT(Parameters!$B$6)*Factors!IT6+SQRT(Parameters!$B$7)*Factors!IT9+SQRT(Parameters!$B$9)*NORM.S.INV(RAND())</f>
        <v/>
      </c>
      <c r="IU11" s="19">
        <f>SQRT(Parameters!$B$5)*Factors!IU3+SQRT(Parameters!$B$6)*Factors!IU6+SQRT(Parameters!$B$7)*Factors!IU9+SQRT(Parameters!$B$9)*NORM.S.INV(RAND())</f>
        <v/>
      </c>
      <c r="IV11" s="19">
        <f>SQRT(Parameters!$B$5)*Factors!IV3+SQRT(Parameters!$B$6)*Factors!IV6+SQRT(Parameters!$B$7)*Factors!IV9+SQRT(Parameters!$B$9)*NORM.S.INV(RAND())</f>
        <v/>
      </c>
      <c r="IW11" s="19">
        <f>SQRT(Parameters!$B$5)*Factors!IW3+SQRT(Parameters!$B$6)*Factors!IW6+SQRT(Parameters!$B$7)*Factors!IW9+SQRT(Parameters!$B$9)*NORM.S.INV(RAND())</f>
        <v/>
      </c>
      <c r="IX11" s="19">
        <f>SQRT(Parameters!$B$5)*Factors!IX3+SQRT(Parameters!$B$6)*Factors!IX6+SQRT(Parameters!$B$7)*Factors!IX9+SQRT(Parameters!$B$9)*NORM.S.INV(RAND())</f>
        <v/>
      </c>
      <c r="IY11" s="19">
        <f>SQRT(Parameters!$B$5)*Factors!IY3+SQRT(Parameters!$B$6)*Factors!IY6+SQRT(Parameters!$B$7)*Factors!IY9+SQRT(Parameters!$B$9)*NORM.S.INV(RAND())</f>
        <v/>
      </c>
      <c r="IZ11" s="19">
        <f>SQRT(Parameters!$B$5)*Factors!IZ3+SQRT(Parameters!$B$6)*Factors!IZ6+SQRT(Parameters!$B$7)*Factors!IZ9+SQRT(Parameters!$B$9)*NORM.S.INV(RAND())</f>
        <v/>
      </c>
      <c r="JA11" s="19">
        <f>SQRT(Parameters!$B$5)*Factors!JA3+SQRT(Parameters!$B$6)*Factors!JA6+SQRT(Parameters!$B$7)*Factors!JA9+SQRT(Parameters!$B$9)*NORM.S.INV(RAND())</f>
        <v/>
      </c>
      <c r="JB11" s="19">
        <f>SQRT(Parameters!$B$5)*Factors!JB3+SQRT(Parameters!$B$6)*Factors!JB6+SQRT(Parameters!$B$7)*Factors!JB9+SQRT(Parameters!$B$9)*NORM.S.INV(RAND())</f>
        <v/>
      </c>
      <c r="JC11" s="19">
        <f>SQRT(Parameters!$B$5)*Factors!JC3+SQRT(Parameters!$B$6)*Factors!JC6+SQRT(Parameters!$B$7)*Factors!JC9+SQRT(Parameters!$B$9)*NORM.S.INV(RAND())</f>
        <v/>
      </c>
      <c r="JD11" s="19">
        <f>SQRT(Parameters!$B$5)*Factors!JD3+SQRT(Parameters!$B$6)*Factors!JD6+SQRT(Parameters!$B$7)*Factors!JD9+SQRT(Parameters!$B$9)*NORM.S.INV(RAND())</f>
        <v/>
      </c>
      <c r="JE11" s="19">
        <f>SQRT(Parameters!$B$5)*Factors!JE3+SQRT(Parameters!$B$6)*Factors!JE6+SQRT(Parameters!$B$7)*Factors!JE9+SQRT(Parameters!$B$9)*NORM.S.INV(RAND())</f>
        <v/>
      </c>
      <c r="JF11" s="19">
        <f>SQRT(Parameters!$B$5)*Factors!JF3+SQRT(Parameters!$B$6)*Factors!JF6+SQRT(Parameters!$B$7)*Factors!JF9+SQRT(Parameters!$B$9)*NORM.S.INV(RAND())</f>
        <v/>
      </c>
      <c r="JG11" s="19">
        <f>SQRT(Parameters!$B$5)*Factors!JG3+SQRT(Parameters!$B$6)*Factors!JG6+SQRT(Parameters!$B$7)*Factors!JG9+SQRT(Parameters!$B$9)*NORM.S.INV(RAND())</f>
        <v/>
      </c>
      <c r="JH11" s="19">
        <f>SQRT(Parameters!$B$5)*Factors!JH3+SQRT(Parameters!$B$6)*Factors!JH6+SQRT(Parameters!$B$7)*Factors!JH9+SQRT(Parameters!$B$9)*NORM.S.INV(RAND())</f>
        <v/>
      </c>
      <c r="JI11" s="19">
        <f>SQRT(Parameters!$B$5)*Factors!JI3+SQRT(Parameters!$B$6)*Factors!JI6+SQRT(Parameters!$B$7)*Factors!JI9+SQRT(Parameters!$B$9)*NORM.S.INV(RAND())</f>
        <v/>
      </c>
      <c r="JJ11" s="19">
        <f>SQRT(Parameters!$B$5)*Factors!JJ3+SQRT(Parameters!$B$6)*Factors!JJ6+SQRT(Parameters!$B$7)*Factors!JJ9+SQRT(Parameters!$B$9)*NORM.S.INV(RAND())</f>
        <v/>
      </c>
      <c r="JK11" s="19">
        <f>SQRT(Parameters!$B$5)*Factors!JK3+SQRT(Parameters!$B$6)*Factors!JK6+SQRT(Parameters!$B$7)*Factors!JK9+SQRT(Parameters!$B$9)*NORM.S.INV(RAND())</f>
        <v/>
      </c>
      <c r="JL11" s="19">
        <f>SQRT(Parameters!$B$5)*Factors!JL3+SQRT(Parameters!$B$6)*Factors!JL6+SQRT(Parameters!$B$7)*Factors!JL9+SQRT(Parameters!$B$9)*NORM.S.INV(RAND())</f>
        <v/>
      </c>
      <c r="JM11" s="19">
        <f>SQRT(Parameters!$B$5)*Factors!JM3+SQRT(Parameters!$B$6)*Factors!JM6+SQRT(Parameters!$B$7)*Factors!JM9+SQRT(Parameters!$B$9)*NORM.S.INV(RAND())</f>
        <v/>
      </c>
      <c r="JN11" s="19">
        <f>SQRT(Parameters!$B$5)*Factors!JN3+SQRT(Parameters!$B$6)*Factors!JN6+SQRT(Parameters!$B$7)*Factors!JN9+SQRT(Parameters!$B$9)*NORM.S.INV(RAND())</f>
        <v/>
      </c>
      <c r="JO11" s="19">
        <f>SQRT(Parameters!$B$5)*Factors!JO3+SQRT(Parameters!$B$6)*Factors!JO6+SQRT(Parameters!$B$7)*Factors!JO9+SQRT(Parameters!$B$9)*NORM.S.INV(RAND())</f>
        <v/>
      </c>
      <c r="JP11" s="19">
        <f>SQRT(Parameters!$B$5)*Factors!JP3+SQRT(Parameters!$B$6)*Factors!JP6+SQRT(Parameters!$B$7)*Factors!JP9+SQRT(Parameters!$B$9)*NORM.S.INV(RAND())</f>
        <v/>
      </c>
      <c r="JQ11" s="19">
        <f>SQRT(Parameters!$B$5)*Factors!JQ3+SQRT(Parameters!$B$6)*Factors!JQ6+SQRT(Parameters!$B$7)*Factors!JQ9+SQRT(Parameters!$B$9)*NORM.S.INV(RAND())</f>
        <v/>
      </c>
      <c r="JR11" s="19">
        <f>SQRT(Parameters!$B$5)*Factors!JR3+SQRT(Parameters!$B$6)*Factors!JR6+SQRT(Parameters!$B$7)*Factors!JR9+SQRT(Parameters!$B$9)*NORM.S.INV(RAND())</f>
        <v/>
      </c>
      <c r="JS11" s="19">
        <f>SQRT(Parameters!$B$5)*Factors!JS3+SQRT(Parameters!$B$6)*Factors!JS6+SQRT(Parameters!$B$7)*Factors!JS9+SQRT(Parameters!$B$9)*NORM.S.INV(RAND())</f>
        <v/>
      </c>
      <c r="JT11" s="19">
        <f>SQRT(Parameters!$B$5)*Factors!JT3+SQRT(Parameters!$B$6)*Factors!JT6+SQRT(Parameters!$B$7)*Factors!JT9+SQRT(Parameters!$B$9)*NORM.S.INV(RAND())</f>
        <v/>
      </c>
      <c r="JU11" s="19">
        <f>SQRT(Parameters!$B$5)*Factors!JU3+SQRT(Parameters!$B$6)*Factors!JU6+SQRT(Parameters!$B$7)*Factors!JU9+SQRT(Parameters!$B$9)*NORM.S.INV(RAND())</f>
        <v/>
      </c>
      <c r="JV11" s="19">
        <f>SQRT(Parameters!$B$5)*Factors!JV3+SQRT(Parameters!$B$6)*Factors!JV6+SQRT(Parameters!$B$7)*Factors!JV9+SQRT(Parameters!$B$9)*NORM.S.INV(RAND())</f>
        <v/>
      </c>
      <c r="JW11" s="19">
        <f>SQRT(Parameters!$B$5)*Factors!JW3+SQRT(Parameters!$B$6)*Factors!JW6+SQRT(Parameters!$B$7)*Factors!JW9+SQRT(Parameters!$B$9)*NORM.S.INV(RAND())</f>
        <v/>
      </c>
      <c r="JX11" s="19">
        <f>SQRT(Parameters!$B$5)*Factors!JX3+SQRT(Parameters!$B$6)*Factors!JX6+SQRT(Parameters!$B$7)*Factors!JX9+SQRT(Parameters!$B$9)*NORM.S.INV(RAND())</f>
        <v/>
      </c>
      <c r="JY11" s="19">
        <f>SQRT(Parameters!$B$5)*Factors!JY3+SQRT(Parameters!$B$6)*Factors!JY6+SQRT(Parameters!$B$7)*Factors!JY9+SQRT(Parameters!$B$9)*NORM.S.INV(RAND())</f>
        <v/>
      </c>
      <c r="JZ11" s="19">
        <f>SQRT(Parameters!$B$5)*Factors!JZ3+SQRT(Parameters!$B$6)*Factors!JZ6+SQRT(Parameters!$B$7)*Factors!JZ9+SQRT(Parameters!$B$9)*NORM.S.INV(RAND())</f>
        <v/>
      </c>
      <c r="KA11" s="19">
        <f>SQRT(Parameters!$B$5)*Factors!KA3+SQRT(Parameters!$B$6)*Factors!KA6+SQRT(Parameters!$B$7)*Factors!KA9+SQRT(Parameters!$B$9)*NORM.S.INV(RAND())</f>
        <v/>
      </c>
      <c r="KB11" s="19">
        <f>SQRT(Parameters!$B$5)*Factors!KB3+SQRT(Parameters!$B$6)*Factors!KB6+SQRT(Parameters!$B$7)*Factors!KB9+SQRT(Parameters!$B$9)*NORM.S.INV(RAND())</f>
        <v/>
      </c>
      <c r="KC11" s="19">
        <f>SQRT(Parameters!$B$5)*Factors!KC3+SQRT(Parameters!$B$6)*Factors!KC6+SQRT(Parameters!$B$7)*Factors!KC9+SQRT(Parameters!$B$9)*NORM.S.INV(RAND())</f>
        <v/>
      </c>
      <c r="KD11" s="19">
        <f>SQRT(Parameters!$B$5)*Factors!KD3+SQRT(Parameters!$B$6)*Factors!KD6+SQRT(Parameters!$B$7)*Factors!KD9+SQRT(Parameters!$B$9)*NORM.S.INV(RAND())</f>
        <v/>
      </c>
      <c r="KE11" s="19">
        <f>SQRT(Parameters!$B$5)*Factors!KE3+SQRT(Parameters!$B$6)*Factors!KE6+SQRT(Parameters!$B$7)*Factors!KE9+SQRT(Parameters!$B$9)*NORM.S.INV(RAND())</f>
        <v/>
      </c>
      <c r="KF11" s="19">
        <f>SQRT(Parameters!$B$5)*Factors!KF3+SQRT(Parameters!$B$6)*Factors!KF6+SQRT(Parameters!$B$7)*Factors!KF9+SQRT(Parameters!$B$9)*NORM.S.INV(RAND())</f>
        <v/>
      </c>
      <c r="KG11" s="19">
        <f>SQRT(Parameters!$B$5)*Factors!KG3+SQRT(Parameters!$B$6)*Factors!KG6+SQRT(Parameters!$B$7)*Factors!KG9+SQRT(Parameters!$B$9)*NORM.S.INV(RAND())</f>
        <v/>
      </c>
      <c r="KH11" s="19">
        <f>SQRT(Parameters!$B$5)*Factors!KH3+SQRT(Parameters!$B$6)*Factors!KH6+SQRT(Parameters!$B$7)*Factors!KH9+SQRT(Parameters!$B$9)*NORM.S.INV(RAND())</f>
        <v/>
      </c>
      <c r="KI11" s="19">
        <f>SQRT(Parameters!$B$5)*Factors!KI3+SQRT(Parameters!$B$6)*Factors!KI6+SQRT(Parameters!$B$7)*Factors!KI9+SQRT(Parameters!$B$9)*NORM.S.INV(RAND())</f>
        <v/>
      </c>
      <c r="KJ11" s="19">
        <f>SQRT(Parameters!$B$5)*Factors!KJ3+SQRT(Parameters!$B$6)*Factors!KJ6+SQRT(Parameters!$B$7)*Factors!KJ9+SQRT(Parameters!$B$9)*NORM.S.INV(RAND())</f>
        <v/>
      </c>
      <c r="KK11" s="19">
        <f>SQRT(Parameters!$B$5)*Factors!KK3+SQRT(Parameters!$B$6)*Factors!KK6+SQRT(Parameters!$B$7)*Factors!KK9+SQRT(Parameters!$B$9)*NORM.S.INV(RAND())</f>
        <v/>
      </c>
      <c r="KL11" s="19">
        <f>SQRT(Parameters!$B$5)*Factors!KL3+SQRT(Parameters!$B$6)*Factors!KL6+SQRT(Parameters!$B$7)*Factors!KL9+SQRT(Parameters!$B$9)*NORM.S.INV(RAND())</f>
        <v/>
      </c>
      <c r="KM11" s="19">
        <f>SQRT(Parameters!$B$5)*Factors!KM3+SQRT(Parameters!$B$6)*Factors!KM6+SQRT(Parameters!$B$7)*Factors!KM9+SQRT(Parameters!$B$9)*NORM.S.INV(RAND())</f>
        <v/>
      </c>
      <c r="KN11" s="19">
        <f>SQRT(Parameters!$B$5)*Factors!KN3+SQRT(Parameters!$B$6)*Factors!KN6+SQRT(Parameters!$B$7)*Factors!KN9+SQRT(Parameters!$B$9)*NORM.S.INV(RAND())</f>
        <v/>
      </c>
      <c r="KO11" s="19">
        <f>SQRT(Parameters!$B$5)*Factors!KO3+SQRT(Parameters!$B$6)*Factors!KO6+SQRT(Parameters!$B$7)*Factors!KO9+SQRT(Parameters!$B$9)*NORM.S.INV(RAND())</f>
        <v/>
      </c>
      <c r="KP11" s="19">
        <f>SQRT(Parameters!$B$5)*Factors!KP3+SQRT(Parameters!$B$6)*Factors!KP6+SQRT(Parameters!$B$7)*Factors!KP9+SQRT(Parameters!$B$9)*NORM.S.INV(RAND())</f>
        <v/>
      </c>
      <c r="KQ11" s="19">
        <f>SQRT(Parameters!$B$5)*Factors!KQ3+SQRT(Parameters!$B$6)*Factors!KQ6+SQRT(Parameters!$B$7)*Factors!KQ9+SQRT(Parameters!$B$9)*NORM.S.INV(RAND())</f>
        <v/>
      </c>
      <c r="KR11" s="19">
        <f>SQRT(Parameters!$B$5)*Factors!KR3+SQRT(Parameters!$B$6)*Factors!KR6+SQRT(Parameters!$B$7)*Factors!KR9+SQRT(Parameters!$B$9)*NORM.S.INV(RAND())</f>
        <v/>
      </c>
      <c r="KS11" s="19">
        <f>SQRT(Parameters!$B$5)*Factors!KS3+SQRT(Parameters!$B$6)*Factors!KS6+SQRT(Parameters!$B$7)*Factors!KS9+SQRT(Parameters!$B$9)*NORM.S.INV(RAND())</f>
        <v/>
      </c>
      <c r="KT11" s="19">
        <f>SQRT(Parameters!$B$5)*Factors!KT3+SQRT(Parameters!$B$6)*Factors!KT6+SQRT(Parameters!$B$7)*Factors!KT9+SQRT(Parameters!$B$9)*NORM.S.INV(RAND())</f>
        <v/>
      </c>
      <c r="KU11" s="19">
        <f>SQRT(Parameters!$B$5)*Factors!KU3+SQRT(Parameters!$B$6)*Factors!KU6+SQRT(Parameters!$B$7)*Factors!KU9+SQRT(Parameters!$B$9)*NORM.S.INV(RAND())</f>
        <v/>
      </c>
      <c r="KV11" s="19">
        <f>SQRT(Parameters!$B$5)*Factors!KV3+SQRT(Parameters!$B$6)*Factors!KV6+SQRT(Parameters!$B$7)*Factors!KV9+SQRT(Parameters!$B$9)*NORM.S.INV(RAND())</f>
        <v/>
      </c>
      <c r="KW11" s="19">
        <f>SQRT(Parameters!$B$5)*Factors!KW3+SQRT(Parameters!$B$6)*Factors!KW6+SQRT(Parameters!$B$7)*Factors!KW9+SQRT(Parameters!$B$9)*NORM.S.INV(RAND())</f>
        <v/>
      </c>
      <c r="KX11" s="19">
        <f>SQRT(Parameters!$B$5)*Factors!KX3+SQRT(Parameters!$B$6)*Factors!KX6+SQRT(Parameters!$B$7)*Factors!KX9+SQRT(Parameters!$B$9)*NORM.S.INV(RAND())</f>
        <v/>
      </c>
      <c r="KY11" s="19">
        <f>SQRT(Parameters!$B$5)*Factors!KY3+SQRT(Parameters!$B$6)*Factors!KY6+SQRT(Parameters!$B$7)*Factors!KY9+SQRT(Parameters!$B$9)*NORM.S.INV(RAND())</f>
        <v/>
      </c>
      <c r="KZ11" s="19">
        <f>SQRT(Parameters!$B$5)*Factors!KZ3+SQRT(Parameters!$B$6)*Factors!KZ6+SQRT(Parameters!$B$7)*Factors!KZ9+SQRT(Parameters!$B$9)*NORM.S.INV(RAND())</f>
        <v/>
      </c>
      <c r="LA11" s="19">
        <f>SQRT(Parameters!$B$5)*Factors!LA3+SQRT(Parameters!$B$6)*Factors!LA6+SQRT(Parameters!$B$7)*Factors!LA9+SQRT(Parameters!$B$9)*NORM.S.INV(RAND())</f>
        <v/>
      </c>
      <c r="LB11" s="19">
        <f>SQRT(Parameters!$B$5)*Factors!LB3+SQRT(Parameters!$B$6)*Factors!LB6+SQRT(Parameters!$B$7)*Factors!LB9+SQRT(Parameters!$B$9)*NORM.S.INV(RAND())</f>
        <v/>
      </c>
      <c r="LC11" s="19">
        <f>SQRT(Parameters!$B$5)*Factors!LC3+SQRT(Parameters!$B$6)*Factors!LC6+SQRT(Parameters!$B$7)*Factors!LC9+SQRT(Parameters!$B$9)*NORM.S.INV(RAND())</f>
        <v/>
      </c>
      <c r="LD11" s="19">
        <f>SQRT(Parameters!$B$5)*Factors!LD3+SQRT(Parameters!$B$6)*Factors!LD6+SQRT(Parameters!$B$7)*Factors!LD9+SQRT(Parameters!$B$9)*NORM.S.INV(RAND())</f>
        <v/>
      </c>
      <c r="LE11" s="19">
        <f>SQRT(Parameters!$B$5)*Factors!LE3+SQRT(Parameters!$B$6)*Factors!LE6+SQRT(Parameters!$B$7)*Factors!LE9+SQRT(Parameters!$B$9)*NORM.S.INV(RAND())</f>
        <v/>
      </c>
      <c r="LF11" s="19">
        <f>SQRT(Parameters!$B$5)*Factors!LF3+SQRT(Parameters!$B$6)*Factors!LF6+SQRT(Parameters!$B$7)*Factors!LF9+SQRT(Parameters!$B$9)*NORM.S.INV(RAND())</f>
        <v/>
      </c>
      <c r="LG11" s="19">
        <f>SQRT(Parameters!$B$5)*Factors!LG3+SQRT(Parameters!$B$6)*Factors!LG6+SQRT(Parameters!$B$7)*Factors!LG9+SQRT(Parameters!$B$9)*NORM.S.INV(RAND())</f>
        <v/>
      </c>
      <c r="LH11" s="19">
        <f>SQRT(Parameters!$B$5)*Factors!LH3+SQRT(Parameters!$B$6)*Factors!LH6+SQRT(Parameters!$B$7)*Factors!LH9+SQRT(Parameters!$B$9)*NORM.S.INV(RAND())</f>
        <v/>
      </c>
      <c r="LI11" s="19">
        <f>SQRT(Parameters!$B$5)*Factors!LI3+SQRT(Parameters!$B$6)*Factors!LI6+SQRT(Parameters!$B$7)*Factors!LI9+SQRT(Parameters!$B$9)*NORM.S.INV(RAND())</f>
        <v/>
      </c>
      <c r="LJ11" s="19">
        <f>SQRT(Parameters!$B$5)*Factors!LJ3+SQRT(Parameters!$B$6)*Factors!LJ6+SQRT(Parameters!$B$7)*Factors!LJ9+SQRT(Parameters!$B$9)*NORM.S.INV(RAND())</f>
        <v/>
      </c>
      <c r="LK11" s="19">
        <f>SQRT(Parameters!$B$5)*Factors!LK3+SQRT(Parameters!$B$6)*Factors!LK6+SQRT(Parameters!$B$7)*Factors!LK9+SQRT(Parameters!$B$9)*NORM.S.INV(RAND())</f>
        <v/>
      </c>
      <c r="LL11" s="19">
        <f>SQRT(Parameters!$B$5)*Factors!LL3+SQRT(Parameters!$B$6)*Factors!LL6+SQRT(Parameters!$B$7)*Factors!LL9+SQRT(Parameters!$B$9)*NORM.S.INV(RAND())</f>
        <v/>
      </c>
      <c r="LM11" s="19">
        <f>SQRT(Parameters!$B$5)*Factors!LM3+SQRT(Parameters!$B$6)*Factors!LM6+SQRT(Parameters!$B$7)*Factors!LM9+SQRT(Parameters!$B$9)*NORM.S.INV(RAND())</f>
        <v/>
      </c>
      <c r="LN11" s="19">
        <f>SQRT(Parameters!$B$5)*Factors!LN3+SQRT(Parameters!$B$6)*Factors!LN6+SQRT(Parameters!$B$7)*Factors!LN9+SQRT(Parameters!$B$9)*NORM.S.INV(RAND())</f>
        <v/>
      </c>
      <c r="LO11" s="19">
        <f>SQRT(Parameters!$B$5)*Factors!LO3+SQRT(Parameters!$B$6)*Factors!LO6+SQRT(Parameters!$B$7)*Factors!LO9+SQRT(Parameters!$B$9)*NORM.S.INV(RAND())</f>
        <v/>
      </c>
      <c r="LP11" s="19">
        <f>SQRT(Parameters!$B$5)*Factors!LP3+SQRT(Parameters!$B$6)*Factors!LP6+SQRT(Parameters!$B$7)*Factors!LP9+SQRT(Parameters!$B$9)*NORM.S.INV(RAND())</f>
        <v/>
      </c>
      <c r="LQ11" s="19">
        <f>SQRT(Parameters!$B$5)*Factors!LQ3+SQRT(Parameters!$B$6)*Factors!LQ6+SQRT(Parameters!$B$7)*Factors!LQ9+SQRT(Parameters!$B$9)*NORM.S.INV(RAND())</f>
        <v/>
      </c>
      <c r="LR11" s="19">
        <f>SQRT(Parameters!$B$5)*Factors!LR3+SQRT(Parameters!$B$6)*Factors!LR6+SQRT(Parameters!$B$7)*Factors!LR9+SQRT(Parameters!$B$9)*NORM.S.INV(RAND())</f>
        <v/>
      </c>
      <c r="LS11" s="19">
        <f>SQRT(Parameters!$B$5)*Factors!LS3+SQRT(Parameters!$B$6)*Factors!LS6+SQRT(Parameters!$B$7)*Factors!LS9+SQRT(Parameters!$B$9)*NORM.S.INV(RAND())</f>
        <v/>
      </c>
      <c r="LT11" s="19">
        <f>SQRT(Parameters!$B$5)*Factors!LT3+SQRT(Parameters!$B$6)*Factors!LT6+SQRT(Parameters!$B$7)*Factors!LT9+SQRT(Parameters!$B$9)*NORM.S.INV(RAND())</f>
        <v/>
      </c>
      <c r="LU11" s="19">
        <f>SQRT(Parameters!$B$5)*Factors!LU3+SQRT(Parameters!$B$6)*Factors!LU6+SQRT(Parameters!$B$7)*Factors!LU9+SQRT(Parameters!$B$9)*NORM.S.INV(RAND())</f>
        <v/>
      </c>
      <c r="LV11" s="19">
        <f>SQRT(Parameters!$B$5)*Factors!LV3+SQRT(Parameters!$B$6)*Factors!LV6+SQRT(Parameters!$B$7)*Factors!LV9+SQRT(Parameters!$B$9)*NORM.S.INV(RAND())</f>
        <v/>
      </c>
      <c r="LW11" s="19">
        <f>SQRT(Parameters!$B$5)*Factors!LW3+SQRT(Parameters!$B$6)*Factors!LW6+SQRT(Parameters!$B$7)*Factors!LW9+SQRT(Parameters!$B$9)*NORM.S.INV(RAND())</f>
        <v/>
      </c>
      <c r="LX11" s="19">
        <f>SQRT(Parameters!$B$5)*Factors!LX3+SQRT(Parameters!$B$6)*Factors!LX6+SQRT(Parameters!$B$7)*Factors!LX9+SQRT(Parameters!$B$9)*NORM.S.INV(RAND())</f>
        <v/>
      </c>
      <c r="LY11" s="19">
        <f>SQRT(Parameters!$B$5)*Factors!LY3+SQRT(Parameters!$B$6)*Factors!LY6+SQRT(Parameters!$B$7)*Factors!LY9+SQRT(Parameters!$B$9)*NORM.S.INV(RAND())</f>
        <v/>
      </c>
      <c r="LZ11" s="19">
        <f>SQRT(Parameters!$B$5)*Factors!LZ3+SQRT(Parameters!$B$6)*Factors!LZ6+SQRT(Parameters!$B$7)*Factors!LZ9+SQRT(Parameters!$B$9)*NORM.S.INV(RAND())</f>
        <v/>
      </c>
      <c r="MA11" s="19">
        <f>SQRT(Parameters!$B$5)*Factors!MA3+SQRT(Parameters!$B$6)*Factors!MA6+SQRT(Parameters!$B$7)*Factors!MA9+SQRT(Parameters!$B$9)*NORM.S.INV(RAND())</f>
        <v/>
      </c>
      <c r="MB11" s="19">
        <f>SQRT(Parameters!$B$5)*Factors!MB3+SQRT(Parameters!$B$6)*Factors!MB6+SQRT(Parameters!$B$7)*Factors!MB9+SQRT(Parameters!$B$9)*NORM.S.INV(RAND())</f>
        <v/>
      </c>
      <c r="MC11" s="19">
        <f>SQRT(Parameters!$B$5)*Factors!MC3+SQRT(Parameters!$B$6)*Factors!MC6+SQRT(Parameters!$B$7)*Factors!MC9+SQRT(Parameters!$B$9)*NORM.S.INV(RAND())</f>
        <v/>
      </c>
      <c r="MD11" s="19">
        <f>SQRT(Parameters!$B$5)*Factors!MD3+SQRT(Parameters!$B$6)*Factors!MD6+SQRT(Parameters!$B$7)*Factors!MD9+SQRT(Parameters!$B$9)*NORM.S.INV(RAND())</f>
        <v/>
      </c>
      <c r="ME11" s="19">
        <f>SQRT(Parameters!$B$5)*Factors!ME3+SQRT(Parameters!$B$6)*Factors!ME6+SQRT(Parameters!$B$7)*Factors!ME9+SQRT(Parameters!$B$9)*NORM.S.INV(RAND())</f>
        <v/>
      </c>
      <c r="MF11" s="19">
        <f>SQRT(Parameters!$B$5)*Factors!MF3+SQRT(Parameters!$B$6)*Factors!MF6+SQRT(Parameters!$B$7)*Factors!MF9+SQRT(Parameters!$B$9)*NORM.S.INV(RAND())</f>
        <v/>
      </c>
      <c r="MG11" s="19">
        <f>SQRT(Parameters!$B$5)*Factors!MG3+SQRT(Parameters!$B$6)*Factors!MG6+SQRT(Parameters!$B$7)*Factors!MG9+SQRT(Parameters!$B$9)*NORM.S.INV(RAND())</f>
        <v/>
      </c>
      <c r="MH11" s="19">
        <f>SQRT(Parameters!$B$5)*Factors!MH3+SQRT(Parameters!$B$6)*Factors!MH6+SQRT(Parameters!$B$7)*Factors!MH9+SQRT(Parameters!$B$9)*NORM.S.INV(RAND())</f>
        <v/>
      </c>
      <c r="MI11" s="19">
        <f>SQRT(Parameters!$B$5)*Factors!MI3+SQRT(Parameters!$B$6)*Factors!MI6+SQRT(Parameters!$B$7)*Factors!MI9+SQRT(Parameters!$B$9)*NORM.S.INV(RAND())</f>
        <v/>
      </c>
      <c r="MJ11" s="19">
        <f>SQRT(Parameters!$B$5)*Factors!MJ3+SQRT(Parameters!$B$6)*Factors!MJ6+SQRT(Parameters!$B$7)*Factors!MJ9+SQRT(Parameters!$B$9)*NORM.S.INV(RAND())</f>
        <v/>
      </c>
      <c r="MK11" s="19">
        <f>SQRT(Parameters!$B$5)*Factors!MK3+SQRT(Parameters!$B$6)*Factors!MK6+SQRT(Parameters!$B$7)*Factors!MK9+SQRT(Parameters!$B$9)*NORM.S.INV(RAND())</f>
        <v/>
      </c>
      <c r="ML11" s="19">
        <f>SQRT(Parameters!$B$5)*Factors!ML3+SQRT(Parameters!$B$6)*Factors!ML6+SQRT(Parameters!$B$7)*Factors!ML9+SQRT(Parameters!$B$9)*NORM.S.INV(RAND())</f>
        <v/>
      </c>
      <c r="MM11" s="19">
        <f>SQRT(Parameters!$B$5)*Factors!MM3+SQRT(Parameters!$B$6)*Factors!MM6+SQRT(Parameters!$B$7)*Factors!MM9+SQRT(Parameters!$B$9)*NORM.S.INV(RAND())</f>
        <v/>
      </c>
      <c r="MN11" s="19">
        <f>SQRT(Parameters!$B$5)*Factors!MN3+SQRT(Parameters!$B$6)*Factors!MN6+SQRT(Parameters!$B$7)*Factors!MN9+SQRT(Parameters!$B$9)*NORM.S.INV(RAND())</f>
        <v/>
      </c>
      <c r="MO11" s="19">
        <f>SQRT(Parameters!$B$5)*Factors!MO3+SQRT(Parameters!$B$6)*Factors!MO6+SQRT(Parameters!$B$7)*Factors!MO9+SQRT(Parameters!$B$9)*NORM.S.INV(RAND())</f>
        <v/>
      </c>
      <c r="MP11" s="19">
        <f>SQRT(Parameters!$B$5)*Factors!MP3+SQRT(Parameters!$B$6)*Factors!MP6+SQRT(Parameters!$B$7)*Factors!MP9+SQRT(Parameters!$B$9)*NORM.S.INV(RAND())</f>
        <v/>
      </c>
      <c r="MQ11" s="19">
        <f>SQRT(Parameters!$B$5)*Factors!MQ3+SQRT(Parameters!$B$6)*Factors!MQ6+SQRT(Parameters!$B$7)*Factors!MQ9+SQRT(Parameters!$B$9)*NORM.S.INV(RAND())</f>
        <v/>
      </c>
      <c r="MR11" s="19">
        <f>SQRT(Parameters!$B$5)*Factors!MR3+SQRT(Parameters!$B$6)*Factors!MR6+SQRT(Parameters!$B$7)*Factors!MR9+SQRT(Parameters!$B$9)*NORM.S.INV(RAND())</f>
        <v/>
      </c>
      <c r="MS11" s="19">
        <f>SQRT(Parameters!$B$5)*Factors!MS3+SQRT(Parameters!$B$6)*Factors!MS6+SQRT(Parameters!$B$7)*Factors!MS9+SQRT(Parameters!$B$9)*NORM.S.INV(RAND())</f>
        <v/>
      </c>
      <c r="MT11" s="19">
        <f>SQRT(Parameters!$B$5)*Factors!MT3+SQRT(Parameters!$B$6)*Factors!MT6+SQRT(Parameters!$B$7)*Factors!MT9+SQRT(Parameters!$B$9)*NORM.S.INV(RAND())</f>
        <v/>
      </c>
      <c r="MU11" s="19">
        <f>SQRT(Parameters!$B$5)*Factors!MU3+SQRT(Parameters!$B$6)*Factors!MU6+SQRT(Parameters!$B$7)*Factors!MU9+SQRT(Parameters!$B$9)*NORM.S.INV(RAND())</f>
        <v/>
      </c>
      <c r="MV11" s="19">
        <f>SQRT(Parameters!$B$5)*Factors!MV3+SQRT(Parameters!$B$6)*Factors!MV6+SQRT(Parameters!$B$7)*Factors!MV9+SQRT(Parameters!$B$9)*NORM.S.INV(RAND())</f>
        <v/>
      </c>
      <c r="MW11" s="19">
        <f>SQRT(Parameters!$B$5)*Factors!MW3+SQRT(Parameters!$B$6)*Factors!MW6+SQRT(Parameters!$B$7)*Factors!MW9+SQRT(Parameters!$B$9)*NORM.S.INV(RAND())</f>
        <v/>
      </c>
      <c r="MX11" s="19">
        <f>SQRT(Parameters!$B$5)*Factors!MX3+SQRT(Parameters!$B$6)*Factors!MX6+SQRT(Parameters!$B$7)*Factors!MX9+SQRT(Parameters!$B$9)*NORM.S.INV(RAND())</f>
        <v/>
      </c>
      <c r="MY11" s="19">
        <f>SQRT(Parameters!$B$5)*Factors!MY3+SQRT(Parameters!$B$6)*Factors!MY6+SQRT(Parameters!$B$7)*Factors!MY9+SQRT(Parameters!$B$9)*NORM.S.INV(RAND())</f>
        <v/>
      </c>
      <c r="MZ11" s="19">
        <f>SQRT(Parameters!$B$5)*Factors!MZ3+SQRT(Parameters!$B$6)*Factors!MZ6+SQRT(Parameters!$B$7)*Factors!MZ9+SQRT(Parameters!$B$9)*NORM.S.INV(RAND())</f>
        <v/>
      </c>
      <c r="NA11" s="19">
        <f>SQRT(Parameters!$B$5)*Factors!NA3+SQRT(Parameters!$B$6)*Factors!NA6+SQRT(Parameters!$B$7)*Factors!NA9+SQRT(Parameters!$B$9)*NORM.S.INV(RAND())</f>
        <v/>
      </c>
      <c r="NB11" s="19">
        <f>SQRT(Parameters!$B$5)*Factors!NB3+SQRT(Parameters!$B$6)*Factors!NB6+SQRT(Parameters!$B$7)*Factors!NB9+SQRT(Parameters!$B$9)*NORM.S.INV(RAND())</f>
        <v/>
      </c>
      <c r="NC11" s="19">
        <f>SQRT(Parameters!$B$5)*Factors!NC3+SQRT(Parameters!$B$6)*Factors!NC6+SQRT(Parameters!$B$7)*Factors!NC9+SQRT(Parameters!$B$9)*NORM.S.INV(RAND())</f>
        <v/>
      </c>
      <c r="ND11" s="19">
        <f>SQRT(Parameters!$B$5)*Factors!ND3+SQRT(Parameters!$B$6)*Factors!ND6+SQRT(Parameters!$B$7)*Factors!ND9+SQRT(Parameters!$B$9)*NORM.S.INV(RAND())</f>
        <v/>
      </c>
      <c r="NE11" s="19">
        <f>SQRT(Parameters!$B$5)*Factors!NE3+SQRT(Parameters!$B$6)*Factors!NE6+SQRT(Parameters!$B$7)*Factors!NE9+SQRT(Parameters!$B$9)*NORM.S.INV(RAND())</f>
        <v/>
      </c>
      <c r="NF11" s="19">
        <f>SQRT(Parameters!$B$5)*Factors!NF3+SQRT(Parameters!$B$6)*Factors!NF6+SQRT(Parameters!$B$7)*Factors!NF9+SQRT(Parameters!$B$9)*NORM.S.INV(RAND())</f>
        <v/>
      </c>
      <c r="NG11" s="19">
        <f>SQRT(Parameters!$B$5)*Factors!NG3+SQRT(Parameters!$B$6)*Factors!NG6+SQRT(Parameters!$B$7)*Factors!NG9+SQRT(Parameters!$B$9)*NORM.S.INV(RAND())</f>
        <v/>
      </c>
      <c r="NH11" s="19">
        <f>SQRT(Parameters!$B$5)*Factors!NH3+SQRT(Parameters!$B$6)*Factors!NH6+SQRT(Parameters!$B$7)*Factors!NH9+SQRT(Parameters!$B$9)*NORM.S.INV(RAND())</f>
        <v/>
      </c>
      <c r="NI11" s="19">
        <f>SQRT(Parameters!$B$5)*Factors!NI3+SQRT(Parameters!$B$6)*Factors!NI6+SQRT(Parameters!$B$7)*Factors!NI9+SQRT(Parameters!$B$9)*NORM.S.INV(RAND())</f>
        <v/>
      </c>
      <c r="NJ11" s="19">
        <f>SQRT(Parameters!$B$5)*Factors!NJ3+SQRT(Parameters!$B$6)*Factors!NJ6+SQRT(Parameters!$B$7)*Factors!NJ9+SQRT(Parameters!$B$9)*NORM.S.INV(RAND())</f>
        <v/>
      </c>
      <c r="NK11" s="19">
        <f>SQRT(Parameters!$B$5)*Factors!NK3+SQRT(Parameters!$B$6)*Factors!NK6+SQRT(Parameters!$B$7)*Factors!NK9+SQRT(Parameters!$B$9)*NORM.S.INV(RAND())</f>
        <v/>
      </c>
      <c r="NL11" s="19">
        <f>SQRT(Parameters!$B$5)*Factors!NL3+SQRT(Parameters!$B$6)*Factors!NL6+SQRT(Parameters!$B$7)*Factors!NL9+SQRT(Parameters!$B$9)*NORM.S.INV(RAND())</f>
        <v/>
      </c>
      <c r="NM11" s="19">
        <f>SQRT(Parameters!$B$5)*Factors!NM3+SQRT(Parameters!$B$6)*Factors!NM6+SQRT(Parameters!$B$7)*Factors!NM9+SQRT(Parameters!$B$9)*NORM.S.INV(RAND())</f>
        <v/>
      </c>
      <c r="NN11" s="19">
        <f>SQRT(Parameters!$B$5)*Factors!NN3+SQRT(Parameters!$B$6)*Factors!NN6+SQRT(Parameters!$B$7)*Factors!NN9+SQRT(Parameters!$B$9)*NORM.S.INV(RAND())</f>
        <v/>
      </c>
      <c r="NO11" s="19">
        <f>SQRT(Parameters!$B$5)*Factors!NO3+SQRT(Parameters!$B$6)*Factors!NO6+SQRT(Parameters!$B$7)*Factors!NO9+SQRT(Parameters!$B$9)*NORM.S.INV(RAND())</f>
        <v/>
      </c>
      <c r="NP11" s="19">
        <f>SQRT(Parameters!$B$5)*Factors!NP3+SQRT(Parameters!$B$6)*Factors!NP6+SQRT(Parameters!$B$7)*Factors!NP9+SQRT(Parameters!$B$9)*NORM.S.INV(RAND())</f>
        <v/>
      </c>
      <c r="NQ11" s="19">
        <f>SQRT(Parameters!$B$5)*Factors!NQ3+SQRT(Parameters!$B$6)*Factors!NQ6+SQRT(Parameters!$B$7)*Factors!NQ9+SQRT(Parameters!$B$9)*NORM.S.INV(RAND())</f>
        <v/>
      </c>
      <c r="NR11" s="19">
        <f>SQRT(Parameters!$B$5)*Factors!NR3+SQRT(Parameters!$B$6)*Factors!NR6+SQRT(Parameters!$B$7)*Factors!NR9+SQRT(Parameters!$B$9)*NORM.S.INV(RAND())</f>
        <v/>
      </c>
      <c r="NS11" s="19">
        <f>SQRT(Parameters!$B$5)*Factors!NS3+SQRT(Parameters!$B$6)*Factors!NS6+SQRT(Parameters!$B$7)*Factors!NS9+SQRT(Parameters!$B$9)*NORM.S.INV(RAND())</f>
        <v/>
      </c>
      <c r="NT11" s="19">
        <f>SQRT(Parameters!$B$5)*Factors!NT3+SQRT(Parameters!$B$6)*Factors!NT6+SQRT(Parameters!$B$7)*Factors!NT9+SQRT(Parameters!$B$9)*NORM.S.INV(RAND())</f>
        <v/>
      </c>
      <c r="NU11" s="19">
        <f>SQRT(Parameters!$B$5)*Factors!NU3+SQRT(Parameters!$B$6)*Factors!NU6+SQRT(Parameters!$B$7)*Factors!NU9+SQRT(Parameters!$B$9)*NORM.S.INV(RAND())</f>
        <v/>
      </c>
      <c r="NV11" s="19">
        <f>SQRT(Parameters!$B$5)*Factors!NV3+SQRT(Parameters!$B$6)*Factors!NV6+SQRT(Parameters!$B$7)*Factors!NV9+SQRT(Parameters!$B$9)*NORM.S.INV(RAND())</f>
        <v/>
      </c>
      <c r="NW11" s="19">
        <f>SQRT(Parameters!$B$5)*Factors!NW3+SQRT(Parameters!$B$6)*Factors!NW6+SQRT(Parameters!$B$7)*Factors!NW9+SQRT(Parameters!$B$9)*NORM.S.INV(RAND())</f>
        <v/>
      </c>
      <c r="NX11" s="19">
        <f>SQRT(Parameters!$B$5)*Factors!NX3+SQRT(Parameters!$B$6)*Factors!NX6+SQRT(Parameters!$B$7)*Factors!NX9+SQRT(Parameters!$B$9)*NORM.S.INV(RAND())</f>
        <v/>
      </c>
      <c r="NY11" s="19">
        <f>SQRT(Parameters!$B$5)*Factors!NY3+SQRT(Parameters!$B$6)*Factors!NY6+SQRT(Parameters!$B$7)*Factors!NY9+SQRT(Parameters!$B$9)*NORM.S.INV(RAND())</f>
        <v/>
      </c>
      <c r="NZ11" s="19">
        <f>SQRT(Parameters!$B$5)*Factors!NZ3+SQRT(Parameters!$B$6)*Factors!NZ6+SQRT(Parameters!$B$7)*Factors!NZ9+SQRT(Parameters!$B$9)*NORM.S.INV(RAND())</f>
        <v/>
      </c>
      <c r="OA11" s="19">
        <f>SQRT(Parameters!$B$5)*Factors!OA3+SQRT(Parameters!$B$6)*Factors!OA6+SQRT(Parameters!$B$7)*Factors!OA9+SQRT(Parameters!$B$9)*NORM.S.INV(RAND())</f>
        <v/>
      </c>
      <c r="OB11" s="19">
        <f>SQRT(Parameters!$B$5)*Factors!OB3+SQRT(Parameters!$B$6)*Factors!OB6+SQRT(Parameters!$B$7)*Factors!OB9+SQRT(Parameters!$B$9)*NORM.S.INV(RAND())</f>
        <v/>
      </c>
      <c r="OC11" s="19">
        <f>SQRT(Parameters!$B$5)*Factors!OC3+SQRT(Parameters!$B$6)*Factors!OC6+SQRT(Parameters!$B$7)*Factors!OC9+SQRT(Parameters!$B$9)*NORM.S.INV(RAND())</f>
        <v/>
      </c>
      <c r="OD11" s="19">
        <f>SQRT(Parameters!$B$5)*Factors!OD3+SQRT(Parameters!$B$6)*Factors!OD6+SQRT(Parameters!$B$7)*Factors!OD9+SQRT(Parameters!$B$9)*NORM.S.INV(RAND())</f>
        <v/>
      </c>
      <c r="OE11" s="19">
        <f>SQRT(Parameters!$B$5)*Factors!OE3+SQRT(Parameters!$B$6)*Factors!OE6+SQRT(Parameters!$B$7)*Factors!OE9+SQRT(Parameters!$B$9)*NORM.S.INV(RAND())</f>
        <v/>
      </c>
      <c r="OF11" s="19">
        <f>SQRT(Parameters!$B$5)*Factors!OF3+SQRT(Parameters!$B$6)*Factors!OF6+SQRT(Parameters!$B$7)*Factors!OF9+SQRT(Parameters!$B$9)*NORM.S.INV(RAND())</f>
        <v/>
      </c>
      <c r="OG11" s="19">
        <f>SQRT(Parameters!$B$5)*Factors!OG3+SQRT(Parameters!$B$6)*Factors!OG6+SQRT(Parameters!$B$7)*Factors!OG9+SQRT(Parameters!$B$9)*NORM.S.INV(RAND())</f>
        <v/>
      </c>
      <c r="OH11" s="19">
        <f>SQRT(Parameters!$B$5)*Factors!OH3+SQRT(Parameters!$B$6)*Factors!OH6+SQRT(Parameters!$B$7)*Factors!OH9+SQRT(Parameters!$B$9)*NORM.S.INV(RAND())</f>
        <v/>
      </c>
      <c r="OI11" s="19">
        <f>SQRT(Parameters!$B$5)*Factors!OI3+SQRT(Parameters!$B$6)*Factors!OI6+SQRT(Parameters!$B$7)*Factors!OI9+SQRT(Parameters!$B$9)*NORM.S.INV(RAND())</f>
        <v/>
      </c>
      <c r="OJ11" s="19">
        <f>SQRT(Parameters!$B$5)*Factors!OJ3+SQRT(Parameters!$B$6)*Factors!OJ6+SQRT(Parameters!$B$7)*Factors!OJ9+SQRT(Parameters!$B$9)*NORM.S.INV(RAND())</f>
        <v/>
      </c>
      <c r="OK11" s="19">
        <f>SQRT(Parameters!$B$5)*Factors!OK3+SQRT(Parameters!$B$6)*Factors!OK6+SQRT(Parameters!$B$7)*Factors!OK9+SQRT(Parameters!$B$9)*NORM.S.INV(RAND())</f>
        <v/>
      </c>
      <c r="OL11" s="19">
        <f>SQRT(Parameters!$B$5)*Factors!OL3+SQRT(Parameters!$B$6)*Factors!OL6+SQRT(Parameters!$B$7)*Factors!OL9+SQRT(Parameters!$B$9)*NORM.S.INV(RAND())</f>
        <v/>
      </c>
      <c r="OM11" s="19">
        <f>SQRT(Parameters!$B$5)*Factors!OM3+SQRT(Parameters!$B$6)*Factors!OM6+SQRT(Parameters!$B$7)*Factors!OM9+SQRT(Parameters!$B$9)*NORM.S.INV(RAND())</f>
        <v/>
      </c>
      <c r="ON11" s="19">
        <f>SQRT(Parameters!$B$5)*Factors!ON3+SQRT(Parameters!$B$6)*Factors!ON6+SQRT(Parameters!$B$7)*Factors!ON9+SQRT(Parameters!$B$9)*NORM.S.INV(RAND())</f>
        <v/>
      </c>
      <c r="OO11" s="19">
        <f>SQRT(Parameters!$B$5)*Factors!OO3+SQRT(Parameters!$B$6)*Factors!OO6+SQRT(Parameters!$B$7)*Factors!OO9+SQRT(Parameters!$B$9)*NORM.S.INV(RAND())</f>
        <v/>
      </c>
      <c r="OP11" s="19">
        <f>SQRT(Parameters!$B$5)*Factors!OP3+SQRT(Parameters!$B$6)*Factors!OP6+SQRT(Parameters!$B$7)*Factors!OP9+SQRT(Parameters!$B$9)*NORM.S.INV(RAND())</f>
        <v/>
      </c>
      <c r="OQ11" s="19">
        <f>SQRT(Parameters!$B$5)*Factors!OQ3+SQRT(Parameters!$B$6)*Factors!OQ6+SQRT(Parameters!$B$7)*Factors!OQ9+SQRT(Parameters!$B$9)*NORM.S.INV(RAND())</f>
        <v/>
      </c>
      <c r="OR11" s="19">
        <f>SQRT(Parameters!$B$5)*Factors!OR3+SQRT(Parameters!$B$6)*Factors!OR6+SQRT(Parameters!$B$7)*Factors!OR9+SQRT(Parameters!$B$9)*NORM.S.INV(RAND())</f>
        <v/>
      </c>
      <c r="OS11" s="19">
        <f>SQRT(Parameters!$B$5)*Factors!OS3+SQRT(Parameters!$B$6)*Factors!OS6+SQRT(Parameters!$B$7)*Factors!OS9+SQRT(Parameters!$B$9)*NORM.S.INV(RAND())</f>
        <v/>
      </c>
      <c r="OT11" s="19">
        <f>SQRT(Parameters!$B$5)*Factors!OT3+SQRT(Parameters!$B$6)*Factors!OT6+SQRT(Parameters!$B$7)*Factors!OT9+SQRT(Parameters!$B$9)*NORM.S.INV(RAND())</f>
        <v/>
      </c>
      <c r="OU11" s="19">
        <f>SQRT(Parameters!$B$5)*Factors!OU3+SQRT(Parameters!$B$6)*Factors!OU6+SQRT(Parameters!$B$7)*Factors!OU9+SQRT(Parameters!$B$9)*NORM.S.INV(RAND())</f>
        <v/>
      </c>
      <c r="OV11" s="19">
        <f>SQRT(Parameters!$B$5)*Factors!OV3+SQRT(Parameters!$B$6)*Factors!OV6+SQRT(Parameters!$B$7)*Factors!OV9+SQRT(Parameters!$B$9)*NORM.S.INV(RAND())</f>
        <v/>
      </c>
      <c r="OW11" s="19">
        <f>SQRT(Parameters!$B$5)*Factors!OW3+SQRT(Parameters!$B$6)*Factors!OW6+SQRT(Parameters!$B$7)*Factors!OW9+SQRT(Parameters!$B$9)*NORM.S.INV(RAND())</f>
        <v/>
      </c>
      <c r="OX11" s="19">
        <f>SQRT(Parameters!$B$5)*Factors!OX3+SQRT(Parameters!$B$6)*Factors!OX6+SQRT(Parameters!$B$7)*Factors!OX9+SQRT(Parameters!$B$9)*NORM.S.INV(RAND())</f>
        <v/>
      </c>
      <c r="OY11" s="19">
        <f>SQRT(Parameters!$B$5)*Factors!OY3+SQRT(Parameters!$B$6)*Factors!OY6+SQRT(Parameters!$B$7)*Factors!OY9+SQRT(Parameters!$B$9)*NORM.S.INV(RAND())</f>
        <v/>
      </c>
      <c r="OZ11" s="19">
        <f>SQRT(Parameters!$B$5)*Factors!OZ3+SQRT(Parameters!$B$6)*Factors!OZ6+SQRT(Parameters!$B$7)*Factors!OZ9+SQRT(Parameters!$B$9)*NORM.S.INV(RAND())</f>
        <v/>
      </c>
      <c r="PA11" s="19">
        <f>SQRT(Parameters!$B$5)*Factors!PA3+SQRT(Parameters!$B$6)*Factors!PA6+SQRT(Parameters!$B$7)*Factors!PA9+SQRT(Parameters!$B$9)*NORM.S.INV(RAND())</f>
        <v/>
      </c>
      <c r="PB11" s="19">
        <f>SQRT(Parameters!$B$5)*Factors!PB3+SQRT(Parameters!$B$6)*Factors!PB6+SQRT(Parameters!$B$7)*Factors!PB9+SQRT(Parameters!$B$9)*NORM.S.INV(RAND())</f>
        <v/>
      </c>
      <c r="PC11" s="19">
        <f>SQRT(Parameters!$B$5)*Factors!PC3+SQRT(Parameters!$B$6)*Factors!PC6+SQRT(Parameters!$B$7)*Factors!PC9+SQRT(Parameters!$B$9)*NORM.S.INV(RAND())</f>
        <v/>
      </c>
      <c r="PD11" s="19">
        <f>SQRT(Parameters!$B$5)*Factors!PD3+SQRT(Parameters!$B$6)*Factors!PD6+SQRT(Parameters!$B$7)*Factors!PD9+SQRT(Parameters!$B$9)*NORM.S.INV(RAND())</f>
        <v/>
      </c>
      <c r="PE11" s="19">
        <f>SQRT(Parameters!$B$5)*Factors!PE3+SQRT(Parameters!$B$6)*Factors!PE6+SQRT(Parameters!$B$7)*Factors!PE9+SQRT(Parameters!$B$9)*NORM.S.INV(RAND())</f>
        <v/>
      </c>
      <c r="PF11" s="19">
        <f>SQRT(Parameters!$B$5)*Factors!PF3+SQRT(Parameters!$B$6)*Factors!PF6+SQRT(Parameters!$B$7)*Factors!PF9+SQRT(Parameters!$B$9)*NORM.S.INV(RAND())</f>
        <v/>
      </c>
      <c r="PG11" s="19">
        <f>SQRT(Parameters!$B$5)*Factors!PG3+SQRT(Parameters!$B$6)*Factors!PG6+SQRT(Parameters!$B$7)*Factors!PG9+SQRT(Parameters!$B$9)*NORM.S.INV(RAND())</f>
        <v/>
      </c>
      <c r="PH11" s="19">
        <f>SQRT(Parameters!$B$5)*Factors!PH3+SQRT(Parameters!$B$6)*Factors!PH6+SQRT(Parameters!$B$7)*Factors!PH9+SQRT(Parameters!$B$9)*NORM.S.INV(RAND())</f>
        <v/>
      </c>
      <c r="PI11" s="19">
        <f>SQRT(Parameters!$B$5)*Factors!PI3+SQRT(Parameters!$B$6)*Factors!PI6+SQRT(Parameters!$B$7)*Factors!PI9+SQRT(Parameters!$B$9)*NORM.S.INV(RAND())</f>
        <v/>
      </c>
      <c r="PJ11" s="19">
        <f>SQRT(Parameters!$B$5)*Factors!PJ3+SQRT(Parameters!$B$6)*Factors!PJ6+SQRT(Parameters!$B$7)*Factors!PJ9+SQRT(Parameters!$B$9)*NORM.S.INV(RAND())</f>
        <v/>
      </c>
      <c r="PK11" s="19">
        <f>SQRT(Parameters!$B$5)*Factors!PK3+SQRT(Parameters!$B$6)*Factors!PK6+SQRT(Parameters!$B$7)*Factors!PK9+SQRT(Parameters!$B$9)*NORM.S.INV(RAND())</f>
        <v/>
      </c>
      <c r="PL11" s="19">
        <f>SQRT(Parameters!$B$5)*Factors!PL3+SQRT(Parameters!$B$6)*Factors!PL6+SQRT(Parameters!$B$7)*Factors!PL9+SQRT(Parameters!$B$9)*NORM.S.INV(RAND())</f>
        <v/>
      </c>
      <c r="PM11" s="19">
        <f>SQRT(Parameters!$B$5)*Factors!PM3+SQRT(Parameters!$B$6)*Factors!PM6+SQRT(Parameters!$B$7)*Factors!PM9+SQRT(Parameters!$B$9)*NORM.S.INV(RAND())</f>
        <v/>
      </c>
      <c r="PN11" s="19">
        <f>SQRT(Parameters!$B$5)*Factors!PN3+SQRT(Parameters!$B$6)*Factors!PN6+SQRT(Parameters!$B$7)*Factors!PN9+SQRT(Parameters!$B$9)*NORM.S.INV(RAND())</f>
        <v/>
      </c>
      <c r="PO11" s="19">
        <f>SQRT(Parameters!$B$5)*Factors!PO3+SQRT(Parameters!$B$6)*Factors!PO6+SQRT(Parameters!$B$7)*Factors!PO9+SQRT(Parameters!$B$9)*NORM.S.INV(RAND())</f>
        <v/>
      </c>
      <c r="PP11" s="19">
        <f>SQRT(Parameters!$B$5)*Factors!PP3+SQRT(Parameters!$B$6)*Factors!PP6+SQRT(Parameters!$B$7)*Factors!PP9+SQRT(Parameters!$B$9)*NORM.S.INV(RAND())</f>
        <v/>
      </c>
      <c r="PQ11" s="19">
        <f>SQRT(Parameters!$B$5)*Factors!PQ3+SQRT(Parameters!$B$6)*Factors!PQ6+SQRT(Parameters!$B$7)*Factors!PQ9+SQRT(Parameters!$B$9)*NORM.S.INV(RAND())</f>
        <v/>
      </c>
      <c r="PR11" s="19">
        <f>SQRT(Parameters!$B$5)*Factors!PR3+SQRT(Parameters!$B$6)*Factors!PR6+SQRT(Parameters!$B$7)*Factors!PR9+SQRT(Parameters!$B$9)*NORM.S.INV(RAND())</f>
        <v/>
      </c>
      <c r="PS11" s="19">
        <f>SQRT(Parameters!$B$5)*Factors!PS3+SQRT(Parameters!$B$6)*Factors!PS6+SQRT(Parameters!$B$7)*Factors!PS9+SQRT(Parameters!$B$9)*NORM.S.INV(RAND())</f>
        <v/>
      </c>
      <c r="PT11" s="19">
        <f>SQRT(Parameters!$B$5)*Factors!PT3+SQRT(Parameters!$B$6)*Factors!PT6+SQRT(Parameters!$B$7)*Factors!PT9+SQRT(Parameters!$B$9)*NORM.S.INV(RAND())</f>
        <v/>
      </c>
      <c r="PU11" s="19">
        <f>SQRT(Parameters!$B$5)*Factors!PU3+SQRT(Parameters!$B$6)*Factors!PU6+SQRT(Parameters!$B$7)*Factors!PU9+SQRT(Parameters!$B$9)*NORM.S.INV(RAND())</f>
        <v/>
      </c>
      <c r="PV11" s="19">
        <f>SQRT(Parameters!$B$5)*Factors!PV3+SQRT(Parameters!$B$6)*Factors!PV6+SQRT(Parameters!$B$7)*Factors!PV9+SQRT(Parameters!$B$9)*NORM.S.INV(RAND())</f>
        <v/>
      </c>
      <c r="PW11" s="19">
        <f>SQRT(Parameters!$B$5)*Factors!PW3+SQRT(Parameters!$B$6)*Factors!PW6+SQRT(Parameters!$B$7)*Factors!PW9+SQRT(Parameters!$B$9)*NORM.S.INV(RAND())</f>
        <v/>
      </c>
      <c r="PX11" s="19">
        <f>SQRT(Parameters!$B$5)*Factors!PX3+SQRT(Parameters!$B$6)*Factors!PX6+SQRT(Parameters!$B$7)*Factors!PX9+SQRT(Parameters!$B$9)*NORM.S.INV(RAND())</f>
        <v/>
      </c>
      <c r="PY11" s="19">
        <f>SQRT(Parameters!$B$5)*Factors!PY3+SQRT(Parameters!$B$6)*Factors!PY6+SQRT(Parameters!$B$7)*Factors!PY9+SQRT(Parameters!$B$9)*NORM.S.INV(RAND())</f>
        <v/>
      </c>
      <c r="PZ11" s="19">
        <f>SQRT(Parameters!$B$5)*Factors!PZ3+SQRT(Parameters!$B$6)*Factors!PZ6+SQRT(Parameters!$B$7)*Factors!PZ9+SQRT(Parameters!$B$9)*NORM.S.INV(RAND())</f>
        <v/>
      </c>
      <c r="QA11" s="19">
        <f>SQRT(Parameters!$B$5)*Factors!QA3+SQRT(Parameters!$B$6)*Factors!QA6+SQRT(Parameters!$B$7)*Factors!QA9+SQRT(Parameters!$B$9)*NORM.S.INV(RAND())</f>
        <v/>
      </c>
      <c r="QB11" s="19">
        <f>SQRT(Parameters!$B$5)*Factors!QB3+SQRT(Parameters!$B$6)*Factors!QB6+SQRT(Parameters!$B$7)*Factors!QB9+SQRT(Parameters!$B$9)*NORM.S.INV(RAND())</f>
        <v/>
      </c>
      <c r="QC11" s="19">
        <f>SQRT(Parameters!$B$5)*Factors!QC3+SQRT(Parameters!$B$6)*Factors!QC6+SQRT(Parameters!$B$7)*Factors!QC9+SQRT(Parameters!$B$9)*NORM.S.INV(RAND())</f>
        <v/>
      </c>
      <c r="QD11" s="19">
        <f>SQRT(Parameters!$B$5)*Factors!QD3+SQRT(Parameters!$B$6)*Factors!QD6+SQRT(Parameters!$B$7)*Factors!QD9+SQRT(Parameters!$B$9)*NORM.S.INV(RAND())</f>
        <v/>
      </c>
      <c r="QE11" s="19">
        <f>SQRT(Parameters!$B$5)*Factors!QE3+SQRT(Parameters!$B$6)*Factors!QE6+SQRT(Parameters!$B$7)*Factors!QE9+SQRT(Parameters!$B$9)*NORM.S.INV(RAND())</f>
        <v/>
      </c>
      <c r="QF11" s="19">
        <f>SQRT(Parameters!$B$5)*Factors!QF3+SQRT(Parameters!$B$6)*Factors!QF6+SQRT(Parameters!$B$7)*Factors!QF9+SQRT(Parameters!$B$9)*NORM.S.INV(RAND())</f>
        <v/>
      </c>
      <c r="QG11" s="19">
        <f>SQRT(Parameters!$B$5)*Factors!QG3+SQRT(Parameters!$B$6)*Factors!QG6+SQRT(Parameters!$B$7)*Factors!QG9+SQRT(Parameters!$B$9)*NORM.S.INV(RAND())</f>
        <v/>
      </c>
      <c r="QH11" s="19">
        <f>SQRT(Parameters!$B$5)*Factors!QH3+SQRT(Parameters!$B$6)*Factors!QH6+SQRT(Parameters!$B$7)*Factors!QH9+SQRT(Parameters!$B$9)*NORM.S.INV(RAND())</f>
        <v/>
      </c>
      <c r="QI11" s="19">
        <f>SQRT(Parameters!$B$5)*Factors!QI3+SQRT(Parameters!$B$6)*Factors!QI6+SQRT(Parameters!$B$7)*Factors!QI9+SQRT(Parameters!$B$9)*NORM.S.INV(RAND())</f>
        <v/>
      </c>
      <c r="QJ11" s="19">
        <f>SQRT(Parameters!$B$5)*Factors!QJ3+SQRT(Parameters!$B$6)*Factors!QJ6+SQRT(Parameters!$B$7)*Factors!QJ9+SQRT(Parameters!$B$9)*NORM.S.INV(RAND())</f>
        <v/>
      </c>
      <c r="QK11" s="19">
        <f>SQRT(Parameters!$B$5)*Factors!QK3+SQRT(Parameters!$B$6)*Factors!QK6+SQRT(Parameters!$B$7)*Factors!QK9+SQRT(Parameters!$B$9)*NORM.S.INV(RAND())</f>
        <v/>
      </c>
      <c r="QL11" s="19">
        <f>SQRT(Parameters!$B$5)*Factors!QL3+SQRT(Parameters!$B$6)*Factors!QL6+SQRT(Parameters!$B$7)*Factors!QL9+SQRT(Parameters!$B$9)*NORM.S.INV(RAND())</f>
        <v/>
      </c>
      <c r="QM11" s="19">
        <f>SQRT(Parameters!$B$5)*Factors!QM3+SQRT(Parameters!$B$6)*Factors!QM6+SQRT(Parameters!$B$7)*Factors!QM9+SQRT(Parameters!$B$9)*NORM.S.INV(RAND())</f>
        <v/>
      </c>
      <c r="QN11" s="19">
        <f>SQRT(Parameters!$B$5)*Factors!QN3+SQRT(Parameters!$B$6)*Factors!QN6+SQRT(Parameters!$B$7)*Factors!QN9+SQRT(Parameters!$B$9)*NORM.S.INV(RAND())</f>
        <v/>
      </c>
      <c r="QO11" s="19">
        <f>SQRT(Parameters!$B$5)*Factors!QO3+SQRT(Parameters!$B$6)*Factors!QO6+SQRT(Parameters!$B$7)*Factors!QO9+SQRT(Parameters!$B$9)*NORM.S.INV(RAND())</f>
        <v/>
      </c>
      <c r="QP11" s="19">
        <f>SQRT(Parameters!$B$5)*Factors!QP3+SQRT(Parameters!$B$6)*Factors!QP6+SQRT(Parameters!$B$7)*Factors!QP9+SQRT(Parameters!$B$9)*NORM.S.INV(RAND())</f>
        <v/>
      </c>
      <c r="QQ11" s="19">
        <f>SQRT(Parameters!$B$5)*Factors!QQ3+SQRT(Parameters!$B$6)*Factors!QQ6+SQRT(Parameters!$B$7)*Factors!QQ9+SQRT(Parameters!$B$9)*NORM.S.INV(RAND())</f>
        <v/>
      </c>
      <c r="QR11" s="19">
        <f>SQRT(Parameters!$B$5)*Factors!QR3+SQRT(Parameters!$B$6)*Factors!QR6+SQRT(Parameters!$B$7)*Factors!QR9+SQRT(Parameters!$B$9)*NORM.S.INV(RAND())</f>
        <v/>
      </c>
      <c r="QS11" s="19">
        <f>SQRT(Parameters!$B$5)*Factors!QS3+SQRT(Parameters!$B$6)*Factors!QS6+SQRT(Parameters!$B$7)*Factors!QS9+SQRT(Parameters!$B$9)*NORM.S.INV(RAND())</f>
        <v/>
      </c>
      <c r="QT11" s="19">
        <f>SQRT(Parameters!$B$5)*Factors!QT3+SQRT(Parameters!$B$6)*Factors!QT6+SQRT(Parameters!$B$7)*Factors!QT9+SQRT(Parameters!$B$9)*NORM.S.INV(RAND())</f>
        <v/>
      </c>
      <c r="QU11" s="19">
        <f>SQRT(Parameters!$B$5)*Factors!QU3+SQRT(Parameters!$B$6)*Factors!QU6+SQRT(Parameters!$B$7)*Factors!QU9+SQRT(Parameters!$B$9)*NORM.S.INV(RAND())</f>
        <v/>
      </c>
      <c r="QV11" s="19">
        <f>SQRT(Parameters!$B$5)*Factors!QV3+SQRT(Parameters!$B$6)*Factors!QV6+SQRT(Parameters!$B$7)*Factors!QV9+SQRT(Parameters!$B$9)*NORM.S.INV(RAND())</f>
        <v/>
      </c>
      <c r="QW11" s="19">
        <f>SQRT(Parameters!$B$5)*Factors!QW3+SQRT(Parameters!$B$6)*Factors!QW6+SQRT(Parameters!$B$7)*Factors!QW9+SQRT(Parameters!$B$9)*NORM.S.INV(RAND())</f>
        <v/>
      </c>
      <c r="QX11" s="19">
        <f>SQRT(Parameters!$B$5)*Factors!QX3+SQRT(Parameters!$B$6)*Factors!QX6+SQRT(Parameters!$B$7)*Factors!QX9+SQRT(Parameters!$B$9)*NORM.S.INV(RAND())</f>
        <v/>
      </c>
      <c r="QY11" s="19">
        <f>SQRT(Parameters!$B$5)*Factors!QY3+SQRT(Parameters!$B$6)*Factors!QY6+SQRT(Parameters!$B$7)*Factors!QY9+SQRT(Parameters!$B$9)*NORM.S.INV(RAND())</f>
        <v/>
      </c>
      <c r="QZ11" s="19">
        <f>SQRT(Parameters!$B$5)*Factors!QZ3+SQRT(Parameters!$B$6)*Factors!QZ6+SQRT(Parameters!$B$7)*Factors!QZ9+SQRT(Parameters!$B$9)*NORM.S.INV(RAND())</f>
        <v/>
      </c>
      <c r="RA11" s="19">
        <f>SQRT(Parameters!$B$5)*Factors!RA3+SQRT(Parameters!$B$6)*Factors!RA6+SQRT(Parameters!$B$7)*Factors!RA9+SQRT(Parameters!$B$9)*NORM.S.INV(RAND())</f>
        <v/>
      </c>
      <c r="RB11" s="19">
        <f>SQRT(Parameters!$B$5)*Factors!RB3+SQRT(Parameters!$B$6)*Factors!RB6+SQRT(Parameters!$B$7)*Factors!RB9+SQRT(Parameters!$B$9)*NORM.S.INV(RAND())</f>
        <v/>
      </c>
      <c r="RC11" s="19">
        <f>SQRT(Parameters!$B$5)*Factors!RC3+SQRT(Parameters!$B$6)*Factors!RC6+SQRT(Parameters!$B$7)*Factors!RC9+SQRT(Parameters!$B$9)*NORM.S.INV(RAND())</f>
        <v/>
      </c>
      <c r="RD11" s="19">
        <f>SQRT(Parameters!$B$5)*Factors!RD3+SQRT(Parameters!$B$6)*Factors!RD6+SQRT(Parameters!$B$7)*Factors!RD9+SQRT(Parameters!$B$9)*NORM.S.INV(RAND())</f>
        <v/>
      </c>
      <c r="RE11" s="19">
        <f>SQRT(Parameters!$B$5)*Factors!RE3+SQRT(Parameters!$B$6)*Factors!RE6+SQRT(Parameters!$B$7)*Factors!RE9+SQRT(Parameters!$B$9)*NORM.S.INV(RAND())</f>
        <v/>
      </c>
      <c r="RF11" s="19">
        <f>SQRT(Parameters!$B$5)*Factors!RF3+SQRT(Parameters!$B$6)*Factors!RF6+SQRT(Parameters!$B$7)*Factors!RF9+SQRT(Parameters!$B$9)*NORM.S.INV(RAND())</f>
        <v/>
      </c>
      <c r="RG11" s="19">
        <f>SQRT(Parameters!$B$5)*Factors!RG3+SQRT(Parameters!$B$6)*Factors!RG6+SQRT(Parameters!$B$7)*Factors!RG9+SQRT(Parameters!$B$9)*NORM.S.INV(RAND())</f>
        <v/>
      </c>
      <c r="RH11" s="19">
        <f>SQRT(Parameters!$B$5)*Factors!RH3+SQRT(Parameters!$B$6)*Factors!RH6+SQRT(Parameters!$B$7)*Factors!RH9+SQRT(Parameters!$B$9)*NORM.S.INV(RAND())</f>
        <v/>
      </c>
      <c r="RI11" s="19">
        <f>SQRT(Parameters!$B$5)*Factors!RI3+SQRT(Parameters!$B$6)*Factors!RI6+SQRT(Parameters!$B$7)*Factors!RI9+SQRT(Parameters!$B$9)*NORM.S.INV(RAND())</f>
        <v/>
      </c>
      <c r="RJ11" s="19">
        <f>SQRT(Parameters!$B$5)*Factors!RJ3+SQRT(Parameters!$B$6)*Factors!RJ6+SQRT(Parameters!$B$7)*Factors!RJ9+SQRT(Parameters!$B$9)*NORM.S.INV(RAND())</f>
        <v/>
      </c>
      <c r="RK11" s="19">
        <f>SQRT(Parameters!$B$5)*Factors!RK3+SQRT(Parameters!$B$6)*Factors!RK6+SQRT(Parameters!$B$7)*Factors!RK9+SQRT(Parameters!$B$9)*NORM.S.INV(RAND())</f>
        <v/>
      </c>
      <c r="RL11" s="19">
        <f>SQRT(Parameters!$B$5)*Factors!RL3+SQRT(Parameters!$B$6)*Factors!RL6+SQRT(Parameters!$B$7)*Factors!RL9+SQRT(Parameters!$B$9)*NORM.S.INV(RAND())</f>
        <v/>
      </c>
      <c r="RM11" s="19">
        <f>SQRT(Parameters!$B$5)*Factors!RM3+SQRT(Parameters!$B$6)*Factors!RM6+SQRT(Parameters!$B$7)*Factors!RM9+SQRT(Parameters!$B$9)*NORM.S.INV(RAND())</f>
        <v/>
      </c>
      <c r="RN11" s="19">
        <f>SQRT(Parameters!$B$5)*Factors!RN3+SQRT(Parameters!$B$6)*Factors!RN6+SQRT(Parameters!$B$7)*Factors!RN9+SQRT(Parameters!$B$9)*NORM.S.INV(RAND())</f>
        <v/>
      </c>
      <c r="RO11" s="19">
        <f>SQRT(Parameters!$B$5)*Factors!RO3+SQRT(Parameters!$B$6)*Factors!RO6+SQRT(Parameters!$B$7)*Factors!RO9+SQRT(Parameters!$B$9)*NORM.S.INV(RAND())</f>
        <v/>
      </c>
      <c r="RP11" s="19">
        <f>SQRT(Parameters!$B$5)*Factors!RP3+SQRT(Parameters!$B$6)*Factors!RP6+SQRT(Parameters!$B$7)*Factors!RP9+SQRT(Parameters!$B$9)*NORM.S.INV(RAND())</f>
        <v/>
      </c>
      <c r="RQ11" s="19">
        <f>SQRT(Parameters!$B$5)*Factors!RQ3+SQRT(Parameters!$B$6)*Factors!RQ6+SQRT(Parameters!$B$7)*Factors!RQ9+SQRT(Parameters!$B$9)*NORM.S.INV(RAND())</f>
        <v/>
      </c>
      <c r="RR11" s="19">
        <f>SQRT(Parameters!$B$5)*Factors!RR3+SQRT(Parameters!$B$6)*Factors!RR6+SQRT(Parameters!$B$7)*Factors!RR9+SQRT(Parameters!$B$9)*NORM.S.INV(RAND())</f>
        <v/>
      </c>
      <c r="RS11" s="19">
        <f>SQRT(Parameters!$B$5)*Factors!RS3+SQRT(Parameters!$B$6)*Factors!RS6+SQRT(Parameters!$B$7)*Factors!RS9+SQRT(Parameters!$B$9)*NORM.S.INV(RAND())</f>
        <v/>
      </c>
      <c r="RT11" s="19">
        <f>SQRT(Parameters!$B$5)*Factors!RT3+SQRT(Parameters!$B$6)*Factors!RT6+SQRT(Parameters!$B$7)*Factors!RT9+SQRT(Parameters!$B$9)*NORM.S.INV(RAND())</f>
        <v/>
      </c>
      <c r="RU11" s="19">
        <f>SQRT(Parameters!$B$5)*Factors!RU3+SQRT(Parameters!$B$6)*Factors!RU6+SQRT(Parameters!$B$7)*Factors!RU9+SQRT(Parameters!$B$9)*NORM.S.INV(RAND())</f>
        <v/>
      </c>
      <c r="RV11" s="19">
        <f>SQRT(Parameters!$B$5)*Factors!RV3+SQRT(Parameters!$B$6)*Factors!RV6+SQRT(Parameters!$B$7)*Factors!RV9+SQRT(Parameters!$B$9)*NORM.S.INV(RAND())</f>
        <v/>
      </c>
      <c r="RW11" s="19">
        <f>SQRT(Parameters!$B$5)*Factors!RW3+SQRT(Parameters!$B$6)*Factors!RW6+SQRT(Parameters!$B$7)*Factors!RW9+SQRT(Parameters!$B$9)*NORM.S.INV(RAND())</f>
        <v/>
      </c>
      <c r="RX11" s="19">
        <f>SQRT(Parameters!$B$5)*Factors!RX3+SQRT(Parameters!$B$6)*Factors!RX6+SQRT(Parameters!$B$7)*Factors!RX9+SQRT(Parameters!$B$9)*NORM.S.INV(RAND())</f>
        <v/>
      </c>
      <c r="RY11" s="19">
        <f>SQRT(Parameters!$B$5)*Factors!RY3+SQRT(Parameters!$B$6)*Factors!RY6+SQRT(Parameters!$B$7)*Factors!RY9+SQRT(Parameters!$B$9)*NORM.S.INV(RAND())</f>
        <v/>
      </c>
      <c r="RZ11" s="19">
        <f>SQRT(Parameters!$B$5)*Factors!RZ3+SQRT(Parameters!$B$6)*Factors!RZ6+SQRT(Parameters!$B$7)*Factors!RZ9+SQRT(Parameters!$B$9)*NORM.S.INV(RAND())</f>
        <v/>
      </c>
      <c r="SA11" s="19">
        <f>SQRT(Parameters!$B$5)*Factors!SA3+SQRT(Parameters!$B$6)*Factors!SA6+SQRT(Parameters!$B$7)*Factors!SA9+SQRT(Parameters!$B$9)*NORM.S.INV(RAND())</f>
        <v/>
      </c>
      <c r="SB11" s="19">
        <f>SQRT(Parameters!$B$5)*Factors!SB3+SQRT(Parameters!$B$6)*Factors!SB6+SQRT(Parameters!$B$7)*Factors!SB9+SQRT(Parameters!$B$9)*NORM.S.INV(RAND())</f>
        <v/>
      </c>
      <c r="SC11" s="19">
        <f>SQRT(Parameters!$B$5)*Factors!SC3+SQRT(Parameters!$B$6)*Factors!SC6+SQRT(Parameters!$B$7)*Factors!SC9+SQRT(Parameters!$B$9)*NORM.S.INV(RAND())</f>
        <v/>
      </c>
      <c r="SD11" s="19">
        <f>SQRT(Parameters!$B$5)*Factors!SD3+SQRT(Parameters!$B$6)*Factors!SD6+SQRT(Parameters!$B$7)*Factors!SD9+SQRT(Parameters!$B$9)*NORM.S.INV(RAND())</f>
        <v/>
      </c>
      <c r="SE11" s="19">
        <f>SQRT(Parameters!$B$5)*Factors!SE3+SQRT(Parameters!$B$6)*Factors!SE6+SQRT(Parameters!$B$7)*Factors!SE9+SQRT(Parameters!$B$9)*NORM.S.INV(RAND())</f>
        <v/>
      </c>
      <c r="SF11" s="19">
        <f>SQRT(Parameters!$B$5)*Factors!SF3+SQRT(Parameters!$B$6)*Factors!SF6+SQRT(Parameters!$B$7)*Factors!SF9+SQRT(Parameters!$B$9)*NORM.S.INV(RAND())</f>
        <v/>
      </c>
      <c r="SG11" s="19">
        <f>SQRT(Parameters!$B$5)*Factors!SG3+SQRT(Parameters!$B$6)*Factors!SG6+SQRT(Parameters!$B$7)*Factors!SG9+SQRT(Parameters!$B$9)*NORM.S.INV(RAND())</f>
        <v/>
      </c>
    </row>
    <row r="12">
      <c r="A12" s="17" t="inlineStr">
        <is>
          <t>OBL-011</t>
        </is>
      </c>
      <c r="B12" s="19">
        <f>SQRT(Parameters!$B$5)*Factors!B4+SQRT(Parameters!$B$6)*Factors!B5+SQRT(Parameters!$B$7)*Factors!B9+SQRT(Parameters!$B$9)*NORM.S.INV(RAND())</f>
        <v/>
      </c>
      <c r="C12" s="19">
        <f>SQRT(Parameters!$B$5)*Factors!C4+SQRT(Parameters!$B$6)*Factors!C5+SQRT(Parameters!$B$7)*Factors!C9+SQRT(Parameters!$B$9)*NORM.S.INV(RAND())</f>
        <v/>
      </c>
      <c r="D12" s="19">
        <f>SQRT(Parameters!$B$5)*Factors!D4+SQRT(Parameters!$B$6)*Factors!D5+SQRT(Parameters!$B$7)*Factors!D9+SQRT(Parameters!$B$9)*NORM.S.INV(RAND())</f>
        <v/>
      </c>
      <c r="E12" s="19">
        <f>SQRT(Parameters!$B$5)*Factors!E4+SQRT(Parameters!$B$6)*Factors!E5+SQRT(Parameters!$B$7)*Factors!E9+SQRT(Parameters!$B$9)*NORM.S.INV(RAND())</f>
        <v/>
      </c>
      <c r="F12" s="19">
        <f>SQRT(Parameters!$B$5)*Factors!F4+SQRT(Parameters!$B$6)*Factors!F5+SQRT(Parameters!$B$7)*Factors!F9+SQRT(Parameters!$B$9)*NORM.S.INV(RAND())</f>
        <v/>
      </c>
      <c r="G12" s="19">
        <f>SQRT(Parameters!$B$5)*Factors!G4+SQRT(Parameters!$B$6)*Factors!G5+SQRT(Parameters!$B$7)*Factors!G9+SQRT(Parameters!$B$9)*NORM.S.INV(RAND())</f>
        <v/>
      </c>
      <c r="H12" s="19">
        <f>SQRT(Parameters!$B$5)*Factors!H4+SQRT(Parameters!$B$6)*Factors!H5+SQRT(Parameters!$B$7)*Factors!H9+SQRT(Parameters!$B$9)*NORM.S.INV(RAND())</f>
        <v/>
      </c>
      <c r="I12" s="19">
        <f>SQRT(Parameters!$B$5)*Factors!I4+SQRT(Parameters!$B$6)*Factors!I5+SQRT(Parameters!$B$7)*Factors!I9+SQRT(Parameters!$B$9)*NORM.S.INV(RAND())</f>
        <v/>
      </c>
      <c r="J12" s="19">
        <f>SQRT(Parameters!$B$5)*Factors!J4+SQRT(Parameters!$B$6)*Factors!J5+SQRT(Parameters!$B$7)*Factors!J9+SQRT(Parameters!$B$9)*NORM.S.INV(RAND())</f>
        <v/>
      </c>
      <c r="K12" s="19">
        <f>SQRT(Parameters!$B$5)*Factors!K4+SQRT(Parameters!$B$6)*Factors!K5+SQRT(Parameters!$B$7)*Factors!K9+SQRT(Parameters!$B$9)*NORM.S.INV(RAND())</f>
        <v/>
      </c>
      <c r="L12" s="19">
        <f>SQRT(Parameters!$B$5)*Factors!L4+SQRT(Parameters!$B$6)*Factors!L5+SQRT(Parameters!$B$7)*Factors!L9+SQRT(Parameters!$B$9)*NORM.S.INV(RAND())</f>
        <v/>
      </c>
      <c r="M12" s="19">
        <f>SQRT(Parameters!$B$5)*Factors!M4+SQRT(Parameters!$B$6)*Factors!M5+SQRT(Parameters!$B$7)*Factors!M9+SQRT(Parameters!$B$9)*NORM.S.INV(RAND())</f>
        <v/>
      </c>
      <c r="N12" s="19">
        <f>SQRT(Parameters!$B$5)*Factors!N4+SQRT(Parameters!$B$6)*Factors!N5+SQRT(Parameters!$B$7)*Factors!N9+SQRT(Parameters!$B$9)*NORM.S.INV(RAND())</f>
        <v/>
      </c>
      <c r="O12" s="19">
        <f>SQRT(Parameters!$B$5)*Factors!O4+SQRT(Parameters!$B$6)*Factors!O5+SQRT(Parameters!$B$7)*Factors!O9+SQRT(Parameters!$B$9)*NORM.S.INV(RAND())</f>
        <v/>
      </c>
      <c r="P12" s="19">
        <f>SQRT(Parameters!$B$5)*Factors!P4+SQRT(Parameters!$B$6)*Factors!P5+SQRT(Parameters!$B$7)*Factors!P9+SQRT(Parameters!$B$9)*NORM.S.INV(RAND())</f>
        <v/>
      </c>
      <c r="Q12" s="19">
        <f>SQRT(Parameters!$B$5)*Factors!Q4+SQRT(Parameters!$B$6)*Factors!Q5+SQRT(Parameters!$B$7)*Factors!Q9+SQRT(Parameters!$B$9)*NORM.S.INV(RAND())</f>
        <v/>
      </c>
      <c r="R12" s="19">
        <f>SQRT(Parameters!$B$5)*Factors!R4+SQRT(Parameters!$B$6)*Factors!R5+SQRT(Parameters!$B$7)*Factors!R9+SQRT(Parameters!$B$9)*NORM.S.INV(RAND())</f>
        <v/>
      </c>
      <c r="S12" s="19">
        <f>SQRT(Parameters!$B$5)*Factors!S4+SQRT(Parameters!$B$6)*Factors!S5+SQRT(Parameters!$B$7)*Factors!S9+SQRT(Parameters!$B$9)*NORM.S.INV(RAND())</f>
        <v/>
      </c>
      <c r="T12" s="19">
        <f>SQRT(Parameters!$B$5)*Factors!T4+SQRT(Parameters!$B$6)*Factors!T5+SQRT(Parameters!$B$7)*Factors!T9+SQRT(Parameters!$B$9)*NORM.S.INV(RAND())</f>
        <v/>
      </c>
      <c r="U12" s="19">
        <f>SQRT(Parameters!$B$5)*Factors!U4+SQRT(Parameters!$B$6)*Factors!U5+SQRT(Parameters!$B$7)*Factors!U9+SQRT(Parameters!$B$9)*NORM.S.INV(RAND())</f>
        <v/>
      </c>
      <c r="V12" s="19">
        <f>SQRT(Parameters!$B$5)*Factors!V4+SQRT(Parameters!$B$6)*Factors!V5+SQRT(Parameters!$B$7)*Factors!V9+SQRT(Parameters!$B$9)*NORM.S.INV(RAND())</f>
        <v/>
      </c>
      <c r="W12" s="19">
        <f>SQRT(Parameters!$B$5)*Factors!W4+SQRT(Parameters!$B$6)*Factors!W5+SQRT(Parameters!$B$7)*Factors!W9+SQRT(Parameters!$B$9)*NORM.S.INV(RAND())</f>
        <v/>
      </c>
      <c r="X12" s="19">
        <f>SQRT(Parameters!$B$5)*Factors!X4+SQRT(Parameters!$B$6)*Factors!X5+SQRT(Parameters!$B$7)*Factors!X9+SQRT(Parameters!$B$9)*NORM.S.INV(RAND())</f>
        <v/>
      </c>
      <c r="Y12" s="19">
        <f>SQRT(Parameters!$B$5)*Factors!Y4+SQRT(Parameters!$B$6)*Factors!Y5+SQRT(Parameters!$B$7)*Factors!Y9+SQRT(Parameters!$B$9)*NORM.S.INV(RAND())</f>
        <v/>
      </c>
      <c r="Z12" s="19">
        <f>SQRT(Parameters!$B$5)*Factors!Z4+SQRT(Parameters!$B$6)*Factors!Z5+SQRT(Parameters!$B$7)*Factors!Z9+SQRT(Parameters!$B$9)*NORM.S.INV(RAND())</f>
        <v/>
      </c>
      <c r="AA12" s="19">
        <f>SQRT(Parameters!$B$5)*Factors!AA4+SQRT(Parameters!$B$6)*Factors!AA5+SQRT(Parameters!$B$7)*Factors!AA9+SQRT(Parameters!$B$9)*NORM.S.INV(RAND())</f>
        <v/>
      </c>
      <c r="AB12" s="19">
        <f>SQRT(Parameters!$B$5)*Factors!AB4+SQRT(Parameters!$B$6)*Factors!AB5+SQRT(Parameters!$B$7)*Factors!AB9+SQRT(Parameters!$B$9)*NORM.S.INV(RAND())</f>
        <v/>
      </c>
      <c r="AC12" s="19">
        <f>SQRT(Parameters!$B$5)*Factors!AC4+SQRT(Parameters!$B$6)*Factors!AC5+SQRT(Parameters!$B$7)*Factors!AC9+SQRT(Parameters!$B$9)*NORM.S.INV(RAND())</f>
        <v/>
      </c>
      <c r="AD12" s="19">
        <f>SQRT(Parameters!$B$5)*Factors!AD4+SQRT(Parameters!$B$6)*Factors!AD5+SQRT(Parameters!$B$7)*Factors!AD9+SQRT(Parameters!$B$9)*NORM.S.INV(RAND())</f>
        <v/>
      </c>
      <c r="AE12" s="19">
        <f>SQRT(Parameters!$B$5)*Factors!AE4+SQRT(Parameters!$B$6)*Factors!AE5+SQRT(Parameters!$B$7)*Factors!AE9+SQRT(Parameters!$B$9)*NORM.S.INV(RAND())</f>
        <v/>
      </c>
      <c r="AF12" s="19">
        <f>SQRT(Parameters!$B$5)*Factors!AF4+SQRT(Parameters!$B$6)*Factors!AF5+SQRT(Parameters!$B$7)*Factors!AF9+SQRT(Parameters!$B$9)*NORM.S.INV(RAND())</f>
        <v/>
      </c>
      <c r="AG12" s="19">
        <f>SQRT(Parameters!$B$5)*Factors!AG4+SQRT(Parameters!$B$6)*Factors!AG5+SQRT(Parameters!$B$7)*Factors!AG9+SQRT(Parameters!$B$9)*NORM.S.INV(RAND())</f>
        <v/>
      </c>
      <c r="AH12" s="19">
        <f>SQRT(Parameters!$B$5)*Factors!AH4+SQRT(Parameters!$B$6)*Factors!AH5+SQRT(Parameters!$B$7)*Factors!AH9+SQRT(Parameters!$B$9)*NORM.S.INV(RAND())</f>
        <v/>
      </c>
      <c r="AI12" s="19">
        <f>SQRT(Parameters!$B$5)*Factors!AI4+SQRT(Parameters!$B$6)*Factors!AI5+SQRT(Parameters!$B$7)*Factors!AI9+SQRT(Parameters!$B$9)*NORM.S.INV(RAND())</f>
        <v/>
      </c>
      <c r="AJ12" s="19">
        <f>SQRT(Parameters!$B$5)*Factors!AJ4+SQRT(Parameters!$B$6)*Factors!AJ5+SQRT(Parameters!$B$7)*Factors!AJ9+SQRT(Parameters!$B$9)*NORM.S.INV(RAND())</f>
        <v/>
      </c>
      <c r="AK12" s="19">
        <f>SQRT(Parameters!$B$5)*Factors!AK4+SQRT(Parameters!$B$6)*Factors!AK5+SQRT(Parameters!$B$7)*Factors!AK9+SQRT(Parameters!$B$9)*NORM.S.INV(RAND())</f>
        <v/>
      </c>
      <c r="AL12" s="19">
        <f>SQRT(Parameters!$B$5)*Factors!AL4+SQRT(Parameters!$B$6)*Factors!AL5+SQRT(Parameters!$B$7)*Factors!AL9+SQRT(Parameters!$B$9)*NORM.S.INV(RAND())</f>
        <v/>
      </c>
      <c r="AM12" s="19">
        <f>SQRT(Parameters!$B$5)*Factors!AM4+SQRT(Parameters!$B$6)*Factors!AM5+SQRT(Parameters!$B$7)*Factors!AM9+SQRT(Parameters!$B$9)*NORM.S.INV(RAND())</f>
        <v/>
      </c>
      <c r="AN12" s="19">
        <f>SQRT(Parameters!$B$5)*Factors!AN4+SQRT(Parameters!$B$6)*Factors!AN5+SQRT(Parameters!$B$7)*Factors!AN9+SQRT(Parameters!$B$9)*NORM.S.INV(RAND())</f>
        <v/>
      </c>
      <c r="AO12" s="19">
        <f>SQRT(Parameters!$B$5)*Factors!AO4+SQRT(Parameters!$B$6)*Factors!AO5+SQRT(Parameters!$B$7)*Factors!AO9+SQRT(Parameters!$B$9)*NORM.S.INV(RAND())</f>
        <v/>
      </c>
      <c r="AP12" s="19">
        <f>SQRT(Parameters!$B$5)*Factors!AP4+SQRT(Parameters!$B$6)*Factors!AP5+SQRT(Parameters!$B$7)*Factors!AP9+SQRT(Parameters!$B$9)*NORM.S.INV(RAND())</f>
        <v/>
      </c>
      <c r="AQ12" s="19">
        <f>SQRT(Parameters!$B$5)*Factors!AQ4+SQRT(Parameters!$B$6)*Factors!AQ5+SQRT(Parameters!$B$7)*Factors!AQ9+SQRT(Parameters!$B$9)*NORM.S.INV(RAND())</f>
        <v/>
      </c>
      <c r="AR12" s="19">
        <f>SQRT(Parameters!$B$5)*Factors!AR4+SQRT(Parameters!$B$6)*Factors!AR5+SQRT(Parameters!$B$7)*Factors!AR9+SQRT(Parameters!$B$9)*NORM.S.INV(RAND())</f>
        <v/>
      </c>
      <c r="AS12" s="19">
        <f>SQRT(Parameters!$B$5)*Factors!AS4+SQRT(Parameters!$B$6)*Factors!AS5+SQRT(Parameters!$B$7)*Factors!AS9+SQRT(Parameters!$B$9)*NORM.S.INV(RAND())</f>
        <v/>
      </c>
      <c r="AT12" s="19">
        <f>SQRT(Parameters!$B$5)*Factors!AT4+SQRT(Parameters!$B$6)*Factors!AT5+SQRT(Parameters!$B$7)*Factors!AT9+SQRT(Parameters!$B$9)*NORM.S.INV(RAND())</f>
        <v/>
      </c>
      <c r="AU12" s="19">
        <f>SQRT(Parameters!$B$5)*Factors!AU4+SQRT(Parameters!$B$6)*Factors!AU5+SQRT(Parameters!$B$7)*Factors!AU9+SQRT(Parameters!$B$9)*NORM.S.INV(RAND())</f>
        <v/>
      </c>
      <c r="AV12" s="19">
        <f>SQRT(Parameters!$B$5)*Factors!AV4+SQRT(Parameters!$B$6)*Factors!AV5+SQRT(Parameters!$B$7)*Factors!AV9+SQRT(Parameters!$B$9)*NORM.S.INV(RAND())</f>
        <v/>
      </c>
      <c r="AW12" s="19">
        <f>SQRT(Parameters!$B$5)*Factors!AW4+SQRT(Parameters!$B$6)*Factors!AW5+SQRT(Parameters!$B$7)*Factors!AW9+SQRT(Parameters!$B$9)*NORM.S.INV(RAND())</f>
        <v/>
      </c>
      <c r="AX12" s="19">
        <f>SQRT(Parameters!$B$5)*Factors!AX4+SQRT(Parameters!$B$6)*Factors!AX5+SQRT(Parameters!$B$7)*Factors!AX9+SQRT(Parameters!$B$9)*NORM.S.INV(RAND())</f>
        <v/>
      </c>
      <c r="AY12" s="19">
        <f>SQRT(Parameters!$B$5)*Factors!AY4+SQRT(Parameters!$B$6)*Factors!AY5+SQRT(Parameters!$B$7)*Factors!AY9+SQRT(Parameters!$B$9)*NORM.S.INV(RAND())</f>
        <v/>
      </c>
      <c r="AZ12" s="19">
        <f>SQRT(Parameters!$B$5)*Factors!AZ4+SQRT(Parameters!$B$6)*Factors!AZ5+SQRT(Parameters!$B$7)*Factors!AZ9+SQRT(Parameters!$B$9)*NORM.S.INV(RAND())</f>
        <v/>
      </c>
      <c r="BA12" s="19">
        <f>SQRT(Parameters!$B$5)*Factors!BA4+SQRT(Parameters!$B$6)*Factors!BA5+SQRT(Parameters!$B$7)*Factors!BA9+SQRT(Parameters!$B$9)*NORM.S.INV(RAND())</f>
        <v/>
      </c>
      <c r="BB12" s="19">
        <f>SQRT(Parameters!$B$5)*Factors!BB4+SQRT(Parameters!$B$6)*Factors!BB5+SQRT(Parameters!$B$7)*Factors!BB9+SQRT(Parameters!$B$9)*NORM.S.INV(RAND())</f>
        <v/>
      </c>
      <c r="BC12" s="19">
        <f>SQRT(Parameters!$B$5)*Factors!BC4+SQRT(Parameters!$B$6)*Factors!BC5+SQRT(Parameters!$B$7)*Factors!BC9+SQRT(Parameters!$B$9)*NORM.S.INV(RAND())</f>
        <v/>
      </c>
      <c r="BD12" s="19">
        <f>SQRT(Parameters!$B$5)*Factors!BD4+SQRT(Parameters!$B$6)*Factors!BD5+SQRT(Parameters!$B$7)*Factors!BD9+SQRT(Parameters!$B$9)*NORM.S.INV(RAND())</f>
        <v/>
      </c>
      <c r="BE12" s="19">
        <f>SQRT(Parameters!$B$5)*Factors!BE4+SQRT(Parameters!$B$6)*Factors!BE5+SQRT(Parameters!$B$7)*Factors!BE9+SQRT(Parameters!$B$9)*NORM.S.INV(RAND())</f>
        <v/>
      </c>
      <c r="BF12" s="19">
        <f>SQRT(Parameters!$B$5)*Factors!BF4+SQRT(Parameters!$B$6)*Factors!BF5+SQRT(Parameters!$B$7)*Factors!BF9+SQRT(Parameters!$B$9)*NORM.S.INV(RAND())</f>
        <v/>
      </c>
      <c r="BG12" s="19">
        <f>SQRT(Parameters!$B$5)*Factors!BG4+SQRT(Parameters!$B$6)*Factors!BG5+SQRT(Parameters!$B$7)*Factors!BG9+SQRT(Parameters!$B$9)*NORM.S.INV(RAND())</f>
        <v/>
      </c>
      <c r="BH12" s="19">
        <f>SQRT(Parameters!$B$5)*Factors!BH4+SQRT(Parameters!$B$6)*Factors!BH5+SQRT(Parameters!$B$7)*Factors!BH9+SQRT(Parameters!$B$9)*NORM.S.INV(RAND())</f>
        <v/>
      </c>
      <c r="BI12" s="19">
        <f>SQRT(Parameters!$B$5)*Factors!BI4+SQRT(Parameters!$B$6)*Factors!BI5+SQRT(Parameters!$B$7)*Factors!BI9+SQRT(Parameters!$B$9)*NORM.S.INV(RAND())</f>
        <v/>
      </c>
      <c r="BJ12" s="19">
        <f>SQRT(Parameters!$B$5)*Factors!BJ4+SQRT(Parameters!$B$6)*Factors!BJ5+SQRT(Parameters!$B$7)*Factors!BJ9+SQRT(Parameters!$B$9)*NORM.S.INV(RAND())</f>
        <v/>
      </c>
      <c r="BK12" s="19">
        <f>SQRT(Parameters!$B$5)*Factors!BK4+SQRT(Parameters!$B$6)*Factors!BK5+SQRT(Parameters!$B$7)*Factors!BK9+SQRT(Parameters!$B$9)*NORM.S.INV(RAND())</f>
        <v/>
      </c>
      <c r="BL12" s="19">
        <f>SQRT(Parameters!$B$5)*Factors!BL4+SQRT(Parameters!$B$6)*Factors!BL5+SQRT(Parameters!$B$7)*Factors!BL9+SQRT(Parameters!$B$9)*NORM.S.INV(RAND())</f>
        <v/>
      </c>
      <c r="BM12" s="19">
        <f>SQRT(Parameters!$B$5)*Factors!BM4+SQRT(Parameters!$B$6)*Factors!BM5+SQRT(Parameters!$B$7)*Factors!BM9+SQRT(Parameters!$B$9)*NORM.S.INV(RAND())</f>
        <v/>
      </c>
      <c r="BN12" s="19">
        <f>SQRT(Parameters!$B$5)*Factors!BN4+SQRT(Parameters!$B$6)*Factors!BN5+SQRT(Parameters!$B$7)*Factors!BN9+SQRT(Parameters!$B$9)*NORM.S.INV(RAND())</f>
        <v/>
      </c>
      <c r="BO12" s="19">
        <f>SQRT(Parameters!$B$5)*Factors!BO4+SQRT(Parameters!$B$6)*Factors!BO5+SQRT(Parameters!$B$7)*Factors!BO9+SQRT(Parameters!$B$9)*NORM.S.INV(RAND())</f>
        <v/>
      </c>
      <c r="BP12" s="19">
        <f>SQRT(Parameters!$B$5)*Factors!BP4+SQRT(Parameters!$B$6)*Factors!BP5+SQRT(Parameters!$B$7)*Factors!BP9+SQRT(Parameters!$B$9)*NORM.S.INV(RAND())</f>
        <v/>
      </c>
      <c r="BQ12" s="19">
        <f>SQRT(Parameters!$B$5)*Factors!BQ4+SQRT(Parameters!$B$6)*Factors!BQ5+SQRT(Parameters!$B$7)*Factors!BQ9+SQRT(Parameters!$B$9)*NORM.S.INV(RAND())</f>
        <v/>
      </c>
      <c r="BR12" s="19">
        <f>SQRT(Parameters!$B$5)*Factors!BR4+SQRT(Parameters!$B$6)*Factors!BR5+SQRT(Parameters!$B$7)*Factors!BR9+SQRT(Parameters!$B$9)*NORM.S.INV(RAND())</f>
        <v/>
      </c>
      <c r="BS12" s="19">
        <f>SQRT(Parameters!$B$5)*Factors!BS4+SQRT(Parameters!$B$6)*Factors!BS5+SQRT(Parameters!$B$7)*Factors!BS9+SQRT(Parameters!$B$9)*NORM.S.INV(RAND())</f>
        <v/>
      </c>
      <c r="BT12" s="19">
        <f>SQRT(Parameters!$B$5)*Factors!BT4+SQRT(Parameters!$B$6)*Factors!BT5+SQRT(Parameters!$B$7)*Factors!BT9+SQRT(Parameters!$B$9)*NORM.S.INV(RAND())</f>
        <v/>
      </c>
      <c r="BU12" s="19">
        <f>SQRT(Parameters!$B$5)*Factors!BU4+SQRT(Parameters!$B$6)*Factors!BU5+SQRT(Parameters!$B$7)*Factors!BU9+SQRT(Parameters!$B$9)*NORM.S.INV(RAND())</f>
        <v/>
      </c>
      <c r="BV12" s="19">
        <f>SQRT(Parameters!$B$5)*Factors!BV4+SQRT(Parameters!$B$6)*Factors!BV5+SQRT(Parameters!$B$7)*Factors!BV9+SQRT(Parameters!$B$9)*NORM.S.INV(RAND())</f>
        <v/>
      </c>
      <c r="BW12" s="19">
        <f>SQRT(Parameters!$B$5)*Factors!BW4+SQRT(Parameters!$B$6)*Factors!BW5+SQRT(Parameters!$B$7)*Factors!BW9+SQRT(Parameters!$B$9)*NORM.S.INV(RAND())</f>
        <v/>
      </c>
      <c r="BX12" s="19">
        <f>SQRT(Parameters!$B$5)*Factors!BX4+SQRT(Parameters!$B$6)*Factors!BX5+SQRT(Parameters!$B$7)*Factors!BX9+SQRT(Parameters!$B$9)*NORM.S.INV(RAND())</f>
        <v/>
      </c>
      <c r="BY12" s="19">
        <f>SQRT(Parameters!$B$5)*Factors!BY4+SQRT(Parameters!$B$6)*Factors!BY5+SQRT(Parameters!$B$7)*Factors!BY9+SQRT(Parameters!$B$9)*NORM.S.INV(RAND())</f>
        <v/>
      </c>
      <c r="BZ12" s="19">
        <f>SQRT(Parameters!$B$5)*Factors!BZ4+SQRT(Parameters!$B$6)*Factors!BZ5+SQRT(Parameters!$B$7)*Factors!BZ9+SQRT(Parameters!$B$9)*NORM.S.INV(RAND())</f>
        <v/>
      </c>
      <c r="CA12" s="19">
        <f>SQRT(Parameters!$B$5)*Factors!CA4+SQRT(Parameters!$B$6)*Factors!CA5+SQRT(Parameters!$B$7)*Factors!CA9+SQRT(Parameters!$B$9)*NORM.S.INV(RAND())</f>
        <v/>
      </c>
      <c r="CB12" s="19">
        <f>SQRT(Parameters!$B$5)*Factors!CB4+SQRT(Parameters!$B$6)*Factors!CB5+SQRT(Parameters!$B$7)*Factors!CB9+SQRT(Parameters!$B$9)*NORM.S.INV(RAND())</f>
        <v/>
      </c>
      <c r="CC12" s="19">
        <f>SQRT(Parameters!$B$5)*Factors!CC4+SQRT(Parameters!$B$6)*Factors!CC5+SQRT(Parameters!$B$7)*Factors!CC9+SQRT(Parameters!$B$9)*NORM.S.INV(RAND())</f>
        <v/>
      </c>
      <c r="CD12" s="19">
        <f>SQRT(Parameters!$B$5)*Factors!CD4+SQRT(Parameters!$B$6)*Factors!CD5+SQRT(Parameters!$B$7)*Factors!CD9+SQRT(Parameters!$B$9)*NORM.S.INV(RAND())</f>
        <v/>
      </c>
      <c r="CE12" s="19">
        <f>SQRT(Parameters!$B$5)*Factors!CE4+SQRT(Parameters!$B$6)*Factors!CE5+SQRT(Parameters!$B$7)*Factors!CE9+SQRT(Parameters!$B$9)*NORM.S.INV(RAND())</f>
        <v/>
      </c>
      <c r="CF12" s="19">
        <f>SQRT(Parameters!$B$5)*Factors!CF4+SQRT(Parameters!$B$6)*Factors!CF5+SQRT(Parameters!$B$7)*Factors!CF9+SQRT(Parameters!$B$9)*NORM.S.INV(RAND())</f>
        <v/>
      </c>
      <c r="CG12" s="19">
        <f>SQRT(Parameters!$B$5)*Factors!CG4+SQRT(Parameters!$B$6)*Factors!CG5+SQRT(Parameters!$B$7)*Factors!CG9+SQRT(Parameters!$B$9)*NORM.S.INV(RAND())</f>
        <v/>
      </c>
      <c r="CH12" s="19">
        <f>SQRT(Parameters!$B$5)*Factors!CH4+SQRT(Parameters!$B$6)*Factors!CH5+SQRT(Parameters!$B$7)*Factors!CH9+SQRT(Parameters!$B$9)*NORM.S.INV(RAND())</f>
        <v/>
      </c>
      <c r="CI12" s="19">
        <f>SQRT(Parameters!$B$5)*Factors!CI4+SQRT(Parameters!$B$6)*Factors!CI5+SQRT(Parameters!$B$7)*Factors!CI9+SQRT(Parameters!$B$9)*NORM.S.INV(RAND())</f>
        <v/>
      </c>
      <c r="CJ12" s="19">
        <f>SQRT(Parameters!$B$5)*Factors!CJ4+SQRT(Parameters!$B$6)*Factors!CJ5+SQRT(Parameters!$B$7)*Factors!CJ9+SQRT(Parameters!$B$9)*NORM.S.INV(RAND())</f>
        <v/>
      </c>
      <c r="CK12" s="19">
        <f>SQRT(Parameters!$B$5)*Factors!CK4+SQRT(Parameters!$B$6)*Factors!CK5+SQRT(Parameters!$B$7)*Factors!CK9+SQRT(Parameters!$B$9)*NORM.S.INV(RAND())</f>
        <v/>
      </c>
      <c r="CL12" s="19">
        <f>SQRT(Parameters!$B$5)*Factors!CL4+SQRT(Parameters!$B$6)*Factors!CL5+SQRT(Parameters!$B$7)*Factors!CL9+SQRT(Parameters!$B$9)*NORM.S.INV(RAND())</f>
        <v/>
      </c>
      <c r="CM12" s="19">
        <f>SQRT(Parameters!$B$5)*Factors!CM4+SQRT(Parameters!$B$6)*Factors!CM5+SQRT(Parameters!$B$7)*Factors!CM9+SQRT(Parameters!$B$9)*NORM.S.INV(RAND())</f>
        <v/>
      </c>
      <c r="CN12" s="19">
        <f>SQRT(Parameters!$B$5)*Factors!CN4+SQRT(Parameters!$B$6)*Factors!CN5+SQRT(Parameters!$B$7)*Factors!CN9+SQRT(Parameters!$B$9)*NORM.S.INV(RAND())</f>
        <v/>
      </c>
      <c r="CO12" s="19">
        <f>SQRT(Parameters!$B$5)*Factors!CO4+SQRT(Parameters!$B$6)*Factors!CO5+SQRT(Parameters!$B$7)*Factors!CO9+SQRT(Parameters!$B$9)*NORM.S.INV(RAND())</f>
        <v/>
      </c>
      <c r="CP12" s="19">
        <f>SQRT(Parameters!$B$5)*Factors!CP4+SQRT(Parameters!$B$6)*Factors!CP5+SQRT(Parameters!$B$7)*Factors!CP9+SQRT(Parameters!$B$9)*NORM.S.INV(RAND())</f>
        <v/>
      </c>
      <c r="CQ12" s="19">
        <f>SQRT(Parameters!$B$5)*Factors!CQ4+SQRT(Parameters!$B$6)*Factors!CQ5+SQRT(Parameters!$B$7)*Factors!CQ9+SQRT(Parameters!$B$9)*NORM.S.INV(RAND())</f>
        <v/>
      </c>
      <c r="CR12" s="19">
        <f>SQRT(Parameters!$B$5)*Factors!CR4+SQRT(Parameters!$B$6)*Factors!CR5+SQRT(Parameters!$B$7)*Factors!CR9+SQRT(Parameters!$B$9)*NORM.S.INV(RAND())</f>
        <v/>
      </c>
      <c r="CS12" s="19">
        <f>SQRT(Parameters!$B$5)*Factors!CS4+SQRT(Parameters!$B$6)*Factors!CS5+SQRT(Parameters!$B$7)*Factors!CS9+SQRT(Parameters!$B$9)*NORM.S.INV(RAND())</f>
        <v/>
      </c>
      <c r="CT12" s="19">
        <f>SQRT(Parameters!$B$5)*Factors!CT4+SQRT(Parameters!$B$6)*Factors!CT5+SQRT(Parameters!$B$7)*Factors!CT9+SQRT(Parameters!$B$9)*NORM.S.INV(RAND())</f>
        <v/>
      </c>
      <c r="CU12" s="19">
        <f>SQRT(Parameters!$B$5)*Factors!CU4+SQRT(Parameters!$B$6)*Factors!CU5+SQRT(Parameters!$B$7)*Factors!CU9+SQRT(Parameters!$B$9)*NORM.S.INV(RAND())</f>
        <v/>
      </c>
      <c r="CV12" s="19">
        <f>SQRT(Parameters!$B$5)*Factors!CV4+SQRT(Parameters!$B$6)*Factors!CV5+SQRT(Parameters!$B$7)*Factors!CV9+SQRT(Parameters!$B$9)*NORM.S.INV(RAND())</f>
        <v/>
      </c>
      <c r="CW12" s="19">
        <f>SQRT(Parameters!$B$5)*Factors!CW4+SQRT(Parameters!$B$6)*Factors!CW5+SQRT(Parameters!$B$7)*Factors!CW9+SQRT(Parameters!$B$9)*NORM.S.INV(RAND())</f>
        <v/>
      </c>
      <c r="CX12" s="19">
        <f>SQRT(Parameters!$B$5)*Factors!CX4+SQRT(Parameters!$B$6)*Factors!CX5+SQRT(Parameters!$B$7)*Factors!CX9+SQRT(Parameters!$B$9)*NORM.S.INV(RAND())</f>
        <v/>
      </c>
      <c r="CY12" s="19">
        <f>SQRT(Parameters!$B$5)*Factors!CY4+SQRT(Parameters!$B$6)*Factors!CY5+SQRT(Parameters!$B$7)*Factors!CY9+SQRT(Parameters!$B$9)*NORM.S.INV(RAND())</f>
        <v/>
      </c>
      <c r="CZ12" s="19">
        <f>SQRT(Parameters!$B$5)*Factors!CZ4+SQRT(Parameters!$B$6)*Factors!CZ5+SQRT(Parameters!$B$7)*Factors!CZ9+SQRT(Parameters!$B$9)*NORM.S.INV(RAND())</f>
        <v/>
      </c>
      <c r="DA12" s="19">
        <f>SQRT(Parameters!$B$5)*Factors!DA4+SQRT(Parameters!$B$6)*Factors!DA5+SQRT(Parameters!$B$7)*Factors!DA9+SQRT(Parameters!$B$9)*NORM.S.INV(RAND())</f>
        <v/>
      </c>
      <c r="DB12" s="19">
        <f>SQRT(Parameters!$B$5)*Factors!DB4+SQRT(Parameters!$B$6)*Factors!DB5+SQRT(Parameters!$B$7)*Factors!DB9+SQRT(Parameters!$B$9)*NORM.S.INV(RAND())</f>
        <v/>
      </c>
      <c r="DC12" s="19">
        <f>SQRT(Parameters!$B$5)*Factors!DC4+SQRT(Parameters!$B$6)*Factors!DC5+SQRT(Parameters!$B$7)*Factors!DC9+SQRT(Parameters!$B$9)*NORM.S.INV(RAND())</f>
        <v/>
      </c>
      <c r="DD12" s="19">
        <f>SQRT(Parameters!$B$5)*Factors!DD4+SQRT(Parameters!$B$6)*Factors!DD5+SQRT(Parameters!$B$7)*Factors!DD9+SQRT(Parameters!$B$9)*NORM.S.INV(RAND())</f>
        <v/>
      </c>
      <c r="DE12" s="19">
        <f>SQRT(Parameters!$B$5)*Factors!DE4+SQRT(Parameters!$B$6)*Factors!DE5+SQRT(Parameters!$B$7)*Factors!DE9+SQRT(Parameters!$B$9)*NORM.S.INV(RAND())</f>
        <v/>
      </c>
      <c r="DF12" s="19">
        <f>SQRT(Parameters!$B$5)*Factors!DF4+SQRT(Parameters!$B$6)*Factors!DF5+SQRT(Parameters!$B$7)*Factors!DF9+SQRT(Parameters!$B$9)*NORM.S.INV(RAND())</f>
        <v/>
      </c>
      <c r="DG12" s="19">
        <f>SQRT(Parameters!$B$5)*Factors!DG4+SQRT(Parameters!$B$6)*Factors!DG5+SQRT(Parameters!$B$7)*Factors!DG9+SQRT(Parameters!$B$9)*NORM.S.INV(RAND())</f>
        <v/>
      </c>
      <c r="DH12" s="19">
        <f>SQRT(Parameters!$B$5)*Factors!DH4+SQRT(Parameters!$B$6)*Factors!DH5+SQRT(Parameters!$B$7)*Factors!DH9+SQRT(Parameters!$B$9)*NORM.S.INV(RAND())</f>
        <v/>
      </c>
      <c r="DI12" s="19">
        <f>SQRT(Parameters!$B$5)*Factors!DI4+SQRT(Parameters!$B$6)*Factors!DI5+SQRT(Parameters!$B$7)*Factors!DI9+SQRT(Parameters!$B$9)*NORM.S.INV(RAND())</f>
        <v/>
      </c>
      <c r="DJ12" s="19">
        <f>SQRT(Parameters!$B$5)*Factors!DJ4+SQRT(Parameters!$B$6)*Factors!DJ5+SQRT(Parameters!$B$7)*Factors!DJ9+SQRT(Parameters!$B$9)*NORM.S.INV(RAND())</f>
        <v/>
      </c>
      <c r="DK12" s="19">
        <f>SQRT(Parameters!$B$5)*Factors!DK4+SQRT(Parameters!$B$6)*Factors!DK5+SQRT(Parameters!$B$7)*Factors!DK9+SQRT(Parameters!$B$9)*NORM.S.INV(RAND())</f>
        <v/>
      </c>
      <c r="DL12" s="19">
        <f>SQRT(Parameters!$B$5)*Factors!DL4+SQRT(Parameters!$B$6)*Factors!DL5+SQRT(Parameters!$B$7)*Factors!DL9+SQRT(Parameters!$B$9)*NORM.S.INV(RAND())</f>
        <v/>
      </c>
      <c r="DM12" s="19">
        <f>SQRT(Parameters!$B$5)*Factors!DM4+SQRT(Parameters!$B$6)*Factors!DM5+SQRT(Parameters!$B$7)*Factors!DM9+SQRT(Parameters!$B$9)*NORM.S.INV(RAND())</f>
        <v/>
      </c>
      <c r="DN12" s="19">
        <f>SQRT(Parameters!$B$5)*Factors!DN4+SQRT(Parameters!$B$6)*Factors!DN5+SQRT(Parameters!$B$7)*Factors!DN9+SQRT(Parameters!$B$9)*NORM.S.INV(RAND())</f>
        <v/>
      </c>
      <c r="DO12" s="19">
        <f>SQRT(Parameters!$B$5)*Factors!DO4+SQRT(Parameters!$B$6)*Factors!DO5+SQRT(Parameters!$B$7)*Factors!DO9+SQRT(Parameters!$B$9)*NORM.S.INV(RAND())</f>
        <v/>
      </c>
      <c r="DP12" s="19">
        <f>SQRT(Parameters!$B$5)*Factors!DP4+SQRT(Parameters!$B$6)*Factors!DP5+SQRT(Parameters!$B$7)*Factors!DP9+SQRT(Parameters!$B$9)*NORM.S.INV(RAND())</f>
        <v/>
      </c>
      <c r="DQ12" s="19">
        <f>SQRT(Parameters!$B$5)*Factors!DQ4+SQRT(Parameters!$B$6)*Factors!DQ5+SQRT(Parameters!$B$7)*Factors!DQ9+SQRT(Parameters!$B$9)*NORM.S.INV(RAND())</f>
        <v/>
      </c>
      <c r="DR12" s="19">
        <f>SQRT(Parameters!$B$5)*Factors!DR4+SQRT(Parameters!$B$6)*Factors!DR5+SQRT(Parameters!$B$7)*Factors!DR9+SQRT(Parameters!$B$9)*NORM.S.INV(RAND())</f>
        <v/>
      </c>
      <c r="DS12" s="19">
        <f>SQRT(Parameters!$B$5)*Factors!DS4+SQRT(Parameters!$B$6)*Factors!DS5+SQRT(Parameters!$B$7)*Factors!DS9+SQRT(Parameters!$B$9)*NORM.S.INV(RAND())</f>
        <v/>
      </c>
      <c r="DT12" s="19">
        <f>SQRT(Parameters!$B$5)*Factors!DT4+SQRT(Parameters!$B$6)*Factors!DT5+SQRT(Parameters!$B$7)*Factors!DT9+SQRT(Parameters!$B$9)*NORM.S.INV(RAND())</f>
        <v/>
      </c>
      <c r="DU12" s="19">
        <f>SQRT(Parameters!$B$5)*Factors!DU4+SQRT(Parameters!$B$6)*Factors!DU5+SQRT(Parameters!$B$7)*Factors!DU9+SQRT(Parameters!$B$9)*NORM.S.INV(RAND())</f>
        <v/>
      </c>
      <c r="DV12" s="19">
        <f>SQRT(Parameters!$B$5)*Factors!DV4+SQRT(Parameters!$B$6)*Factors!DV5+SQRT(Parameters!$B$7)*Factors!DV9+SQRT(Parameters!$B$9)*NORM.S.INV(RAND())</f>
        <v/>
      </c>
      <c r="DW12" s="19">
        <f>SQRT(Parameters!$B$5)*Factors!DW4+SQRT(Parameters!$B$6)*Factors!DW5+SQRT(Parameters!$B$7)*Factors!DW9+SQRT(Parameters!$B$9)*NORM.S.INV(RAND())</f>
        <v/>
      </c>
      <c r="DX12" s="19">
        <f>SQRT(Parameters!$B$5)*Factors!DX4+SQRT(Parameters!$B$6)*Factors!DX5+SQRT(Parameters!$B$7)*Factors!DX9+SQRT(Parameters!$B$9)*NORM.S.INV(RAND())</f>
        <v/>
      </c>
      <c r="DY12" s="19">
        <f>SQRT(Parameters!$B$5)*Factors!DY4+SQRT(Parameters!$B$6)*Factors!DY5+SQRT(Parameters!$B$7)*Factors!DY9+SQRT(Parameters!$B$9)*NORM.S.INV(RAND())</f>
        <v/>
      </c>
      <c r="DZ12" s="19">
        <f>SQRT(Parameters!$B$5)*Factors!DZ4+SQRT(Parameters!$B$6)*Factors!DZ5+SQRT(Parameters!$B$7)*Factors!DZ9+SQRT(Parameters!$B$9)*NORM.S.INV(RAND())</f>
        <v/>
      </c>
      <c r="EA12" s="19">
        <f>SQRT(Parameters!$B$5)*Factors!EA4+SQRT(Parameters!$B$6)*Factors!EA5+SQRT(Parameters!$B$7)*Factors!EA9+SQRT(Parameters!$B$9)*NORM.S.INV(RAND())</f>
        <v/>
      </c>
      <c r="EB12" s="19">
        <f>SQRT(Parameters!$B$5)*Factors!EB4+SQRT(Parameters!$B$6)*Factors!EB5+SQRT(Parameters!$B$7)*Factors!EB9+SQRT(Parameters!$B$9)*NORM.S.INV(RAND())</f>
        <v/>
      </c>
      <c r="EC12" s="19">
        <f>SQRT(Parameters!$B$5)*Factors!EC4+SQRT(Parameters!$B$6)*Factors!EC5+SQRT(Parameters!$B$7)*Factors!EC9+SQRT(Parameters!$B$9)*NORM.S.INV(RAND())</f>
        <v/>
      </c>
      <c r="ED12" s="19">
        <f>SQRT(Parameters!$B$5)*Factors!ED4+SQRT(Parameters!$B$6)*Factors!ED5+SQRT(Parameters!$B$7)*Factors!ED9+SQRT(Parameters!$B$9)*NORM.S.INV(RAND())</f>
        <v/>
      </c>
      <c r="EE12" s="19">
        <f>SQRT(Parameters!$B$5)*Factors!EE4+SQRT(Parameters!$B$6)*Factors!EE5+SQRT(Parameters!$B$7)*Factors!EE9+SQRT(Parameters!$B$9)*NORM.S.INV(RAND())</f>
        <v/>
      </c>
      <c r="EF12" s="19">
        <f>SQRT(Parameters!$B$5)*Factors!EF4+SQRT(Parameters!$B$6)*Factors!EF5+SQRT(Parameters!$B$7)*Factors!EF9+SQRT(Parameters!$B$9)*NORM.S.INV(RAND())</f>
        <v/>
      </c>
      <c r="EG12" s="19">
        <f>SQRT(Parameters!$B$5)*Factors!EG4+SQRT(Parameters!$B$6)*Factors!EG5+SQRT(Parameters!$B$7)*Factors!EG9+SQRT(Parameters!$B$9)*NORM.S.INV(RAND())</f>
        <v/>
      </c>
      <c r="EH12" s="19">
        <f>SQRT(Parameters!$B$5)*Factors!EH4+SQRT(Parameters!$B$6)*Factors!EH5+SQRT(Parameters!$B$7)*Factors!EH9+SQRT(Parameters!$B$9)*NORM.S.INV(RAND())</f>
        <v/>
      </c>
      <c r="EI12" s="19">
        <f>SQRT(Parameters!$B$5)*Factors!EI4+SQRT(Parameters!$B$6)*Factors!EI5+SQRT(Parameters!$B$7)*Factors!EI9+SQRT(Parameters!$B$9)*NORM.S.INV(RAND())</f>
        <v/>
      </c>
      <c r="EJ12" s="19">
        <f>SQRT(Parameters!$B$5)*Factors!EJ4+SQRT(Parameters!$B$6)*Factors!EJ5+SQRT(Parameters!$B$7)*Factors!EJ9+SQRT(Parameters!$B$9)*NORM.S.INV(RAND())</f>
        <v/>
      </c>
      <c r="EK12" s="19">
        <f>SQRT(Parameters!$B$5)*Factors!EK4+SQRT(Parameters!$B$6)*Factors!EK5+SQRT(Parameters!$B$7)*Factors!EK9+SQRT(Parameters!$B$9)*NORM.S.INV(RAND())</f>
        <v/>
      </c>
      <c r="EL12" s="19">
        <f>SQRT(Parameters!$B$5)*Factors!EL4+SQRT(Parameters!$B$6)*Factors!EL5+SQRT(Parameters!$B$7)*Factors!EL9+SQRT(Parameters!$B$9)*NORM.S.INV(RAND())</f>
        <v/>
      </c>
      <c r="EM12" s="19">
        <f>SQRT(Parameters!$B$5)*Factors!EM4+SQRT(Parameters!$B$6)*Factors!EM5+SQRT(Parameters!$B$7)*Factors!EM9+SQRT(Parameters!$B$9)*NORM.S.INV(RAND())</f>
        <v/>
      </c>
      <c r="EN12" s="19">
        <f>SQRT(Parameters!$B$5)*Factors!EN4+SQRT(Parameters!$B$6)*Factors!EN5+SQRT(Parameters!$B$7)*Factors!EN9+SQRT(Parameters!$B$9)*NORM.S.INV(RAND())</f>
        <v/>
      </c>
      <c r="EO12" s="19">
        <f>SQRT(Parameters!$B$5)*Factors!EO4+SQRT(Parameters!$B$6)*Factors!EO5+SQRT(Parameters!$B$7)*Factors!EO9+SQRT(Parameters!$B$9)*NORM.S.INV(RAND())</f>
        <v/>
      </c>
      <c r="EP12" s="19">
        <f>SQRT(Parameters!$B$5)*Factors!EP4+SQRT(Parameters!$B$6)*Factors!EP5+SQRT(Parameters!$B$7)*Factors!EP9+SQRT(Parameters!$B$9)*NORM.S.INV(RAND())</f>
        <v/>
      </c>
      <c r="EQ12" s="19">
        <f>SQRT(Parameters!$B$5)*Factors!EQ4+SQRT(Parameters!$B$6)*Factors!EQ5+SQRT(Parameters!$B$7)*Factors!EQ9+SQRT(Parameters!$B$9)*NORM.S.INV(RAND())</f>
        <v/>
      </c>
      <c r="ER12" s="19">
        <f>SQRT(Parameters!$B$5)*Factors!ER4+SQRT(Parameters!$B$6)*Factors!ER5+SQRT(Parameters!$B$7)*Factors!ER9+SQRT(Parameters!$B$9)*NORM.S.INV(RAND())</f>
        <v/>
      </c>
      <c r="ES12" s="19">
        <f>SQRT(Parameters!$B$5)*Factors!ES4+SQRT(Parameters!$B$6)*Factors!ES5+SQRT(Parameters!$B$7)*Factors!ES9+SQRT(Parameters!$B$9)*NORM.S.INV(RAND())</f>
        <v/>
      </c>
      <c r="ET12" s="19">
        <f>SQRT(Parameters!$B$5)*Factors!ET4+SQRT(Parameters!$B$6)*Factors!ET5+SQRT(Parameters!$B$7)*Factors!ET9+SQRT(Parameters!$B$9)*NORM.S.INV(RAND())</f>
        <v/>
      </c>
      <c r="EU12" s="19">
        <f>SQRT(Parameters!$B$5)*Factors!EU4+SQRT(Parameters!$B$6)*Factors!EU5+SQRT(Parameters!$B$7)*Factors!EU9+SQRT(Parameters!$B$9)*NORM.S.INV(RAND())</f>
        <v/>
      </c>
      <c r="EV12" s="19">
        <f>SQRT(Parameters!$B$5)*Factors!EV4+SQRT(Parameters!$B$6)*Factors!EV5+SQRT(Parameters!$B$7)*Factors!EV9+SQRT(Parameters!$B$9)*NORM.S.INV(RAND())</f>
        <v/>
      </c>
      <c r="EW12" s="19">
        <f>SQRT(Parameters!$B$5)*Factors!EW4+SQRT(Parameters!$B$6)*Factors!EW5+SQRT(Parameters!$B$7)*Factors!EW9+SQRT(Parameters!$B$9)*NORM.S.INV(RAND())</f>
        <v/>
      </c>
      <c r="EX12" s="19">
        <f>SQRT(Parameters!$B$5)*Factors!EX4+SQRT(Parameters!$B$6)*Factors!EX5+SQRT(Parameters!$B$7)*Factors!EX9+SQRT(Parameters!$B$9)*NORM.S.INV(RAND())</f>
        <v/>
      </c>
      <c r="EY12" s="19">
        <f>SQRT(Parameters!$B$5)*Factors!EY4+SQRT(Parameters!$B$6)*Factors!EY5+SQRT(Parameters!$B$7)*Factors!EY9+SQRT(Parameters!$B$9)*NORM.S.INV(RAND())</f>
        <v/>
      </c>
      <c r="EZ12" s="19">
        <f>SQRT(Parameters!$B$5)*Factors!EZ4+SQRT(Parameters!$B$6)*Factors!EZ5+SQRT(Parameters!$B$7)*Factors!EZ9+SQRT(Parameters!$B$9)*NORM.S.INV(RAND())</f>
        <v/>
      </c>
      <c r="FA12" s="19">
        <f>SQRT(Parameters!$B$5)*Factors!FA4+SQRT(Parameters!$B$6)*Factors!FA5+SQRT(Parameters!$B$7)*Factors!FA9+SQRT(Parameters!$B$9)*NORM.S.INV(RAND())</f>
        <v/>
      </c>
      <c r="FB12" s="19">
        <f>SQRT(Parameters!$B$5)*Factors!FB4+SQRT(Parameters!$B$6)*Factors!FB5+SQRT(Parameters!$B$7)*Factors!FB9+SQRT(Parameters!$B$9)*NORM.S.INV(RAND())</f>
        <v/>
      </c>
      <c r="FC12" s="19">
        <f>SQRT(Parameters!$B$5)*Factors!FC4+SQRT(Parameters!$B$6)*Factors!FC5+SQRT(Parameters!$B$7)*Factors!FC9+SQRT(Parameters!$B$9)*NORM.S.INV(RAND())</f>
        <v/>
      </c>
      <c r="FD12" s="19">
        <f>SQRT(Parameters!$B$5)*Factors!FD4+SQRT(Parameters!$B$6)*Factors!FD5+SQRT(Parameters!$B$7)*Factors!FD9+SQRT(Parameters!$B$9)*NORM.S.INV(RAND())</f>
        <v/>
      </c>
      <c r="FE12" s="19">
        <f>SQRT(Parameters!$B$5)*Factors!FE4+SQRT(Parameters!$B$6)*Factors!FE5+SQRT(Parameters!$B$7)*Factors!FE9+SQRT(Parameters!$B$9)*NORM.S.INV(RAND())</f>
        <v/>
      </c>
      <c r="FF12" s="19">
        <f>SQRT(Parameters!$B$5)*Factors!FF4+SQRT(Parameters!$B$6)*Factors!FF5+SQRT(Parameters!$B$7)*Factors!FF9+SQRT(Parameters!$B$9)*NORM.S.INV(RAND())</f>
        <v/>
      </c>
      <c r="FG12" s="19">
        <f>SQRT(Parameters!$B$5)*Factors!FG4+SQRT(Parameters!$B$6)*Factors!FG5+SQRT(Parameters!$B$7)*Factors!FG9+SQRT(Parameters!$B$9)*NORM.S.INV(RAND())</f>
        <v/>
      </c>
      <c r="FH12" s="19">
        <f>SQRT(Parameters!$B$5)*Factors!FH4+SQRT(Parameters!$B$6)*Factors!FH5+SQRT(Parameters!$B$7)*Factors!FH9+SQRT(Parameters!$B$9)*NORM.S.INV(RAND())</f>
        <v/>
      </c>
      <c r="FI12" s="19">
        <f>SQRT(Parameters!$B$5)*Factors!FI4+SQRT(Parameters!$B$6)*Factors!FI5+SQRT(Parameters!$B$7)*Factors!FI9+SQRT(Parameters!$B$9)*NORM.S.INV(RAND())</f>
        <v/>
      </c>
      <c r="FJ12" s="19">
        <f>SQRT(Parameters!$B$5)*Factors!FJ4+SQRT(Parameters!$B$6)*Factors!FJ5+SQRT(Parameters!$B$7)*Factors!FJ9+SQRT(Parameters!$B$9)*NORM.S.INV(RAND())</f>
        <v/>
      </c>
      <c r="FK12" s="19">
        <f>SQRT(Parameters!$B$5)*Factors!FK4+SQRT(Parameters!$B$6)*Factors!FK5+SQRT(Parameters!$B$7)*Factors!FK9+SQRT(Parameters!$B$9)*NORM.S.INV(RAND())</f>
        <v/>
      </c>
      <c r="FL12" s="19">
        <f>SQRT(Parameters!$B$5)*Factors!FL4+SQRT(Parameters!$B$6)*Factors!FL5+SQRT(Parameters!$B$7)*Factors!FL9+SQRT(Parameters!$B$9)*NORM.S.INV(RAND())</f>
        <v/>
      </c>
      <c r="FM12" s="19">
        <f>SQRT(Parameters!$B$5)*Factors!FM4+SQRT(Parameters!$B$6)*Factors!FM5+SQRT(Parameters!$B$7)*Factors!FM9+SQRT(Parameters!$B$9)*NORM.S.INV(RAND())</f>
        <v/>
      </c>
      <c r="FN12" s="19">
        <f>SQRT(Parameters!$B$5)*Factors!FN4+SQRT(Parameters!$B$6)*Factors!FN5+SQRT(Parameters!$B$7)*Factors!FN9+SQRT(Parameters!$B$9)*NORM.S.INV(RAND())</f>
        <v/>
      </c>
      <c r="FO12" s="19">
        <f>SQRT(Parameters!$B$5)*Factors!FO4+SQRT(Parameters!$B$6)*Factors!FO5+SQRT(Parameters!$B$7)*Factors!FO9+SQRT(Parameters!$B$9)*NORM.S.INV(RAND())</f>
        <v/>
      </c>
      <c r="FP12" s="19">
        <f>SQRT(Parameters!$B$5)*Factors!FP4+SQRT(Parameters!$B$6)*Factors!FP5+SQRT(Parameters!$B$7)*Factors!FP9+SQRT(Parameters!$B$9)*NORM.S.INV(RAND())</f>
        <v/>
      </c>
      <c r="FQ12" s="19">
        <f>SQRT(Parameters!$B$5)*Factors!FQ4+SQRT(Parameters!$B$6)*Factors!FQ5+SQRT(Parameters!$B$7)*Factors!FQ9+SQRT(Parameters!$B$9)*NORM.S.INV(RAND())</f>
        <v/>
      </c>
      <c r="FR12" s="19">
        <f>SQRT(Parameters!$B$5)*Factors!FR4+SQRT(Parameters!$B$6)*Factors!FR5+SQRT(Parameters!$B$7)*Factors!FR9+SQRT(Parameters!$B$9)*NORM.S.INV(RAND())</f>
        <v/>
      </c>
      <c r="FS12" s="19">
        <f>SQRT(Parameters!$B$5)*Factors!FS4+SQRT(Parameters!$B$6)*Factors!FS5+SQRT(Parameters!$B$7)*Factors!FS9+SQRT(Parameters!$B$9)*NORM.S.INV(RAND())</f>
        <v/>
      </c>
      <c r="FT12" s="19">
        <f>SQRT(Parameters!$B$5)*Factors!FT4+SQRT(Parameters!$B$6)*Factors!FT5+SQRT(Parameters!$B$7)*Factors!FT9+SQRT(Parameters!$B$9)*NORM.S.INV(RAND())</f>
        <v/>
      </c>
      <c r="FU12" s="19">
        <f>SQRT(Parameters!$B$5)*Factors!FU4+SQRT(Parameters!$B$6)*Factors!FU5+SQRT(Parameters!$B$7)*Factors!FU9+SQRT(Parameters!$B$9)*NORM.S.INV(RAND())</f>
        <v/>
      </c>
      <c r="FV12" s="19">
        <f>SQRT(Parameters!$B$5)*Factors!FV4+SQRT(Parameters!$B$6)*Factors!FV5+SQRT(Parameters!$B$7)*Factors!FV9+SQRT(Parameters!$B$9)*NORM.S.INV(RAND())</f>
        <v/>
      </c>
      <c r="FW12" s="19">
        <f>SQRT(Parameters!$B$5)*Factors!FW4+SQRT(Parameters!$B$6)*Factors!FW5+SQRT(Parameters!$B$7)*Factors!FW9+SQRT(Parameters!$B$9)*NORM.S.INV(RAND())</f>
        <v/>
      </c>
      <c r="FX12" s="19">
        <f>SQRT(Parameters!$B$5)*Factors!FX4+SQRT(Parameters!$B$6)*Factors!FX5+SQRT(Parameters!$B$7)*Factors!FX9+SQRT(Parameters!$B$9)*NORM.S.INV(RAND())</f>
        <v/>
      </c>
      <c r="FY12" s="19">
        <f>SQRT(Parameters!$B$5)*Factors!FY4+SQRT(Parameters!$B$6)*Factors!FY5+SQRT(Parameters!$B$7)*Factors!FY9+SQRT(Parameters!$B$9)*NORM.S.INV(RAND())</f>
        <v/>
      </c>
      <c r="FZ12" s="19">
        <f>SQRT(Parameters!$B$5)*Factors!FZ4+SQRT(Parameters!$B$6)*Factors!FZ5+SQRT(Parameters!$B$7)*Factors!FZ9+SQRT(Parameters!$B$9)*NORM.S.INV(RAND())</f>
        <v/>
      </c>
      <c r="GA12" s="19">
        <f>SQRT(Parameters!$B$5)*Factors!GA4+SQRT(Parameters!$B$6)*Factors!GA5+SQRT(Parameters!$B$7)*Factors!GA9+SQRT(Parameters!$B$9)*NORM.S.INV(RAND())</f>
        <v/>
      </c>
      <c r="GB12" s="19">
        <f>SQRT(Parameters!$B$5)*Factors!GB4+SQRT(Parameters!$B$6)*Factors!GB5+SQRT(Parameters!$B$7)*Factors!GB9+SQRT(Parameters!$B$9)*NORM.S.INV(RAND())</f>
        <v/>
      </c>
      <c r="GC12" s="19">
        <f>SQRT(Parameters!$B$5)*Factors!GC4+SQRT(Parameters!$B$6)*Factors!GC5+SQRT(Parameters!$B$7)*Factors!GC9+SQRT(Parameters!$B$9)*NORM.S.INV(RAND())</f>
        <v/>
      </c>
      <c r="GD12" s="19">
        <f>SQRT(Parameters!$B$5)*Factors!GD4+SQRT(Parameters!$B$6)*Factors!GD5+SQRT(Parameters!$B$7)*Factors!GD9+SQRT(Parameters!$B$9)*NORM.S.INV(RAND())</f>
        <v/>
      </c>
      <c r="GE12" s="19">
        <f>SQRT(Parameters!$B$5)*Factors!GE4+SQRT(Parameters!$B$6)*Factors!GE5+SQRT(Parameters!$B$7)*Factors!GE9+SQRT(Parameters!$B$9)*NORM.S.INV(RAND())</f>
        <v/>
      </c>
      <c r="GF12" s="19">
        <f>SQRT(Parameters!$B$5)*Factors!GF4+SQRT(Parameters!$B$6)*Factors!GF5+SQRT(Parameters!$B$7)*Factors!GF9+SQRT(Parameters!$B$9)*NORM.S.INV(RAND())</f>
        <v/>
      </c>
      <c r="GG12" s="19">
        <f>SQRT(Parameters!$B$5)*Factors!GG4+SQRT(Parameters!$B$6)*Factors!GG5+SQRT(Parameters!$B$7)*Factors!GG9+SQRT(Parameters!$B$9)*NORM.S.INV(RAND())</f>
        <v/>
      </c>
      <c r="GH12" s="19">
        <f>SQRT(Parameters!$B$5)*Factors!GH4+SQRT(Parameters!$B$6)*Factors!GH5+SQRT(Parameters!$B$7)*Factors!GH9+SQRT(Parameters!$B$9)*NORM.S.INV(RAND())</f>
        <v/>
      </c>
      <c r="GI12" s="19">
        <f>SQRT(Parameters!$B$5)*Factors!GI4+SQRT(Parameters!$B$6)*Factors!GI5+SQRT(Parameters!$B$7)*Factors!GI9+SQRT(Parameters!$B$9)*NORM.S.INV(RAND())</f>
        <v/>
      </c>
      <c r="GJ12" s="19">
        <f>SQRT(Parameters!$B$5)*Factors!GJ4+SQRT(Parameters!$B$6)*Factors!GJ5+SQRT(Parameters!$B$7)*Factors!GJ9+SQRT(Parameters!$B$9)*NORM.S.INV(RAND())</f>
        <v/>
      </c>
      <c r="GK12" s="19">
        <f>SQRT(Parameters!$B$5)*Factors!GK4+SQRT(Parameters!$B$6)*Factors!GK5+SQRT(Parameters!$B$7)*Factors!GK9+SQRT(Parameters!$B$9)*NORM.S.INV(RAND())</f>
        <v/>
      </c>
      <c r="GL12" s="19">
        <f>SQRT(Parameters!$B$5)*Factors!GL4+SQRT(Parameters!$B$6)*Factors!GL5+SQRT(Parameters!$B$7)*Factors!GL9+SQRT(Parameters!$B$9)*NORM.S.INV(RAND())</f>
        <v/>
      </c>
      <c r="GM12" s="19">
        <f>SQRT(Parameters!$B$5)*Factors!GM4+SQRT(Parameters!$B$6)*Factors!GM5+SQRT(Parameters!$B$7)*Factors!GM9+SQRT(Parameters!$B$9)*NORM.S.INV(RAND())</f>
        <v/>
      </c>
      <c r="GN12" s="19">
        <f>SQRT(Parameters!$B$5)*Factors!GN4+SQRT(Parameters!$B$6)*Factors!GN5+SQRT(Parameters!$B$7)*Factors!GN9+SQRT(Parameters!$B$9)*NORM.S.INV(RAND())</f>
        <v/>
      </c>
      <c r="GO12" s="19">
        <f>SQRT(Parameters!$B$5)*Factors!GO4+SQRT(Parameters!$B$6)*Factors!GO5+SQRT(Parameters!$B$7)*Factors!GO9+SQRT(Parameters!$B$9)*NORM.S.INV(RAND())</f>
        <v/>
      </c>
      <c r="GP12" s="19">
        <f>SQRT(Parameters!$B$5)*Factors!GP4+SQRT(Parameters!$B$6)*Factors!GP5+SQRT(Parameters!$B$7)*Factors!GP9+SQRT(Parameters!$B$9)*NORM.S.INV(RAND())</f>
        <v/>
      </c>
      <c r="GQ12" s="19">
        <f>SQRT(Parameters!$B$5)*Factors!GQ4+SQRT(Parameters!$B$6)*Factors!GQ5+SQRT(Parameters!$B$7)*Factors!GQ9+SQRT(Parameters!$B$9)*NORM.S.INV(RAND())</f>
        <v/>
      </c>
      <c r="GR12" s="19">
        <f>SQRT(Parameters!$B$5)*Factors!GR4+SQRT(Parameters!$B$6)*Factors!GR5+SQRT(Parameters!$B$7)*Factors!GR9+SQRT(Parameters!$B$9)*NORM.S.INV(RAND())</f>
        <v/>
      </c>
      <c r="GS12" s="19">
        <f>SQRT(Parameters!$B$5)*Factors!GS4+SQRT(Parameters!$B$6)*Factors!GS5+SQRT(Parameters!$B$7)*Factors!GS9+SQRT(Parameters!$B$9)*NORM.S.INV(RAND())</f>
        <v/>
      </c>
      <c r="GT12" s="19">
        <f>SQRT(Parameters!$B$5)*Factors!GT4+SQRT(Parameters!$B$6)*Factors!GT5+SQRT(Parameters!$B$7)*Factors!GT9+SQRT(Parameters!$B$9)*NORM.S.INV(RAND())</f>
        <v/>
      </c>
      <c r="GU12" s="19">
        <f>SQRT(Parameters!$B$5)*Factors!GU4+SQRT(Parameters!$B$6)*Factors!GU5+SQRT(Parameters!$B$7)*Factors!GU9+SQRT(Parameters!$B$9)*NORM.S.INV(RAND())</f>
        <v/>
      </c>
      <c r="GV12" s="19">
        <f>SQRT(Parameters!$B$5)*Factors!GV4+SQRT(Parameters!$B$6)*Factors!GV5+SQRT(Parameters!$B$7)*Factors!GV9+SQRT(Parameters!$B$9)*NORM.S.INV(RAND())</f>
        <v/>
      </c>
      <c r="GW12" s="19">
        <f>SQRT(Parameters!$B$5)*Factors!GW4+SQRT(Parameters!$B$6)*Factors!GW5+SQRT(Parameters!$B$7)*Factors!GW9+SQRT(Parameters!$B$9)*NORM.S.INV(RAND())</f>
        <v/>
      </c>
      <c r="GX12" s="19">
        <f>SQRT(Parameters!$B$5)*Factors!GX4+SQRT(Parameters!$B$6)*Factors!GX5+SQRT(Parameters!$B$7)*Factors!GX9+SQRT(Parameters!$B$9)*NORM.S.INV(RAND())</f>
        <v/>
      </c>
      <c r="GY12" s="19">
        <f>SQRT(Parameters!$B$5)*Factors!GY4+SQRT(Parameters!$B$6)*Factors!GY5+SQRT(Parameters!$B$7)*Factors!GY9+SQRT(Parameters!$B$9)*NORM.S.INV(RAND())</f>
        <v/>
      </c>
      <c r="GZ12" s="19">
        <f>SQRT(Parameters!$B$5)*Factors!GZ4+SQRT(Parameters!$B$6)*Factors!GZ5+SQRT(Parameters!$B$7)*Factors!GZ9+SQRT(Parameters!$B$9)*NORM.S.INV(RAND())</f>
        <v/>
      </c>
      <c r="HA12" s="19">
        <f>SQRT(Parameters!$B$5)*Factors!HA4+SQRT(Parameters!$B$6)*Factors!HA5+SQRT(Parameters!$B$7)*Factors!HA9+SQRT(Parameters!$B$9)*NORM.S.INV(RAND())</f>
        <v/>
      </c>
      <c r="HB12" s="19">
        <f>SQRT(Parameters!$B$5)*Factors!HB4+SQRT(Parameters!$B$6)*Factors!HB5+SQRT(Parameters!$B$7)*Factors!HB9+SQRT(Parameters!$B$9)*NORM.S.INV(RAND())</f>
        <v/>
      </c>
      <c r="HC12" s="19">
        <f>SQRT(Parameters!$B$5)*Factors!HC4+SQRT(Parameters!$B$6)*Factors!HC5+SQRT(Parameters!$B$7)*Factors!HC9+SQRT(Parameters!$B$9)*NORM.S.INV(RAND())</f>
        <v/>
      </c>
      <c r="HD12" s="19">
        <f>SQRT(Parameters!$B$5)*Factors!HD4+SQRT(Parameters!$B$6)*Factors!HD5+SQRT(Parameters!$B$7)*Factors!HD9+SQRT(Parameters!$B$9)*NORM.S.INV(RAND())</f>
        <v/>
      </c>
      <c r="HE12" s="19">
        <f>SQRT(Parameters!$B$5)*Factors!HE4+SQRT(Parameters!$B$6)*Factors!HE5+SQRT(Parameters!$B$7)*Factors!HE9+SQRT(Parameters!$B$9)*NORM.S.INV(RAND())</f>
        <v/>
      </c>
      <c r="HF12" s="19">
        <f>SQRT(Parameters!$B$5)*Factors!HF4+SQRT(Parameters!$B$6)*Factors!HF5+SQRT(Parameters!$B$7)*Factors!HF9+SQRT(Parameters!$B$9)*NORM.S.INV(RAND())</f>
        <v/>
      </c>
      <c r="HG12" s="19">
        <f>SQRT(Parameters!$B$5)*Factors!HG4+SQRT(Parameters!$B$6)*Factors!HG5+SQRT(Parameters!$B$7)*Factors!HG9+SQRT(Parameters!$B$9)*NORM.S.INV(RAND())</f>
        <v/>
      </c>
      <c r="HH12" s="19">
        <f>SQRT(Parameters!$B$5)*Factors!HH4+SQRT(Parameters!$B$6)*Factors!HH5+SQRT(Parameters!$B$7)*Factors!HH9+SQRT(Parameters!$B$9)*NORM.S.INV(RAND())</f>
        <v/>
      </c>
      <c r="HI12" s="19">
        <f>SQRT(Parameters!$B$5)*Factors!HI4+SQRT(Parameters!$B$6)*Factors!HI5+SQRT(Parameters!$B$7)*Factors!HI9+SQRT(Parameters!$B$9)*NORM.S.INV(RAND())</f>
        <v/>
      </c>
      <c r="HJ12" s="19">
        <f>SQRT(Parameters!$B$5)*Factors!HJ4+SQRT(Parameters!$B$6)*Factors!HJ5+SQRT(Parameters!$B$7)*Factors!HJ9+SQRT(Parameters!$B$9)*NORM.S.INV(RAND())</f>
        <v/>
      </c>
      <c r="HK12" s="19">
        <f>SQRT(Parameters!$B$5)*Factors!HK4+SQRT(Parameters!$B$6)*Factors!HK5+SQRT(Parameters!$B$7)*Factors!HK9+SQRT(Parameters!$B$9)*NORM.S.INV(RAND())</f>
        <v/>
      </c>
      <c r="HL12" s="19">
        <f>SQRT(Parameters!$B$5)*Factors!HL4+SQRT(Parameters!$B$6)*Factors!HL5+SQRT(Parameters!$B$7)*Factors!HL9+SQRT(Parameters!$B$9)*NORM.S.INV(RAND())</f>
        <v/>
      </c>
      <c r="HM12" s="19">
        <f>SQRT(Parameters!$B$5)*Factors!HM4+SQRT(Parameters!$B$6)*Factors!HM5+SQRT(Parameters!$B$7)*Factors!HM9+SQRT(Parameters!$B$9)*NORM.S.INV(RAND())</f>
        <v/>
      </c>
      <c r="HN12" s="19">
        <f>SQRT(Parameters!$B$5)*Factors!HN4+SQRT(Parameters!$B$6)*Factors!HN5+SQRT(Parameters!$B$7)*Factors!HN9+SQRT(Parameters!$B$9)*NORM.S.INV(RAND())</f>
        <v/>
      </c>
      <c r="HO12" s="19">
        <f>SQRT(Parameters!$B$5)*Factors!HO4+SQRT(Parameters!$B$6)*Factors!HO5+SQRT(Parameters!$B$7)*Factors!HO9+SQRT(Parameters!$B$9)*NORM.S.INV(RAND())</f>
        <v/>
      </c>
      <c r="HP12" s="19">
        <f>SQRT(Parameters!$B$5)*Factors!HP4+SQRT(Parameters!$B$6)*Factors!HP5+SQRT(Parameters!$B$7)*Factors!HP9+SQRT(Parameters!$B$9)*NORM.S.INV(RAND())</f>
        <v/>
      </c>
      <c r="HQ12" s="19">
        <f>SQRT(Parameters!$B$5)*Factors!HQ4+SQRT(Parameters!$B$6)*Factors!HQ5+SQRT(Parameters!$B$7)*Factors!HQ9+SQRT(Parameters!$B$9)*NORM.S.INV(RAND())</f>
        <v/>
      </c>
      <c r="HR12" s="19">
        <f>SQRT(Parameters!$B$5)*Factors!HR4+SQRT(Parameters!$B$6)*Factors!HR5+SQRT(Parameters!$B$7)*Factors!HR9+SQRT(Parameters!$B$9)*NORM.S.INV(RAND())</f>
        <v/>
      </c>
      <c r="HS12" s="19">
        <f>SQRT(Parameters!$B$5)*Factors!HS4+SQRT(Parameters!$B$6)*Factors!HS5+SQRT(Parameters!$B$7)*Factors!HS9+SQRT(Parameters!$B$9)*NORM.S.INV(RAND())</f>
        <v/>
      </c>
      <c r="HT12" s="19">
        <f>SQRT(Parameters!$B$5)*Factors!HT4+SQRT(Parameters!$B$6)*Factors!HT5+SQRT(Parameters!$B$7)*Factors!HT9+SQRT(Parameters!$B$9)*NORM.S.INV(RAND())</f>
        <v/>
      </c>
      <c r="HU12" s="19">
        <f>SQRT(Parameters!$B$5)*Factors!HU4+SQRT(Parameters!$B$6)*Factors!HU5+SQRT(Parameters!$B$7)*Factors!HU9+SQRT(Parameters!$B$9)*NORM.S.INV(RAND())</f>
        <v/>
      </c>
      <c r="HV12" s="19">
        <f>SQRT(Parameters!$B$5)*Factors!HV4+SQRT(Parameters!$B$6)*Factors!HV5+SQRT(Parameters!$B$7)*Factors!HV9+SQRT(Parameters!$B$9)*NORM.S.INV(RAND())</f>
        <v/>
      </c>
      <c r="HW12" s="19">
        <f>SQRT(Parameters!$B$5)*Factors!HW4+SQRT(Parameters!$B$6)*Factors!HW5+SQRT(Parameters!$B$7)*Factors!HW9+SQRT(Parameters!$B$9)*NORM.S.INV(RAND())</f>
        <v/>
      </c>
      <c r="HX12" s="19">
        <f>SQRT(Parameters!$B$5)*Factors!HX4+SQRT(Parameters!$B$6)*Factors!HX5+SQRT(Parameters!$B$7)*Factors!HX9+SQRT(Parameters!$B$9)*NORM.S.INV(RAND())</f>
        <v/>
      </c>
      <c r="HY12" s="19">
        <f>SQRT(Parameters!$B$5)*Factors!HY4+SQRT(Parameters!$B$6)*Factors!HY5+SQRT(Parameters!$B$7)*Factors!HY9+SQRT(Parameters!$B$9)*NORM.S.INV(RAND())</f>
        <v/>
      </c>
      <c r="HZ12" s="19">
        <f>SQRT(Parameters!$B$5)*Factors!HZ4+SQRT(Parameters!$B$6)*Factors!HZ5+SQRT(Parameters!$B$7)*Factors!HZ9+SQRT(Parameters!$B$9)*NORM.S.INV(RAND())</f>
        <v/>
      </c>
      <c r="IA12" s="19">
        <f>SQRT(Parameters!$B$5)*Factors!IA4+SQRT(Parameters!$B$6)*Factors!IA5+SQRT(Parameters!$B$7)*Factors!IA9+SQRT(Parameters!$B$9)*NORM.S.INV(RAND())</f>
        <v/>
      </c>
      <c r="IB12" s="19">
        <f>SQRT(Parameters!$B$5)*Factors!IB4+SQRT(Parameters!$B$6)*Factors!IB5+SQRT(Parameters!$B$7)*Factors!IB9+SQRT(Parameters!$B$9)*NORM.S.INV(RAND())</f>
        <v/>
      </c>
      <c r="IC12" s="19">
        <f>SQRT(Parameters!$B$5)*Factors!IC4+SQRT(Parameters!$B$6)*Factors!IC5+SQRT(Parameters!$B$7)*Factors!IC9+SQRT(Parameters!$B$9)*NORM.S.INV(RAND())</f>
        <v/>
      </c>
      <c r="ID12" s="19">
        <f>SQRT(Parameters!$B$5)*Factors!ID4+SQRT(Parameters!$B$6)*Factors!ID5+SQRT(Parameters!$B$7)*Factors!ID9+SQRT(Parameters!$B$9)*NORM.S.INV(RAND())</f>
        <v/>
      </c>
      <c r="IE12" s="19">
        <f>SQRT(Parameters!$B$5)*Factors!IE4+SQRT(Parameters!$B$6)*Factors!IE5+SQRT(Parameters!$B$7)*Factors!IE9+SQRT(Parameters!$B$9)*NORM.S.INV(RAND())</f>
        <v/>
      </c>
      <c r="IF12" s="19">
        <f>SQRT(Parameters!$B$5)*Factors!IF4+SQRT(Parameters!$B$6)*Factors!IF5+SQRT(Parameters!$B$7)*Factors!IF9+SQRT(Parameters!$B$9)*NORM.S.INV(RAND())</f>
        <v/>
      </c>
      <c r="IG12" s="19">
        <f>SQRT(Parameters!$B$5)*Factors!IG4+SQRT(Parameters!$B$6)*Factors!IG5+SQRT(Parameters!$B$7)*Factors!IG9+SQRT(Parameters!$B$9)*NORM.S.INV(RAND())</f>
        <v/>
      </c>
      <c r="IH12" s="19">
        <f>SQRT(Parameters!$B$5)*Factors!IH4+SQRT(Parameters!$B$6)*Factors!IH5+SQRT(Parameters!$B$7)*Factors!IH9+SQRT(Parameters!$B$9)*NORM.S.INV(RAND())</f>
        <v/>
      </c>
      <c r="II12" s="19">
        <f>SQRT(Parameters!$B$5)*Factors!II4+SQRT(Parameters!$B$6)*Factors!II5+SQRT(Parameters!$B$7)*Factors!II9+SQRT(Parameters!$B$9)*NORM.S.INV(RAND())</f>
        <v/>
      </c>
      <c r="IJ12" s="19">
        <f>SQRT(Parameters!$B$5)*Factors!IJ4+SQRT(Parameters!$B$6)*Factors!IJ5+SQRT(Parameters!$B$7)*Factors!IJ9+SQRT(Parameters!$B$9)*NORM.S.INV(RAND())</f>
        <v/>
      </c>
      <c r="IK12" s="19">
        <f>SQRT(Parameters!$B$5)*Factors!IK4+SQRT(Parameters!$B$6)*Factors!IK5+SQRT(Parameters!$B$7)*Factors!IK9+SQRT(Parameters!$B$9)*NORM.S.INV(RAND())</f>
        <v/>
      </c>
      <c r="IL12" s="19">
        <f>SQRT(Parameters!$B$5)*Factors!IL4+SQRT(Parameters!$B$6)*Factors!IL5+SQRT(Parameters!$B$7)*Factors!IL9+SQRT(Parameters!$B$9)*NORM.S.INV(RAND())</f>
        <v/>
      </c>
      <c r="IM12" s="19">
        <f>SQRT(Parameters!$B$5)*Factors!IM4+SQRT(Parameters!$B$6)*Factors!IM5+SQRT(Parameters!$B$7)*Factors!IM9+SQRT(Parameters!$B$9)*NORM.S.INV(RAND())</f>
        <v/>
      </c>
      <c r="IN12" s="19">
        <f>SQRT(Parameters!$B$5)*Factors!IN4+SQRT(Parameters!$B$6)*Factors!IN5+SQRT(Parameters!$B$7)*Factors!IN9+SQRT(Parameters!$B$9)*NORM.S.INV(RAND())</f>
        <v/>
      </c>
      <c r="IO12" s="19">
        <f>SQRT(Parameters!$B$5)*Factors!IO4+SQRT(Parameters!$B$6)*Factors!IO5+SQRT(Parameters!$B$7)*Factors!IO9+SQRT(Parameters!$B$9)*NORM.S.INV(RAND())</f>
        <v/>
      </c>
      <c r="IP12" s="19">
        <f>SQRT(Parameters!$B$5)*Factors!IP4+SQRT(Parameters!$B$6)*Factors!IP5+SQRT(Parameters!$B$7)*Factors!IP9+SQRT(Parameters!$B$9)*NORM.S.INV(RAND())</f>
        <v/>
      </c>
      <c r="IQ12" s="19">
        <f>SQRT(Parameters!$B$5)*Factors!IQ4+SQRT(Parameters!$B$6)*Factors!IQ5+SQRT(Parameters!$B$7)*Factors!IQ9+SQRT(Parameters!$B$9)*NORM.S.INV(RAND())</f>
        <v/>
      </c>
      <c r="IR12" s="19">
        <f>SQRT(Parameters!$B$5)*Factors!IR4+SQRT(Parameters!$B$6)*Factors!IR5+SQRT(Parameters!$B$7)*Factors!IR9+SQRT(Parameters!$B$9)*NORM.S.INV(RAND())</f>
        <v/>
      </c>
      <c r="IS12" s="19">
        <f>SQRT(Parameters!$B$5)*Factors!IS4+SQRT(Parameters!$B$6)*Factors!IS5+SQRT(Parameters!$B$7)*Factors!IS9+SQRT(Parameters!$B$9)*NORM.S.INV(RAND())</f>
        <v/>
      </c>
      <c r="IT12" s="19">
        <f>SQRT(Parameters!$B$5)*Factors!IT4+SQRT(Parameters!$B$6)*Factors!IT5+SQRT(Parameters!$B$7)*Factors!IT9+SQRT(Parameters!$B$9)*NORM.S.INV(RAND())</f>
        <v/>
      </c>
      <c r="IU12" s="19">
        <f>SQRT(Parameters!$B$5)*Factors!IU4+SQRT(Parameters!$B$6)*Factors!IU5+SQRT(Parameters!$B$7)*Factors!IU9+SQRT(Parameters!$B$9)*NORM.S.INV(RAND())</f>
        <v/>
      </c>
      <c r="IV12" s="19">
        <f>SQRT(Parameters!$B$5)*Factors!IV4+SQRT(Parameters!$B$6)*Factors!IV5+SQRT(Parameters!$B$7)*Factors!IV9+SQRT(Parameters!$B$9)*NORM.S.INV(RAND())</f>
        <v/>
      </c>
      <c r="IW12" s="19">
        <f>SQRT(Parameters!$B$5)*Factors!IW4+SQRT(Parameters!$B$6)*Factors!IW5+SQRT(Parameters!$B$7)*Factors!IW9+SQRT(Parameters!$B$9)*NORM.S.INV(RAND())</f>
        <v/>
      </c>
      <c r="IX12" s="19">
        <f>SQRT(Parameters!$B$5)*Factors!IX4+SQRT(Parameters!$B$6)*Factors!IX5+SQRT(Parameters!$B$7)*Factors!IX9+SQRT(Parameters!$B$9)*NORM.S.INV(RAND())</f>
        <v/>
      </c>
      <c r="IY12" s="19">
        <f>SQRT(Parameters!$B$5)*Factors!IY4+SQRT(Parameters!$B$6)*Factors!IY5+SQRT(Parameters!$B$7)*Factors!IY9+SQRT(Parameters!$B$9)*NORM.S.INV(RAND())</f>
        <v/>
      </c>
      <c r="IZ12" s="19">
        <f>SQRT(Parameters!$B$5)*Factors!IZ4+SQRT(Parameters!$B$6)*Factors!IZ5+SQRT(Parameters!$B$7)*Factors!IZ9+SQRT(Parameters!$B$9)*NORM.S.INV(RAND())</f>
        <v/>
      </c>
      <c r="JA12" s="19">
        <f>SQRT(Parameters!$B$5)*Factors!JA4+SQRT(Parameters!$B$6)*Factors!JA5+SQRT(Parameters!$B$7)*Factors!JA9+SQRT(Parameters!$B$9)*NORM.S.INV(RAND())</f>
        <v/>
      </c>
      <c r="JB12" s="19">
        <f>SQRT(Parameters!$B$5)*Factors!JB4+SQRT(Parameters!$B$6)*Factors!JB5+SQRT(Parameters!$B$7)*Factors!JB9+SQRT(Parameters!$B$9)*NORM.S.INV(RAND())</f>
        <v/>
      </c>
      <c r="JC12" s="19">
        <f>SQRT(Parameters!$B$5)*Factors!JC4+SQRT(Parameters!$B$6)*Factors!JC5+SQRT(Parameters!$B$7)*Factors!JC9+SQRT(Parameters!$B$9)*NORM.S.INV(RAND())</f>
        <v/>
      </c>
      <c r="JD12" s="19">
        <f>SQRT(Parameters!$B$5)*Factors!JD4+SQRT(Parameters!$B$6)*Factors!JD5+SQRT(Parameters!$B$7)*Factors!JD9+SQRT(Parameters!$B$9)*NORM.S.INV(RAND())</f>
        <v/>
      </c>
      <c r="JE12" s="19">
        <f>SQRT(Parameters!$B$5)*Factors!JE4+SQRT(Parameters!$B$6)*Factors!JE5+SQRT(Parameters!$B$7)*Factors!JE9+SQRT(Parameters!$B$9)*NORM.S.INV(RAND())</f>
        <v/>
      </c>
      <c r="JF12" s="19">
        <f>SQRT(Parameters!$B$5)*Factors!JF4+SQRT(Parameters!$B$6)*Factors!JF5+SQRT(Parameters!$B$7)*Factors!JF9+SQRT(Parameters!$B$9)*NORM.S.INV(RAND())</f>
        <v/>
      </c>
      <c r="JG12" s="19">
        <f>SQRT(Parameters!$B$5)*Factors!JG4+SQRT(Parameters!$B$6)*Factors!JG5+SQRT(Parameters!$B$7)*Factors!JG9+SQRT(Parameters!$B$9)*NORM.S.INV(RAND())</f>
        <v/>
      </c>
      <c r="JH12" s="19">
        <f>SQRT(Parameters!$B$5)*Factors!JH4+SQRT(Parameters!$B$6)*Factors!JH5+SQRT(Parameters!$B$7)*Factors!JH9+SQRT(Parameters!$B$9)*NORM.S.INV(RAND())</f>
        <v/>
      </c>
      <c r="JI12" s="19">
        <f>SQRT(Parameters!$B$5)*Factors!JI4+SQRT(Parameters!$B$6)*Factors!JI5+SQRT(Parameters!$B$7)*Factors!JI9+SQRT(Parameters!$B$9)*NORM.S.INV(RAND())</f>
        <v/>
      </c>
      <c r="JJ12" s="19">
        <f>SQRT(Parameters!$B$5)*Factors!JJ4+SQRT(Parameters!$B$6)*Factors!JJ5+SQRT(Parameters!$B$7)*Factors!JJ9+SQRT(Parameters!$B$9)*NORM.S.INV(RAND())</f>
        <v/>
      </c>
      <c r="JK12" s="19">
        <f>SQRT(Parameters!$B$5)*Factors!JK4+SQRT(Parameters!$B$6)*Factors!JK5+SQRT(Parameters!$B$7)*Factors!JK9+SQRT(Parameters!$B$9)*NORM.S.INV(RAND())</f>
        <v/>
      </c>
      <c r="JL12" s="19">
        <f>SQRT(Parameters!$B$5)*Factors!JL4+SQRT(Parameters!$B$6)*Factors!JL5+SQRT(Parameters!$B$7)*Factors!JL9+SQRT(Parameters!$B$9)*NORM.S.INV(RAND())</f>
        <v/>
      </c>
      <c r="JM12" s="19">
        <f>SQRT(Parameters!$B$5)*Factors!JM4+SQRT(Parameters!$B$6)*Factors!JM5+SQRT(Parameters!$B$7)*Factors!JM9+SQRT(Parameters!$B$9)*NORM.S.INV(RAND())</f>
        <v/>
      </c>
      <c r="JN12" s="19">
        <f>SQRT(Parameters!$B$5)*Factors!JN4+SQRT(Parameters!$B$6)*Factors!JN5+SQRT(Parameters!$B$7)*Factors!JN9+SQRT(Parameters!$B$9)*NORM.S.INV(RAND())</f>
        <v/>
      </c>
      <c r="JO12" s="19">
        <f>SQRT(Parameters!$B$5)*Factors!JO4+SQRT(Parameters!$B$6)*Factors!JO5+SQRT(Parameters!$B$7)*Factors!JO9+SQRT(Parameters!$B$9)*NORM.S.INV(RAND())</f>
        <v/>
      </c>
      <c r="JP12" s="19">
        <f>SQRT(Parameters!$B$5)*Factors!JP4+SQRT(Parameters!$B$6)*Factors!JP5+SQRT(Parameters!$B$7)*Factors!JP9+SQRT(Parameters!$B$9)*NORM.S.INV(RAND())</f>
        <v/>
      </c>
      <c r="JQ12" s="19">
        <f>SQRT(Parameters!$B$5)*Factors!JQ4+SQRT(Parameters!$B$6)*Factors!JQ5+SQRT(Parameters!$B$7)*Factors!JQ9+SQRT(Parameters!$B$9)*NORM.S.INV(RAND())</f>
        <v/>
      </c>
      <c r="JR12" s="19">
        <f>SQRT(Parameters!$B$5)*Factors!JR4+SQRT(Parameters!$B$6)*Factors!JR5+SQRT(Parameters!$B$7)*Factors!JR9+SQRT(Parameters!$B$9)*NORM.S.INV(RAND())</f>
        <v/>
      </c>
      <c r="JS12" s="19">
        <f>SQRT(Parameters!$B$5)*Factors!JS4+SQRT(Parameters!$B$6)*Factors!JS5+SQRT(Parameters!$B$7)*Factors!JS9+SQRT(Parameters!$B$9)*NORM.S.INV(RAND())</f>
        <v/>
      </c>
      <c r="JT12" s="19">
        <f>SQRT(Parameters!$B$5)*Factors!JT4+SQRT(Parameters!$B$6)*Factors!JT5+SQRT(Parameters!$B$7)*Factors!JT9+SQRT(Parameters!$B$9)*NORM.S.INV(RAND())</f>
        <v/>
      </c>
      <c r="JU12" s="19">
        <f>SQRT(Parameters!$B$5)*Factors!JU4+SQRT(Parameters!$B$6)*Factors!JU5+SQRT(Parameters!$B$7)*Factors!JU9+SQRT(Parameters!$B$9)*NORM.S.INV(RAND())</f>
        <v/>
      </c>
      <c r="JV12" s="19">
        <f>SQRT(Parameters!$B$5)*Factors!JV4+SQRT(Parameters!$B$6)*Factors!JV5+SQRT(Parameters!$B$7)*Factors!JV9+SQRT(Parameters!$B$9)*NORM.S.INV(RAND())</f>
        <v/>
      </c>
      <c r="JW12" s="19">
        <f>SQRT(Parameters!$B$5)*Factors!JW4+SQRT(Parameters!$B$6)*Factors!JW5+SQRT(Parameters!$B$7)*Factors!JW9+SQRT(Parameters!$B$9)*NORM.S.INV(RAND())</f>
        <v/>
      </c>
      <c r="JX12" s="19">
        <f>SQRT(Parameters!$B$5)*Factors!JX4+SQRT(Parameters!$B$6)*Factors!JX5+SQRT(Parameters!$B$7)*Factors!JX9+SQRT(Parameters!$B$9)*NORM.S.INV(RAND())</f>
        <v/>
      </c>
      <c r="JY12" s="19">
        <f>SQRT(Parameters!$B$5)*Factors!JY4+SQRT(Parameters!$B$6)*Factors!JY5+SQRT(Parameters!$B$7)*Factors!JY9+SQRT(Parameters!$B$9)*NORM.S.INV(RAND())</f>
        <v/>
      </c>
      <c r="JZ12" s="19">
        <f>SQRT(Parameters!$B$5)*Factors!JZ4+SQRT(Parameters!$B$6)*Factors!JZ5+SQRT(Parameters!$B$7)*Factors!JZ9+SQRT(Parameters!$B$9)*NORM.S.INV(RAND())</f>
        <v/>
      </c>
      <c r="KA12" s="19">
        <f>SQRT(Parameters!$B$5)*Factors!KA4+SQRT(Parameters!$B$6)*Factors!KA5+SQRT(Parameters!$B$7)*Factors!KA9+SQRT(Parameters!$B$9)*NORM.S.INV(RAND())</f>
        <v/>
      </c>
      <c r="KB12" s="19">
        <f>SQRT(Parameters!$B$5)*Factors!KB4+SQRT(Parameters!$B$6)*Factors!KB5+SQRT(Parameters!$B$7)*Factors!KB9+SQRT(Parameters!$B$9)*NORM.S.INV(RAND())</f>
        <v/>
      </c>
      <c r="KC12" s="19">
        <f>SQRT(Parameters!$B$5)*Factors!KC4+SQRT(Parameters!$B$6)*Factors!KC5+SQRT(Parameters!$B$7)*Factors!KC9+SQRT(Parameters!$B$9)*NORM.S.INV(RAND())</f>
        <v/>
      </c>
      <c r="KD12" s="19">
        <f>SQRT(Parameters!$B$5)*Factors!KD4+SQRT(Parameters!$B$6)*Factors!KD5+SQRT(Parameters!$B$7)*Factors!KD9+SQRT(Parameters!$B$9)*NORM.S.INV(RAND())</f>
        <v/>
      </c>
      <c r="KE12" s="19">
        <f>SQRT(Parameters!$B$5)*Factors!KE4+SQRT(Parameters!$B$6)*Factors!KE5+SQRT(Parameters!$B$7)*Factors!KE9+SQRT(Parameters!$B$9)*NORM.S.INV(RAND())</f>
        <v/>
      </c>
      <c r="KF12" s="19">
        <f>SQRT(Parameters!$B$5)*Factors!KF4+SQRT(Parameters!$B$6)*Factors!KF5+SQRT(Parameters!$B$7)*Factors!KF9+SQRT(Parameters!$B$9)*NORM.S.INV(RAND())</f>
        <v/>
      </c>
      <c r="KG12" s="19">
        <f>SQRT(Parameters!$B$5)*Factors!KG4+SQRT(Parameters!$B$6)*Factors!KG5+SQRT(Parameters!$B$7)*Factors!KG9+SQRT(Parameters!$B$9)*NORM.S.INV(RAND())</f>
        <v/>
      </c>
      <c r="KH12" s="19">
        <f>SQRT(Parameters!$B$5)*Factors!KH4+SQRT(Parameters!$B$6)*Factors!KH5+SQRT(Parameters!$B$7)*Factors!KH9+SQRT(Parameters!$B$9)*NORM.S.INV(RAND())</f>
        <v/>
      </c>
      <c r="KI12" s="19">
        <f>SQRT(Parameters!$B$5)*Factors!KI4+SQRT(Parameters!$B$6)*Factors!KI5+SQRT(Parameters!$B$7)*Factors!KI9+SQRT(Parameters!$B$9)*NORM.S.INV(RAND())</f>
        <v/>
      </c>
      <c r="KJ12" s="19">
        <f>SQRT(Parameters!$B$5)*Factors!KJ4+SQRT(Parameters!$B$6)*Factors!KJ5+SQRT(Parameters!$B$7)*Factors!KJ9+SQRT(Parameters!$B$9)*NORM.S.INV(RAND())</f>
        <v/>
      </c>
      <c r="KK12" s="19">
        <f>SQRT(Parameters!$B$5)*Factors!KK4+SQRT(Parameters!$B$6)*Factors!KK5+SQRT(Parameters!$B$7)*Factors!KK9+SQRT(Parameters!$B$9)*NORM.S.INV(RAND())</f>
        <v/>
      </c>
      <c r="KL12" s="19">
        <f>SQRT(Parameters!$B$5)*Factors!KL4+SQRT(Parameters!$B$6)*Factors!KL5+SQRT(Parameters!$B$7)*Factors!KL9+SQRT(Parameters!$B$9)*NORM.S.INV(RAND())</f>
        <v/>
      </c>
      <c r="KM12" s="19">
        <f>SQRT(Parameters!$B$5)*Factors!KM4+SQRT(Parameters!$B$6)*Factors!KM5+SQRT(Parameters!$B$7)*Factors!KM9+SQRT(Parameters!$B$9)*NORM.S.INV(RAND())</f>
        <v/>
      </c>
      <c r="KN12" s="19">
        <f>SQRT(Parameters!$B$5)*Factors!KN4+SQRT(Parameters!$B$6)*Factors!KN5+SQRT(Parameters!$B$7)*Factors!KN9+SQRT(Parameters!$B$9)*NORM.S.INV(RAND())</f>
        <v/>
      </c>
      <c r="KO12" s="19">
        <f>SQRT(Parameters!$B$5)*Factors!KO4+SQRT(Parameters!$B$6)*Factors!KO5+SQRT(Parameters!$B$7)*Factors!KO9+SQRT(Parameters!$B$9)*NORM.S.INV(RAND())</f>
        <v/>
      </c>
      <c r="KP12" s="19">
        <f>SQRT(Parameters!$B$5)*Factors!KP4+SQRT(Parameters!$B$6)*Factors!KP5+SQRT(Parameters!$B$7)*Factors!KP9+SQRT(Parameters!$B$9)*NORM.S.INV(RAND())</f>
        <v/>
      </c>
      <c r="KQ12" s="19">
        <f>SQRT(Parameters!$B$5)*Factors!KQ4+SQRT(Parameters!$B$6)*Factors!KQ5+SQRT(Parameters!$B$7)*Factors!KQ9+SQRT(Parameters!$B$9)*NORM.S.INV(RAND())</f>
        <v/>
      </c>
      <c r="KR12" s="19">
        <f>SQRT(Parameters!$B$5)*Factors!KR4+SQRT(Parameters!$B$6)*Factors!KR5+SQRT(Parameters!$B$7)*Factors!KR9+SQRT(Parameters!$B$9)*NORM.S.INV(RAND())</f>
        <v/>
      </c>
      <c r="KS12" s="19">
        <f>SQRT(Parameters!$B$5)*Factors!KS4+SQRT(Parameters!$B$6)*Factors!KS5+SQRT(Parameters!$B$7)*Factors!KS9+SQRT(Parameters!$B$9)*NORM.S.INV(RAND())</f>
        <v/>
      </c>
      <c r="KT12" s="19">
        <f>SQRT(Parameters!$B$5)*Factors!KT4+SQRT(Parameters!$B$6)*Factors!KT5+SQRT(Parameters!$B$7)*Factors!KT9+SQRT(Parameters!$B$9)*NORM.S.INV(RAND())</f>
        <v/>
      </c>
      <c r="KU12" s="19">
        <f>SQRT(Parameters!$B$5)*Factors!KU4+SQRT(Parameters!$B$6)*Factors!KU5+SQRT(Parameters!$B$7)*Factors!KU9+SQRT(Parameters!$B$9)*NORM.S.INV(RAND())</f>
        <v/>
      </c>
      <c r="KV12" s="19">
        <f>SQRT(Parameters!$B$5)*Factors!KV4+SQRT(Parameters!$B$6)*Factors!KV5+SQRT(Parameters!$B$7)*Factors!KV9+SQRT(Parameters!$B$9)*NORM.S.INV(RAND())</f>
        <v/>
      </c>
      <c r="KW12" s="19">
        <f>SQRT(Parameters!$B$5)*Factors!KW4+SQRT(Parameters!$B$6)*Factors!KW5+SQRT(Parameters!$B$7)*Factors!KW9+SQRT(Parameters!$B$9)*NORM.S.INV(RAND())</f>
        <v/>
      </c>
      <c r="KX12" s="19">
        <f>SQRT(Parameters!$B$5)*Factors!KX4+SQRT(Parameters!$B$6)*Factors!KX5+SQRT(Parameters!$B$7)*Factors!KX9+SQRT(Parameters!$B$9)*NORM.S.INV(RAND())</f>
        <v/>
      </c>
      <c r="KY12" s="19">
        <f>SQRT(Parameters!$B$5)*Factors!KY4+SQRT(Parameters!$B$6)*Factors!KY5+SQRT(Parameters!$B$7)*Factors!KY9+SQRT(Parameters!$B$9)*NORM.S.INV(RAND())</f>
        <v/>
      </c>
      <c r="KZ12" s="19">
        <f>SQRT(Parameters!$B$5)*Factors!KZ4+SQRT(Parameters!$B$6)*Factors!KZ5+SQRT(Parameters!$B$7)*Factors!KZ9+SQRT(Parameters!$B$9)*NORM.S.INV(RAND())</f>
        <v/>
      </c>
      <c r="LA12" s="19">
        <f>SQRT(Parameters!$B$5)*Factors!LA4+SQRT(Parameters!$B$6)*Factors!LA5+SQRT(Parameters!$B$7)*Factors!LA9+SQRT(Parameters!$B$9)*NORM.S.INV(RAND())</f>
        <v/>
      </c>
      <c r="LB12" s="19">
        <f>SQRT(Parameters!$B$5)*Factors!LB4+SQRT(Parameters!$B$6)*Factors!LB5+SQRT(Parameters!$B$7)*Factors!LB9+SQRT(Parameters!$B$9)*NORM.S.INV(RAND())</f>
        <v/>
      </c>
      <c r="LC12" s="19">
        <f>SQRT(Parameters!$B$5)*Factors!LC4+SQRT(Parameters!$B$6)*Factors!LC5+SQRT(Parameters!$B$7)*Factors!LC9+SQRT(Parameters!$B$9)*NORM.S.INV(RAND())</f>
        <v/>
      </c>
      <c r="LD12" s="19">
        <f>SQRT(Parameters!$B$5)*Factors!LD4+SQRT(Parameters!$B$6)*Factors!LD5+SQRT(Parameters!$B$7)*Factors!LD9+SQRT(Parameters!$B$9)*NORM.S.INV(RAND())</f>
        <v/>
      </c>
      <c r="LE12" s="19">
        <f>SQRT(Parameters!$B$5)*Factors!LE4+SQRT(Parameters!$B$6)*Factors!LE5+SQRT(Parameters!$B$7)*Factors!LE9+SQRT(Parameters!$B$9)*NORM.S.INV(RAND())</f>
        <v/>
      </c>
      <c r="LF12" s="19">
        <f>SQRT(Parameters!$B$5)*Factors!LF4+SQRT(Parameters!$B$6)*Factors!LF5+SQRT(Parameters!$B$7)*Factors!LF9+SQRT(Parameters!$B$9)*NORM.S.INV(RAND())</f>
        <v/>
      </c>
      <c r="LG12" s="19">
        <f>SQRT(Parameters!$B$5)*Factors!LG4+SQRT(Parameters!$B$6)*Factors!LG5+SQRT(Parameters!$B$7)*Factors!LG9+SQRT(Parameters!$B$9)*NORM.S.INV(RAND())</f>
        <v/>
      </c>
      <c r="LH12" s="19">
        <f>SQRT(Parameters!$B$5)*Factors!LH4+SQRT(Parameters!$B$6)*Factors!LH5+SQRT(Parameters!$B$7)*Factors!LH9+SQRT(Parameters!$B$9)*NORM.S.INV(RAND())</f>
        <v/>
      </c>
      <c r="LI12" s="19">
        <f>SQRT(Parameters!$B$5)*Factors!LI4+SQRT(Parameters!$B$6)*Factors!LI5+SQRT(Parameters!$B$7)*Factors!LI9+SQRT(Parameters!$B$9)*NORM.S.INV(RAND())</f>
        <v/>
      </c>
      <c r="LJ12" s="19">
        <f>SQRT(Parameters!$B$5)*Factors!LJ4+SQRT(Parameters!$B$6)*Factors!LJ5+SQRT(Parameters!$B$7)*Factors!LJ9+SQRT(Parameters!$B$9)*NORM.S.INV(RAND())</f>
        <v/>
      </c>
      <c r="LK12" s="19">
        <f>SQRT(Parameters!$B$5)*Factors!LK4+SQRT(Parameters!$B$6)*Factors!LK5+SQRT(Parameters!$B$7)*Factors!LK9+SQRT(Parameters!$B$9)*NORM.S.INV(RAND())</f>
        <v/>
      </c>
      <c r="LL12" s="19">
        <f>SQRT(Parameters!$B$5)*Factors!LL4+SQRT(Parameters!$B$6)*Factors!LL5+SQRT(Parameters!$B$7)*Factors!LL9+SQRT(Parameters!$B$9)*NORM.S.INV(RAND())</f>
        <v/>
      </c>
      <c r="LM12" s="19">
        <f>SQRT(Parameters!$B$5)*Factors!LM4+SQRT(Parameters!$B$6)*Factors!LM5+SQRT(Parameters!$B$7)*Factors!LM9+SQRT(Parameters!$B$9)*NORM.S.INV(RAND())</f>
        <v/>
      </c>
      <c r="LN12" s="19">
        <f>SQRT(Parameters!$B$5)*Factors!LN4+SQRT(Parameters!$B$6)*Factors!LN5+SQRT(Parameters!$B$7)*Factors!LN9+SQRT(Parameters!$B$9)*NORM.S.INV(RAND())</f>
        <v/>
      </c>
      <c r="LO12" s="19">
        <f>SQRT(Parameters!$B$5)*Factors!LO4+SQRT(Parameters!$B$6)*Factors!LO5+SQRT(Parameters!$B$7)*Factors!LO9+SQRT(Parameters!$B$9)*NORM.S.INV(RAND())</f>
        <v/>
      </c>
      <c r="LP12" s="19">
        <f>SQRT(Parameters!$B$5)*Factors!LP4+SQRT(Parameters!$B$6)*Factors!LP5+SQRT(Parameters!$B$7)*Factors!LP9+SQRT(Parameters!$B$9)*NORM.S.INV(RAND())</f>
        <v/>
      </c>
      <c r="LQ12" s="19">
        <f>SQRT(Parameters!$B$5)*Factors!LQ4+SQRT(Parameters!$B$6)*Factors!LQ5+SQRT(Parameters!$B$7)*Factors!LQ9+SQRT(Parameters!$B$9)*NORM.S.INV(RAND())</f>
        <v/>
      </c>
      <c r="LR12" s="19">
        <f>SQRT(Parameters!$B$5)*Factors!LR4+SQRT(Parameters!$B$6)*Factors!LR5+SQRT(Parameters!$B$7)*Factors!LR9+SQRT(Parameters!$B$9)*NORM.S.INV(RAND())</f>
        <v/>
      </c>
      <c r="LS12" s="19">
        <f>SQRT(Parameters!$B$5)*Factors!LS4+SQRT(Parameters!$B$6)*Factors!LS5+SQRT(Parameters!$B$7)*Factors!LS9+SQRT(Parameters!$B$9)*NORM.S.INV(RAND())</f>
        <v/>
      </c>
      <c r="LT12" s="19">
        <f>SQRT(Parameters!$B$5)*Factors!LT4+SQRT(Parameters!$B$6)*Factors!LT5+SQRT(Parameters!$B$7)*Factors!LT9+SQRT(Parameters!$B$9)*NORM.S.INV(RAND())</f>
        <v/>
      </c>
      <c r="LU12" s="19">
        <f>SQRT(Parameters!$B$5)*Factors!LU4+SQRT(Parameters!$B$6)*Factors!LU5+SQRT(Parameters!$B$7)*Factors!LU9+SQRT(Parameters!$B$9)*NORM.S.INV(RAND())</f>
        <v/>
      </c>
      <c r="LV12" s="19">
        <f>SQRT(Parameters!$B$5)*Factors!LV4+SQRT(Parameters!$B$6)*Factors!LV5+SQRT(Parameters!$B$7)*Factors!LV9+SQRT(Parameters!$B$9)*NORM.S.INV(RAND())</f>
        <v/>
      </c>
      <c r="LW12" s="19">
        <f>SQRT(Parameters!$B$5)*Factors!LW4+SQRT(Parameters!$B$6)*Factors!LW5+SQRT(Parameters!$B$7)*Factors!LW9+SQRT(Parameters!$B$9)*NORM.S.INV(RAND())</f>
        <v/>
      </c>
      <c r="LX12" s="19">
        <f>SQRT(Parameters!$B$5)*Factors!LX4+SQRT(Parameters!$B$6)*Factors!LX5+SQRT(Parameters!$B$7)*Factors!LX9+SQRT(Parameters!$B$9)*NORM.S.INV(RAND())</f>
        <v/>
      </c>
      <c r="LY12" s="19">
        <f>SQRT(Parameters!$B$5)*Factors!LY4+SQRT(Parameters!$B$6)*Factors!LY5+SQRT(Parameters!$B$7)*Factors!LY9+SQRT(Parameters!$B$9)*NORM.S.INV(RAND())</f>
        <v/>
      </c>
      <c r="LZ12" s="19">
        <f>SQRT(Parameters!$B$5)*Factors!LZ4+SQRT(Parameters!$B$6)*Factors!LZ5+SQRT(Parameters!$B$7)*Factors!LZ9+SQRT(Parameters!$B$9)*NORM.S.INV(RAND())</f>
        <v/>
      </c>
      <c r="MA12" s="19">
        <f>SQRT(Parameters!$B$5)*Factors!MA4+SQRT(Parameters!$B$6)*Factors!MA5+SQRT(Parameters!$B$7)*Factors!MA9+SQRT(Parameters!$B$9)*NORM.S.INV(RAND())</f>
        <v/>
      </c>
      <c r="MB12" s="19">
        <f>SQRT(Parameters!$B$5)*Factors!MB4+SQRT(Parameters!$B$6)*Factors!MB5+SQRT(Parameters!$B$7)*Factors!MB9+SQRT(Parameters!$B$9)*NORM.S.INV(RAND())</f>
        <v/>
      </c>
      <c r="MC12" s="19">
        <f>SQRT(Parameters!$B$5)*Factors!MC4+SQRT(Parameters!$B$6)*Factors!MC5+SQRT(Parameters!$B$7)*Factors!MC9+SQRT(Parameters!$B$9)*NORM.S.INV(RAND())</f>
        <v/>
      </c>
      <c r="MD12" s="19">
        <f>SQRT(Parameters!$B$5)*Factors!MD4+SQRT(Parameters!$B$6)*Factors!MD5+SQRT(Parameters!$B$7)*Factors!MD9+SQRT(Parameters!$B$9)*NORM.S.INV(RAND())</f>
        <v/>
      </c>
      <c r="ME12" s="19">
        <f>SQRT(Parameters!$B$5)*Factors!ME4+SQRT(Parameters!$B$6)*Factors!ME5+SQRT(Parameters!$B$7)*Factors!ME9+SQRT(Parameters!$B$9)*NORM.S.INV(RAND())</f>
        <v/>
      </c>
      <c r="MF12" s="19">
        <f>SQRT(Parameters!$B$5)*Factors!MF4+SQRT(Parameters!$B$6)*Factors!MF5+SQRT(Parameters!$B$7)*Factors!MF9+SQRT(Parameters!$B$9)*NORM.S.INV(RAND())</f>
        <v/>
      </c>
      <c r="MG12" s="19">
        <f>SQRT(Parameters!$B$5)*Factors!MG4+SQRT(Parameters!$B$6)*Factors!MG5+SQRT(Parameters!$B$7)*Factors!MG9+SQRT(Parameters!$B$9)*NORM.S.INV(RAND())</f>
        <v/>
      </c>
      <c r="MH12" s="19">
        <f>SQRT(Parameters!$B$5)*Factors!MH4+SQRT(Parameters!$B$6)*Factors!MH5+SQRT(Parameters!$B$7)*Factors!MH9+SQRT(Parameters!$B$9)*NORM.S.INV(RAND())</f>
        <v/>
      </c>
      <c r="MI12" s="19">
        <f>SQRT(Parameters!$B$5)*Factors!MI4+SQRT(Parameters!$B$6)*Factors!MI5+SQRT(Parameters!$B$7)*Factors!MI9+SQRT(Parameters!$B$9)*NORM.S.INV(RAND())</f>
        <v/>
      </c>
      <c r="MJ12" s="19">
        <f>SQRT(Parameters!$B$5)*Factors!MJ4+SQRT(Parameters!$B$6)*Factors!MJ5+SQRT(Parameters!$B$7)*Factors!MJ9+SQRT(Parameters!$B$9)*NORM.S.INV(RAND())</f>
        <v/>
      </c>
      <c r="MK12" s="19">
        <f>SQRT(Parameters!$B$5)*Factors!MK4+SQRT(Parameters!$B$6)*Factors!MK5+SQRT(Parameters!$B$7)*Factors!MK9+SQRT(Parameters!$B$9)*NORM.S.INV(RAND())</f>
        <v/>
      </c>
      <c r="ML12" s="19">
        <f>SQRT(Parameters!$B$5)*Factors!ML4+SQRT(Parameters!$B$6)*Factors!ML5+SQRT(Parameters!$B$7)*Factors!ML9+SQRT(Parameters!$B$9)*NORM.S.INV(RAND())</f>
        <v/>
      </c>
      <c r="MM12" s="19">
        <f>SQRT(Parameters!$B$5)*Factors!MM4+SQRT(Parameters!$B$6)*Factors!MM5+SQRT(Parameters!$B$7)*Factors!MM9+SQRT(Parameters!$B$9)*NORM.S.INV(RAND())</f>
        <v/>
      </c>
      <c r="MN12" s="19">
        <f>SQRT(Parameters!$B$5)*Factors!MN4+SQRT(Parameters!$B$6)*Factors!MN5+SQRT(Parameters!$B$7)*Factors!MN9+SQRT(Parameters!$B$9)*NORM.S.INV(RAND())</f>
        <v/>
      </c>
      <c r="MO12" s="19">
        <f>SQRT(Parameters!$B$5)*Factors!MO4+SQRT(Parameters!$B$6)*Factors!MO5+SQRT(Parameters!$B$7)*Factors!MO9+SQRT(Parameters!$B$9)*NORM.S.INV(RAND())</f>
        <v/>
      </c>
      <c r="MP12" s="19">
        <f>SQRT(Parameters!$B$5)*Factors!MP4+SQRT(Parameters!$B$6)*Factors!MP5+SQRT(Parameters!$B$7)*Factors!MP9+SQRT(Parameters!$B$9)*NORM.S.INV(RAND())</f>
        <v/>
      </c>
      <c r="MQ12" s="19">
        <f>SQRT(Parameters!$B$5)*Factors!MQ4+SQRT(Parameters!$B$6)*Factors!MQ5+SQRT(Parameters!$B$7)*Factors!MQ9+SQRT(Parameters!$B$9)*NORM.S.INV(RAND())</f>
        <v/>
      </c>
      <c r="MR12" s="19">
        <f>SQRT(Parameters!$B$5)*Factors!MR4+SQRT(Parameters!$B$6)*Factors!MR5+SQRT(Parameters!$B$7)*Factors!MR9+SQRT(Parameters!$B$9)*NORM.S.INV(RAND())</f>
        <v/>
      </c>
      <c r="MS12" s="19">
        <f>SQRT(Parameters!$B$5)*Factors!MS4+SQRT(Parameters!$B$6)*Factors!MS5+SQRT(Parameters!$B$7)*Factors!MS9+SQRT(Parameters!$B$9)*NORM.S.INV(RAND())</f>
        <v/>
      </c>
      <c r="MT12" s="19">
        <f>SQRT(Parameters!$B$5)*Factors!MT4+SQRT(Parameters!$B$6)*Factors!MT5+SQRT(Parameters!$B$7)*Factors!MT9+SQRT(Parameters!$B$9)*NORM.S.INV(RAND())</f>
        <v/>
      </c>
      <c r="MU12" s="19">
        <f>SQRT(Parameters!$B$5)*Factors!MU4+SQRT(Parameters!$B$6)*Factors!MU5+SQRT(Parameters!$B$7)*Factors!MU9+SQRT(Parameters!$B$9)*NORM.S.INV(RAND())</f>
        <v/>
      </c>
      <c r="MV12" s="19">
        <f>SQRT(Parameters!$B$5)*Factors!MV4+SQRT(Parameters!$B$6)*Factors!MV5+SQRT(Parameters!$B$7)*Factors!MV9+SQRT(Parameters!$B$9)*NORM.S.INV(RAND())</f>
        <v/>
      </c>
      <c r="MW12" s="19">
        <f>SQRT(Parameters!$B$5)*Factors!MW4+SQRT(Parameters!$B$6)*Factors!MW5+SQRT(Parameters!$B$7)*Factors!MW9+SQRT(Parameters!$B$9)*NORM.S.INV(RAND())</f>
        <v/>
      </c>
      <c r="MX12" s="19">
        <f>SQRT(Parameters!$B$5)*Factors!MX4+SQRT(Parameters!$B$6)*Factors!MX5+SQRT(Parameters!$B$7)*Factors!MX9+SQRT(Parameters!$B$9)*NORM.S.INV(RAND())</f>
        <v/>
      </c>
      <c r="MY12" s="19">
        <f>SQRT(Parameters!$B$5)*Factors!MY4+SQRT(Parameters!$B$6)*Factors!MY5+SQRT(Parameters!$B$7)*Factors!MY9+SQRT(Parameters!$B$9)*NORM.S.INV(RAND())</f>
        <v/>
      </c>
      <c r="MZ12" s="19">
        <f>SQRT(Parameters!$B$5)*Factors!MZ4+SQRT(Parameters!$B$6)*Factors!MZ5+SQRT(Parameters!$B$7)*Factors!MZ9+SQRT(Parameters!$B$9)*NORM.S.INV(RAND())</f>
        <v/>
      </c>
      <c r="NA12" s="19">
        <f>SQRT(Parameters!$B$5)*Factors!NA4+SQRT(Parameters!$B$6)*Factors!NA5+SQRT(Parameters!$B$7)*Factors!NA9+SQRT(Parameters!$B$9)*NORM.S.INV(RAND())</f>
        <v/>
      </c>
      <c r="NB12" s="19">
        <f>SQRT(Parameters!$B$5)*Factors!NB4+SQRT(Parameters!$B$6)*Factors!NB5+SQRT(Parameters!$B$7)*Factors!NB9+SQRT(Parameters!$B$9)*NORM.S.INV(RAND())</f>
        <v/>
      </c>
      <c r="NC12" s="19">
        <f>SQRT(Parameters!$B$5)*Factors!NC4+SQRT(Parameters!$B$6)*Factors!NC5+SQRT(Parameters!$B$7)*Factors!NC9+SQRT(Parameters!$B$9)*NORM.S.INV(RAND())</f>
        <v/>
      </c>
      <c r="ND12" s="19">
        <f>SQRT(Parameters!$B$5)*Factors!ND4+SQRT(Parameters!$B$6)*Factors!ND5+SQRT(Parameters!$B$7)*Factors!ND9+SQRT(Parameters!$B$9)*NORM.S.INV(RAND())</f>
        <v/>
      </c>
      <c r="NE12" s="19">
        <f>SQRT(Parameters!$B$5)*Factors!NE4+SQRT(Parameters!$B$6)*Factors!NE5+SQRT(Parameters!$B$7)*Factors!NE9+SQRT(Parameters!$B$9)*NORM.S.INV(RAND())</f>
        <v/>
      </c>
      <c r="NF12" s="19">
        <f>SQRT(Parameters!$B$5)*Factors!NF4+SQRT(Parameters!$B$6)*Factors!NF5+SQRT(Parameters!$B$7)*Factors!NF9+SQRT(Parameters!$B$9)*NORM.S.INV(RAND())</f>
        <v/>
      </c>
      <c r="NG12" s="19">
        <f>SQRT(Parameters!$B$5)*Factors!NG4+SQRT(Parameters!$B$6)*Factors!NG5+SQRT(Parameters!$B$7)*Factors!NG9+SQRT(Parameters!$B$9)*NORM.S.INV(RAND())</f>
        <v/>
      </c>
      <c r="NH12" s="19">
        <f>SQRT(Parameters!$B$5)*Factors!NH4+SQRT(Parameters!$B$6)*Factors!NH5+SQRT(Parameters!$B$7)*Factors!NH9+SQRT(Parameters!$B$9)*NORM.S.INV(RAND())</f>
        <v/>
      </c>
      <c r="NI12" s="19">
        <f>SQRT(Parameters!$B$5)*Factors!NI4+SQRT(Parameters!$B$6)*Factors!NI5+SQRT(Parameters!$B$7)*Factors!NI9+SQRT(Parameters!$B$9)*NORM.S.INV(RAND())</f>
        <v/>
      </c>
      <c r="NJ12" s="19">
        <f>SQRT(Parameters!$B$5)*Factors!NJ4+SQRT(Parameters!$B$6)*Factors!NJ5+SQRT(Parameters!$B$7)*Factors!NJ9+SQRT(Parameters!$B$9)*NORM.S.INV(RAND())</f>
        <v/>
      </c>
      <c r="NK12" s="19">
        <f>SQRT(Parameters!$B$5)*Factors!NK4+SQRT(Parameters!$B$6)*Factors!NK5+SQRT(Parameters!$B$7)*Factors!NK9+SQRT(Parameters!$B$9)*NORM.S.INV(RAND())</f>
        <v/>
      </c>
      <c r="NL12" s="19">
        <f>SQRT(Parameters!$B$5)*Factors!NL4+SQRT(Parameters!$B$6)*Factors!NL5+SQRT(Parameters!$B$7)*Factors!NL9+SQRT(Parameters!$B$9)*NORM.S.INV(RAND())</f>
        <v/>
      </c>
      <c r="NM12" s="19">
        <f>SQRT(Parameters!$B$5)*Factors!NM4+SQRT(Parameters!$B$6)*Factors!NM5+SQRT(Parameters!$B$7)*Factors!NM9+SQRT(Parameters!$B$9)*NORM.S.INV(RAND())</f>
        <v/>
      </c>
      <c r="NN12" s="19">
        <f>SQRT(Parameters!$B$5)*Factors!NN4+SQRT(Parameters!$B$6)*Factors!NN5+SQRT(Parameters!$B$7)*Factors!NN9+SQRT(Parameters!$B$9)*NORM.S.INV(RAND())</f>
        <v/>
      </c>
      <c r="NO12" s="19">
        <f>SQRT(Parameters!$B$5)*Factors!NO4+SQRT(Parameters!$B$6)*Factors!NO5+SQRT(Parameters!$B$7)*Factors!NO9+SQRT(Parameters!$B$9)*NORM.S.INV(RAND())</f>
        <v/>
      </c>
      <c r="NP12" s="19">
        <f>SQRT(Parameters!$B$5)*Factors!NP4+SQRT(Parameters!$B$6)*Factors!NP5+SQRT(Parameters!$B$7)*Factors!NP9+SQRT(Parameters!$B$9)*NORM.S.INV(RAND())</f>
        <v/>
      </c>
      <c r="NQ12" s="19">
        <f>SQRT(Parameters!$B$5)*Factors!NQ4+SQRT(Parameters!$B$6)*Factors!NQ5+SQRT(Parameters!$B$7)*Factors!NQ9+SQRT(Parameters!$B$9)*NORM.S.INV(RAND())</f>
        <v/>
      </c>
      <c r="NR12" s="19">
        <f>SQRT(Parameters!$B$5)*Factors!NR4+SQRT(Parameters!$B$6)*Factors!NR5+SQRT(Parameters!$B$7)*Factors!NR9+SQRT(Parameters!$B$9)*NORM.S.INV(RAND())</f>
        <v/>
      </c>
      <c r="NS12" s="19">
        <f>SQRT(Parameters!$B$5)*Factors!NS4+SQRT(Parameters!$B$6)*Factors!NS5+SQRT(Parameters!$B$7)*Factors!NS9+SQRT(Parameters!$B$9)*NORM.S.INV(RAND())</f>
        <v/>
      </c>
      <c r="NT12" s="19">
        <f>SQRT(Parameters!$B$5)*Factors!NT4+SQRT(Parameters!$B$6)*Factors!NT5+SQRT(Parameters!$B$7)*Factors!NT9+SQRT(Parameters!$B$9)*NORM.S.INV(RAND())</f>
        <v/>
      </c>
      <c r="NU12" s="19">
        <f>SQRT(Parameters!$B$5)*Factors!NU4+SQRT(Parameters!$B$6)*Factors!NU5+SQRT(Parameters!$B$7)*Factors!NU9+SQRT(Parameters!$B$9)*NORM.S.INV(RAND())</f>
        <v/>
      </c>
      <c r="NV12" s="19">
        <f>SQRT(Parameters!$B$5)*Factors!NV4+SQRT(Parameters!$B$6)*Factors!NV5+SQRT(Parameters!$B$7)*Factors!NV9+SQRT(Parameters!$B$9)*NORM.S.INV(RAND())</f>
        <v/>
      </c>
      <c r="NW12" s="19">
        <f>SQRT(Parameters!$B$5)*Factors!NW4+SQRT(Parameters!$B$6)*Factors!NW5+SQRT(Parameters!$B$7)*Factors!NW9+SQRT(Parameters!$B$9)*NORM.S.INV(RAND())</f>
        <v/>
      </c>
      <c r="NX12" s="19">
        <f>SQRT(Parameters!$B$5)*Factors!NX4+SQRT(Parameters!$B$6)*Factors!NX5+SQRT(Parameters!$B$7)*Factors!NX9+SQRT(Parameters!$B$9)*NORM.S.INV(RAND())</f>
        <v/>
      </c>
      <c r="NY12" s="19">
        <f>SQRT(Parameters!$B$5)*Factors!NY4+SQRT(Parameters!$B$6)*Factors!NY5+SQRT(Parameters!$B$7)*Factors!NY9+SQRT(Parameters!$B$9)*NORM.S.INV(RAND())</f>
        <v/>
      </c>
      <c r="NZ12" s="19">
        <f>SQRT(Parameters!$B$5)*Factors!NZ4+SQRT(Parameters!$B$6)*Factors!NZ5+SQRT(Parameters!$B$7)*Factors!NZ9+SQRT(Parameters!$B$9)*NORM.S.INV(RAND())</f>
        <v/>
      </c>
      <c r="OA12" s="19">
        <f>SQRT(Parameters!$B$5)*Factors!OA4+SQRT(Parameters!$B$6)*Factors!OA5+SQRT(Parameters!$B$7)*Factors!OA9+SQRT(Parameters!$B$9)*NORM.S.INV(RAND())</f>
        <v/>
      </c>
      <c r="OB12" s="19">
        <f>SQRT(Parameters!$B$5)*Factors!OB4+SQRT(Parameters!$B$6)*Factors!OB5+SQRT(Parameters!$B$7)*Factors!OB9+SQRT(Parameters!$B$9)*NORM.S.INV(RAND())</f>
        <v/>
      </c>
      <c r="OC12" s="19">
        <f>SQRT(Parameters!$B$5)*Factors!OC4+SQRT(Parameters!$B$6)*Factors!OC5+SQRT(Parameters!$B$7)*Factors!OC9+SQRT(Parameters!$B$9)*NORM.S.INV(RAND())</f>
        <v/>
      </c>
      <c r="OD12" s="19">
        <f>SQRT(Parameters!$B$5)*Factors!OD4+SQRT(Parameters!$B$6)*Factors!OD5+SQRT(Parameters!$B$7)*Factors!OD9+SQRT(Parameters!$B$9)*NORM.S.INV(RAND())</f>
        <v/>
      </c>
      <c r="OE12" s="19">
        <f>SQRT(Parameters!$B$5)*Factors!OE4+SQRT(Parameters!$B$6)*Factors!OE5+SQRT(Parameters!$B$7)*Factors!OE9+SQRT(Parameters!$B$9)*NORM.S.INV(RAND())</f>
        <v/>
      </c>
      <c r="OF12" s="19">
        <f>SQRT(Parameters!$B$5)*Factors!OF4+SQRT(Parameters!$B$6)*Factors!OF5+SQRT(Parameters!$B$7)*Factors!OF9+SQRT(Parameters!$B$9)*NORM.S.INV(RAND())</f>
        <v/>
      </c>
      <c r="OG12" s="19">
        <f>SQRT(Parameters!$B$5)*Factors!OG4+SQRT(Parameters!$B$6)*Factors!OG5+SQRT(Parameters!$B$7)*Factors!OG9+SQRT(Parameters!$B$9)*NORM.S.INV(RAND())</f>
        <v/>
      </c>
      <c r="OH12" s="19">
        <f>SQRT(Parameters!$B$5)*Factors!OH4+SQRT(Parameters!$B$6)*Factors!OH5+SQRT(Parameters!$B$7)*Factors!OH9+SQRT(Parameters!$B$9)*NORM.S.INV(RAND())</f>
        <v/>
      </c>
      <c r="OI12" s="19">
        <f>SQRT(Parameters!$B$5)*Factors!OI4+SQRT(Parameters!$B$6)*Factors!OI5+SQRT(Parameters!$B$7)*Factors!OI9+SQRT(Parameters!$B$9)*NORM.S.INV(RAND())</f>
        <v/>
      </c>
      <c r="OJ12" s="19">
        <f>SQRT(Parameters!$B$5)*Factors!OJ4+SQRT(Parameters!$B$6)*Factors!OJ5+SQRT(Parameters!$B$7)*Factors!OJ9+SQRT(Parameters!$B$9)*NORM.S.INV(RAND())</f>
        <v/>
      </c>
      <c r="OK12" s="19">
        <f>SQRT(Parameters!$B$5)*Factors!OK4+SQRT(Parameters!$B$6)*Factors!OK5+SQRT(Parameters!$B$7)*Factors!OK9+SQRT(Parameters!$B$9)*NORM.S.INV(RAND())</f>
        <v/>
      </c>
      <c r="OL12" s="19">
        <f>SQRT(Parameters!$B$5)*Factors!OL4+SQRT(Parameters!$B$6)*Factors!OL5+SQRT(Parameters!$B$7)*Factors!OL9+SQRT(Parameters!$B$9)*NORM.S.INV(RAND())</f>
        <v/>
      </c>
      <c r="OM12" s="19">
        <f>SQRT(Parameters!$B$5)*Factors!OM4+SQRT(Parameters!$B$6)*Factors!OM5+SQRT(Parameters!$B$7)*Factors!OM9+SQRT(Parameters!$B$9)*NORM.S.INV(RAND())</f>
        <v/>
      </c>
      <c r="ON12" s="19">
        <f>SQRT(Parameters!$B$5)*Factors!ON4+SQRT(Parameters!$B$6)*Factors!ON5+SQRT(Parameters!$B$7)*Factors!ON9+SQRT(Parameters!$B$9)*NORM.S.INV(RAND())</f>
        <v/>
      </c>
      <c r="OO12" s="19">
        <f>SQRT(Parameters!$B$5)*Factors!OO4+SQRT(Parameters!$B$6)*Factors!OO5+SQRT(Parameters!$B$7)*Factors!OO9+SQRT(Parameters!$B$9)*NORM.S.INV(RAND())</f>
        <v/>
      </c>
      <c r="OP12" s="19">
        <f>SQRT(Parameters!$B$5)*Factors!OP4+SQRT(Parameters!$B$6)*Factors!OP5+SQRT(Parameters!$B$7)*Factors!OP9+SQRT(Parameters!$B$9)*NORM.S.INV(RAND())</f>
        <v/>
      </c>
      <c r="OQ12" s="19">
        <f>SQRT(Parameters!$B$5)*Factors!OQ4+SQRT(Parameters!$B$6)*Factors!OQ5+SQRT(Parameters!$B$7)*Factors!OQ9+SQRT(Parameters!$B$9)*NORM.S.INV(RAND())</f>
        <v/>
      </c>
      <c r="OR12" s="19">
        <f>SQRT(Parameters!$B$5)*Factors!OR4+SQRT(Parameters!$B$6)*Factors!OR5+SQRT(Parameters!$B$7)*Factors!OR9+SQRT(Parameters!$B$9)*NORM.S.INV(RAND())</f>
        <v/>
      </c>
      <c r="OS12" s="19">
        <f>SQRT(Parameters!$B$5)*Factors!OS4+SQRT(Parameters!$B$6)*Factors!OS5+SQRT(Parameters!$B$7)*Factors!OS9+SQRT(Parameters!$B$9)*NORM.S.INV(RAND())</f>
        <v/>
      </c>
      <c r="OT12" s="19">
        <f>SQRT(Parameters!$B$5)*Factors!OT4+SQRT(Parameters!$B$6)*Factors!OT5+SQRT(Parameters!$B$7)*Factors!OT9+SQRT(Parameters!$B$9)*NORM.S.INV(RAND())</f>
        <v/>
      </c>
      <c r="OU12" s="19">
        <f>SQRT(Parameters!$B$5)*Factors!OU4+SQRT(Parameters!$B$6)*Factors!OU5+SQRT(Parameters!$B$7)*Factors!OU9+SQRT(Parameters!$B$9)*NORM.S.INV(RAND())</f>
        <v/>
      </c>
      <c r="OV12" s="19">
        <f>SQRT(Parameters!$B$5)*Factors!OV4+SQRT(Parameters!$B$6)*Factors!OV5+SQRT(Parameters!$B$7)*Factors!OV9+SQRT(Parameters!$B$9)*NORM.S.INV(RAND())</f>
        <v/>
      </c>
      <c r="OW12" s="19">
        <f>SQRT(Parameters!$B$5)*Factors!OW4+SQRT(Parameters!$B$6)*Factors!OW5+SQRT(Parameters!$B$7)*Factors!OW9+SQRT(Parameters!$B$9)*NORM.S.INV(RAND())</f>
        <v/>
      </c>
      <c r="OX12" s="19">
        <f>SQRT(Parameters!$B$5)*Factors!OX4+SQRT(Parameters!$B$6)*Factors!OX5+SQRT(Parameters!$B$7)*Factors!OX9+SQRT(Parameters!$B$9)*NORM.S.INV(RAND())</f>
        <v/>
      </c>
      <c r="OY12" s="19">
        <f>SQRT(Parameters!$B$5)*Factors!OY4+SQRT(Parameters!$B$6)*Factors!OY5+SQRT(Parameters!$B$7)*Factors!OY9+SQRT(Parameters!$B$9)*NORM.S.INV(RAND())</f>
        <v/>
      </c>
      <c r="OZ12" s="19">
        <f>SQRT(Parameters!$B$5)*Factors!OZ4+SQRT(Parameters!$B$6)*Factors!OZ5+SQRT(Parameters!$B$7)*Factors!OZ9+SQRT(Parameters!$B$9)*NORM.S.INV(RAND())</f>
        <v/>
      </c>
      <c r="PA12" s="19">
        <f>SQRT(Parameters!$B$5)*Factors!PA4+SQRT(Parameters!$B$6)*Factors!PA5+SQRT(Parameters!$B$7)*Factors!PA9+SQRT(Parameters!$B$9)*NORM.S.INV(RAND())</f>
        <v/>
      </c>
      <c r="PB12" s="19">
        <f>SQRT(Parameters!$B$5)*Factors!PB4+SQRT(Parameters!$B$6)*Factors!PB5+SQRT(Parameters!$B$7)*Factors!PB9+SQRT(Parameters!$B$9)*NORM.S.INV(RAND())</f>
        <v/>
      </c>
      <c r="PC12" s="19">
        <f>SQRT(Parameters!$B$5)*Factors!PC4+SQRT(Parameters!$B$6)*Factors!PC5+SQRT(Parameters!$B$7)*Factors!PC9+SQRT(Parameters!$B$9)*NORM.S.INV(RAND())</f>
        <v/>
      </c>
      <c r="PD12" s="19">
        <f>SQRT(Parameters!$B$5)*Factors!PD4+SQRT(Parameters!$B$6)*Factors!PD5+SQRT(Parameters!$B$7)*Factors!PD9+SQRT(Parameters!$B$9)*NORM.S.INV(RAND())</f>
        <v/>
      </c>
      <c r="PE12" s="19">
        <f>SQRT(Parameters!$B$5)*Factors!PE4+SQRT(Parameters!$B$6)*Factors!PE5+SQRT(Parameters!$B$7)*Factors!PE9+SQRT(Parameters!$B$9)*NORM.S.INV(RAND())</f>
        <v/>
      </c>
      <c r="PF12" s="19">
        <f>SQRT(Parameters!$B$5)*Factors!PF4+SQRT(Parameters!$B$6)*Factors!PF5+SQRT(Parameters!$B$7)*Factors!PF9+SQRT(Parameters!$B$9)*NORM.S.INV(RAND())</f>
        <v/>
      </c>
      <c r="PG12" s="19">
        <f>SQRT(Parameters!$B$5)*Factors!PG4+SQRT(Parameters!$B$6)*Factors!PG5+SQRT(Parameters!$B$7)*Factors!PG9+SQRT(Parameters!$B$9)*NORM.S.INV(RAND())</f>
        <v/>
      </c>
      <c r="PH12" s="19">
        <f>SQRT(Parameters!$B$5)*Factors!PH4+SQRT(Parameters!$B$6)*Factors!PH5+SQRT(Parameters!$B$7)*Factors!PH9+SQRT(Parameters!$B$9)*NORM.S.INV(RAND())</f>
        <v/>
      </c>
      <c r="PI12" s="19">
        <f>SQRT(Parameters!$B$5)*Factors!PI4+SQRT(Parameters!$B$6)*Factors!PI5+SQRT(Parameters!$B$7)*Factors!PI9+SQRT(Parameters!$B$9)*NORM.S.INV(RAND())</f>
        <v/>
      </c>
      <c r="PJ12" s="19">
        <f>SQRT(Parameters!$B$5)*Factors!PJ4+SQRT(Parameters!$B$6)*Factors!PJ5+SQRT(Parameters!$B$7)*Factors!PJ9+SQRT(Parameters!$B$9)*NORM.S.INV(RAND())</f>
        <v/>
      </c>
      <c r="PK12" s="19">
        <f>SQRT(Parameters!$B$5)*Factors!PK4+SQRT(Parameters!$B$6)*Factors!PK5+SQRT(Parameters!$B$7)*Factors!PK9+SQRT(Parameters!$B$9)*NORM.S.INV(RAND())</f>
        <v/>
      </c>
      <c r="PL12" s="19">
        <f>SQRT(Parameters!$B$5)*Factors!PL4+SQRT(Parameters!$B$6)*Factors!PL5+SQRT(Parameters!$B$7)*Factors!PL9+SQRT(Parameters!$B$9)*NORM.S.INV(RAND())</f>
        <v/>
      </c>
      <c r="PM12" s="19">
        <f>SQRT(Parameters!$B$5)*Factors!PM4+SQRT(Parameters!$B$6)*Factors!PM5+SQRT(Parameters!$B$7)*Factors!PM9+SQRT(Parameters!$B$9)*NORM.S.INV(RAND())</f>
        <v/>
      </c>
      <c r="PN12" s="19">
        <f>SQRT(Parameters!$B$5)*Factors!PN4+SQRT(Parameters!$B$6)*Factors!PN5+SQRT(Parameters!$B$7)*Factors!PN9+SQRT(Parameters!$B$9)*NORM.S.INV(RAND())</f>
        <v/>
      </c>
      <c r="PO12" s="19">
        <f>SQRT(Parameters!$B$5)*Factors!PO4+SQRT(Parameters!$B$6)*Factors!PO5+SQRT(Parameters!$B$7)*Factors!PO9+SQRT(Parameters!$B$9)*NORM.S.INV(RAND())</f>
        <v/>
      </c>
      <c r="PP12" s="19">
        <f>SQRT(Parameters!$B$5)*Factors!PP4+SQRT(Parameters!$B$6)*Factors!PP5+SQRT(Parameters!$B$7)*Factors!PP9+SQRT(Parameters!$B$9)*NORM.S.INV(RAND())</f>
        <v/>
      </c>
      <c r="PQ12" s="19">
        <f>SQRT(Parameters!$B$5)*Factors!PQ4+SQRT(Parameters!$B$6)*Factors!PQ5+SQRT(Parameters!$B$7)*Factors!PQ9+SQRT(Parameters!$B$9)*NORM.S.INV(RAND())</f>
        <v/>
      </c>
      <c r="PR12" s="19">
        <f>SQRT(Parameters!$B$5)*Factors!PR4+SQRT(Parameters!$B$6)*Factors!PR5+SQRT(Parameters!$B$7)*Factors!PR9+SQRT(Parameters!$B$9)*NORM.S.INV(RAND())</f>
        <v/>
      </c>
      <c r="PS12" s="19">
        <f>SQRT(Parameters!$B$5)*Factors!PS4+SQRT(Parameters!$B$6)*Factors!PS5+SQRT(Parameters!$B$7)*Factors!PS9+SQRT(Parameters!$B$9)*NORM.S.INV(RAND())</f>
        <v/>
      </c>
      <c r="PT12" s="19">
        <f>SQRT(Parameters!$B$5)*Factors!PT4+SQRT(Parameters!$B$6)*Factors!PT5+SQRT(Parameters!$B$7)*Factors!PT9+SQRT(Parameters!$B$9)*NORM.S.INV(RAND())</f>
        <v/>
      </c>
      <c r="PU12" s="19">
        <f>SQRT(Parameters!$B$5)*Factors!PU4+SQRT(Parameters!$B$6)*Factors!PU5+SQRT(Parameters!$B$7)*Factors!PU9+SQRT(Parameters!$B$9)*NORM.S.INV(RAND())</f>
        <v/>
      </c>
      <c r="PV12" s="19">
        <f>SQRT(Parameters!$B$5)*Factors!PV4+SQRT(Parameters!$B$6)*Factors!PV5+SQRT(Parameters!$B$7)*Factors!PV9+SQRT(Parameters!$B$9)*NORM.S.INV(RAND())</f>
        <v/>
      </c>
      <c r="PW12" s="19">
        <f>SQRT(Parameters!$B$5)*Factors!PW4+SQRT(Parameters!$B$6)*Factors!PW5+SQRT(Parameters!$B$7)*Factors!PW9+SQRT(Parameters!$B$9)*NORM.S.INV(RAND())</f>
        <v/>
      </c>
      <c r="PX12" s="19">
        <f>SQRT(Parameters!$B$5)*Factors!PX4+SQRT(Parameters!$B$6)*Factors!PX5+SQRT(Parameters!$B$7)*Factors!PX9+SQRT(Parameters!$B$9)*NORM.S.INV(RAND())</f>
        <v/>
      </c>
      <c r="PY12" s="19">
        <f>SQRT(Parameters!$B$5)*Factors!PY4+SQRT(Parameters!$B$6)*Factors!PY5+SQRT(Parameters!$B$7)*Factors!PY9+SQRT(Parameters!$B$9)*NORM.S.INV(RAND())</f>
        <v/>
      </c>
      <c r="PZ12" s="19">
        <f>SQRT(Parameters!$B$5)*Factors!PZ4+SQRT(Parameters!$B$6)*Factors!PZ5+SQRT(Parameters!$B$7)*Factors!PZ9+SQRT(Parameters!$B$9)*NORM.S.INV(RAND())</f>
        <v/>
      </c>
      <c r="QA12" s="19">
        <f>SQRT(Parameters!$B$5)*Factors!QA4+SQRT(Parameters!$B$6)*Factors!QA5+SQRT(Parameters!$B$7)*Factors!QA9+SQRT(Parameters!$B$9)*NORM.S.INV(RAND())</f>
        <v/>
      </c>
      <c r="QB12" s="19">
        <f>SQRT(Parameters!$B$5)*Factors!QB4+SQRT(Parameters!$B$6)*Factors!QB5+SQRT(Parameters!$B$7)*Factors!QB9+SQRT(Parameters!$B$9)*NORM.S.INV(RAND())</f>
        <v/>
      </c>
      <c r="QC12" s="19">
        <f>SQRT(Parameters!$B$5)*Factors!QC4+SQRT(Parameters!$B$6)*Factors!QC5+SQRT(Parameters!$B$7)*Factors!QC9+SQRT(Parameters!$B$9)*NORM.S.INV(RAND())</f>
        <v/>
      </c>
      <c r="QD12" s="19">
        <f>SQRT(Parameters!$B$5)*Factors!QD4+SQRT(Parameters!$B$6)*Factors!QD5+SQRT(Parameters!$B$7)*Factors!QD9+SQRT(Parameters!$B$9)*NORM.S.INV(RAND())</f>
        <v/>
      </c>
      <c r="QE12" s="19">
        <f>SQRT(Parameters!$B$5)*Factors!QE4+SQRT(Parameters!$B$6)*Factors!QE5+SQRT(Parameters!$B$7)*Factors!QE9+SQRT(Parameters!$B$9)*NORM.S.INV(RAND())</f>
        <v/>
      </c>
      <c r="QF12" s="19">
        <f>SQRT(Parameters!$B$5)*Factors!QF4+SQRT(Parameters!$B$6)*Factors!QF5+SQRT(Parameters!$B$7)*Factors!QF9+SQRT(Parameters!$B$9)*NORM.S.INV(RAND())</f>
        <v/>
      </c>
      <c r="QG12" s="19">
        <f>SQRT(Parameters!$B$5)*Factors!QG4+SQRT(Parameters!$B$6)*Factors!QG5+SQRT(Parameters!$B$7)*Factors!QG9+SQRT(Parameters!$B$9)*NORM.S.INV(RAND())</f>
        <v/>
      </c>
      <c r="QH12" s="19">
        <f>SQRT(Parameters!$B$5)*Factors!QH4+SQRT(Parameters!$B$6)*Factors!QH5+SQRT(Parameters!$B$7)*Factors!QH9+SQRT(Parameters!$B$9)*NORM.S.INV(RAND())</f>
        <v/>
      </c>
      <c r="QI12" s="19">
        <f>SQRT(Parameters!$B$5)*Factors!QI4+SQRT(Parameters!$B$6)*Factors!QI5+SQRT(Parameters!$B$7)*Factors!QI9+SQRT(Parameters!$B$9)*NORM.S.INV(RAND())</f>
        <v/>
      </c>
      <c r="QJ12" s="19">
        <f>SQRT(Parameters!$B$5)*Factors!QJ4+SQRT(Parameters!$B$6)*Factors!QJ5+SQRT(Parameters!$B$7)*Factors!QJ9+SQRT(Parameters!$B$9)*NORM.S.INV(RAND())</f>
        <v/>
      </c>
      <c r="QK12" s="19">
        <f>SQRT(Parameters!$B$5)*Factors!QK4+SQRT(Parameters!$B$6)*Factors!QK5+SQRT(Parameters!$B$7)*Factors!QK9+SQRT(Parameters!$B$9)*NORM.S.INV(RAND())</f>
        <v/>
      </c>
      <c r="QL12" s="19">
        <f>SQRT(Parameters!$B$5)*Factors!QL4+SQRT(Parameters!$B$6)*Factors!QL5+SQRT(Parameters!$B$7)*Factors!QL9+SQRT(Parameters!$B$9)*NORM.S.INV(RAND())</f>
        <v/>
      </c>
      <c r="QM12" s="19">
        <f>SQRT(Parameters!$B$5)*Factors!QM4+SQRT(Parameters!$B$6)*Factors!QM5+SQRT(Parameters!$B$7)*Factors!QM9+SQRT(Parameters!$B$9)*NORM.S.INV(RAND())</f>
        <v/>
      </c>
      <c r="QN12" s="19">
        <f>SQRT(Parameters!$B$5)*Factors!QN4+SQRT(Parameters!$B$6)*Factors!QN5+SQRT(Parameters!$B$7)*Factors!QN9+SQRT(Parameters!$B$9)*NORM.S.INV(RAND())</f>
        <v/>
      </c>
      <c r="QO12" s="19">
        <f>SQRT(Parameters!$B$5)*Factors!QO4+SQRT(Parameters!$B$6)*Factors!QO5+SQRT(Parameters!$B$7)*Factors!QO9+SQRT(Parameters!$B$9)*NORM.S.INV(RAND())</f>
        <v/>
      </c>
      <c r="QP12" s="19">
        <f>SQRT(Parameters!$B$5)*Factors!QP4+SQRT(Parameters!$B$6)*Factors!QP5+SQRT(Parameters!$B$7)*Factors!QP9+SQRT(Parameters!$B$9)*NORM.S.INV(RAND())</f>
        <v/>
      </c>
      <c r="QQ12" s="19">
        <f>SQRT(Parameters!$B$5)*Factors!QQ4+SQRT(Parameters!$B$6)*Factors!QQ5+SQRT(Parameters!$B$7)*Factors!QQ9+SQRT(Parameters!$B$9)*NORM.S.INV(RAND())</f>
        <v/>
      </c>
      <c r="QR12" s="19">
        <f>SQRT(Parameters!$B$5)*Factors!QR4+SQRT(Parameters!$B$6)*Factors!QR5+SQRT(Parameters!$B$7)*Factors!QR9+SQRT(Parameters!$B$9)*NORM.S.INV(RAND())</f>
        <v/>
      </c>
      <c r="QS12" s="19">
        <f>SQRT(Parameters!$B$5)*Factors!QS4+SQRT(Parameters!$B$6)*Factors!QS5+SQRT(Parameters!$B$7)*Factors!QS9+SQRT(Parameters!$B$9)*NORM.S.INV(RAND())</f>
        <v/>
      </c>
      <c r="QT12" s="19">
        <f>SQRT(Parameters!$B$5)*Factors!QT4+SQRT(Parameters!$B$6)*Factors!QT5+SQRT(Parameters!$B$7)*Factors!QT9+SQRT(Parameters!$B$9)*NORM.S.INV(RAND())</f>
        <v/>
      </c>
      <c r="QU12" s="19">
        <f>SQRT(Parameters!$B$5)*Factors!QU4+SQRT(Parameters!$B$6)*Factors!QU5+SQRT(Parameters!$B$7)*Factors!QU9+SQRT(Parameters!$B$9)*NORM.S.INV(RAND())</f>
        <v/>
      </c>
      <c r="QV12" s="19">
        <f>SQRT(Parameters!$B$5)*Factors!QV4+SQRT(Parameters!$B$6)*Factors!QV5+SQRT(Parameters!$B$7)*Factors!QV9+SQRT(Parameters!$B$9)*NORM.S.INV(RAND())</f>
        <v/>
      </c>
      <c r="QW12" s="19">
        <f>SQRT(Parameters!$B$5)*Factors!QW4+SQRT(Parameters!$B$6)*Factors!QW5+SQRT(Parameters!$B$7)*Factors!QW9+SQRT(Parameters!$B$9)*NORM.S.INV(RAND())</f>
        <v/>
      </c>
      <c r="QX12" s="19">
        <f>SQRT(Parameters!$B$5)*Factors!QX4+SQRT(Parameters!$B$6)*Factors!QX5+SQRT(Parameters!$B$7)*Factors!QX9+SQRT(Parameters!$B$9)*NORM.S.INV(RAND())</f>
        <v/>
      </c>
      <c r="QY12" s="19">
        <f>SQRT(Parameters!$B$5)*Factors!QY4+SQRT(Parameters!$B$6)*Factors!QY5+SQRT(Parameters!$B$7)*Factors!QY9+SQRT(Parameters!$B$9)*NORM.S.INV(RAND())</f>
        <v/>
      </c>
      <c r="QZ12" s="19">
        <f>SQRT(Parameters!$B$5)*Factors!QZ4+SQRT(Parameters!$B$6)*Factors!QZ5+SQRT(Parameters!$B$7)*Factors!QZ9+SQRT(Parameters!$B$9)*NORM.S.INV(RAND())</f>
        <v/>
      </c>
      <c r="RA12" s="19">
        <f>SQRT(Parameters!$B$5)*Factors!RA4+SQRT(Parameters!$B$6)*Factors!RA5+SQRT(Parameters!$B$7)*Factors!RA9+SQRT(Parameters!$B$9)*NORM.S.INV(RAND())</f>
        <v/>
      </c>
      <c r="RB12" s="19">
        <f>SQRT(Parameters!$B$5)*Factors!RB4+SQRT(Parameters!$B$6)*Factors!RB5+SQRT(Parameters!$B$7)*Factors!RB9+SQRT(Parameters!$B$9)*NORM.S.INV(RAND())</f>
        <v/>
      </c>
      <c r="RC12" s="19">
        <f>SQRT(Parameters!$B$5)*Factors!RC4+SQRT(Parameters!$B$6)*Factors!RC5+SQRT(Parameters!$B$7)*Factors!RC9+SQRT(Parameters!$B$9)*NORM.S.INV(RAND())</f>
        <v/>
      </c>
      <c r="RD12" s="19">
        <f>SQRT(Parameters!$B$5)*Factors!RD4+SQRT(Parameters!$B$6)*Factors!RD5+SQRT(Parameters!$B$7)*Factors!RD9+SQRT(Parameters!$B$9)*NORM.S.INV(RAND())</f>
        <v/>
      </c>
      <c r="RE12" s="19">
        <f>SQRT(Parameters!$B$5)*Factors!RE4+SQRT(Parameters!$B$6)*Factors!RE5+SQRT(Parameters!$B$7)*Factors!RE9+SQRT(Parameters!$B$9)*NORM.S.INV(RAND())</f>
        <v/>
      </c>
      <c r="RF12" s="19">
        <f>SQRT(Parameters!$B$5)*Factors!RF4+SQRT(Parameters!$B$6)*Factors!RF5+SQRT(Parameters!$B$7)*Factors!RF9+SQRT(Parameters!$B$9)*NORM.S.INV(RAND())</f>
        <v/>
      </c>
      <c r="RG12" s="19">
        <f>SQRT(Parameters!$B$5)*Factors!RG4+SQRT(Parameters!$B$6)*Factors!RG5+SQRT(Parameters!$B$7)*Factors!RG9+SQRT(Parameters!$B$9)*NORM.S.INV(RAND())</f>
        <v/>
      </c>
      <c r="RH12" s="19">
        <f>SQRT(Parameters!$B$5)*Factors!RH4+SQRT(Parameters!$B$6)*Factors!RH5+SQRT(Parameters!$B$7)*Factors!RH9+SQRT(Parameters!$B$9)*NORM.S.INV(RAND())</f>
        <v/>
      </c>
      <c r="RI12" s="19">
        <f>SQRT(Parameters!$B$5)*Factors!RI4+SQRT(Parameters!$B$6)*Factors!RI5+SQRT(Parameters!$B$7)*Factors!RI9+SQRT(Parameters!$B$9)*NORM.S.INV(RAND())</f>
        <v/>
      </c>
      <c r="RJ12" s="19">
        <f>SQRT(Parameters!$B$5)*Factors!RJ4+SQRT(Parameters!$B$6)*Factors!RJ5+SQRT(Parameters!$B$7)*Factors!RJ9+SQRT(Parameters!$B$9)*NORM.S.INV(RAND())</f>
        <v/>
      </c>
      <c r="RK12" s="19">
        <f>SQRT(Parameters!$B$5)*Factors!RK4+SQRT(Parameters!$B$6)*Factors!RK5+SQRT(Parameters!$B$7)*Factors!RK9+SQRT(Parameters!$B$9)*NORM.S.INV(RAND())</f>
        <v/>
      </c>
      <c r="RL12" s="19">
        <f>SQRT(Parameters!$B$5)*Factors!RL4+SQRT(Parameters!$B$6)*Factors!RL5+SQRT(Parameters!$B$7)*Factors!RL9+SQRT(Parameters!$B$9)*NORM.S.INV(RAND())</f>
        <v/>
      </c>
      <c r="RM12" s="19">
        <f>SQRT(Parameters!$B$5)*Factors!RM4+SQRT(Parameters!$B$6)*Factors!RM5+SQRT(Parameters!$B$7)*Factors!RM9+SQRT(Parameters!$B$9)*NORM.S.INV(RAND())</f>
        <v/>
      </c>
      <c r="RN12" s="19">
        <f>SQRT(Parameters!$B$5)*Factors!RN4+SQRT(Parameters!$B$6)*Factors!RN5+SQRT(Parameters!$B$7)*Factors!RN9+SQRT(Parameters!$B$9)*NORM.S.INV(RAND())</f>
        <v/>
      </c>
      <c r="RO12" s="19">
        <f>SQRT(Parameters!$B$5)*Factors!RO4+SQRT(Parameters!$B$6)*Factors!RO5+SQRT(Parameters!$B$7)*Factors!RO9+SQRT(Parameters!$B$9)*NORM.S.INV(RAND())</f>
        <v/>
      </c>
      <c r="RP12" s="19">
        <f>SQRT(Parameters!$B$5)*Factors!RP4+SQRT(Parameters!$B$6)*Factors!RP5+SQRT(Parameters!$B$7)*Factors!RP9+SQRT(Parameters!$B$9)*NORM.S.INV(RAND())</f>
        <v/>
      </c>
      <c r="RQ12" s="19">
        <f>SQRT(Parameters!$B$5)*Factors!RQ4+SQRT(Parameters!$B$6)*Factors!RQ5+SQRT(Parameters!$B$7)*Factors!RQ9+SQRT(Parameters!$B$9)*NORM.S.INV(RAND())</f>
        <v/>
      </c>
      <c r="RR12" s="19">
        <f>SQRT(Parameters!$B$5)*Factors!RR4+SQRT(Parameters!$B$6)*Factors!RR5+SQRT(Parameters!$B$7)*Factors!RR9+SQRT(Parameters!$B$9)*NORM.S.INV(RAND())</f>
        <v/>
      </c>
      <c r="RS12" s="19">
        <f>SQRT(Parameters!$B$5)*Factors!RS4+SQRT(Parameters!$B$6)*Factors!RS5+SQRT(Parameters!$B$7)*Factors!RS9+SQRT(Parameters!$B$9)*NORM.S.INV(RAND())</f>
        <v/>
      </c>
      <c r="RT12" s="19">
        <f>SQRT(Parameters!$B$5)*Factors!RT4+SQRT(Parameters!$B$6)*Factors!RT5+SQRT(Parameters!$B$7)*Factors!RT9+SQRT(Parameters!$B$9)*NORM.S.INV(RAND())</f>
        <v/>
      </c>
      <c r="RU12" s="19">
        <f>SQRT(Parameters!$B$5)*Factors!RU4+SQRT(Parameters!$B$6)*Factors!RU5+SQRT(Parameters!$B$7)*Factors!RU9+SQRT(Parameters!$B$9)*NORM.S.INV(RAND())</f>
        <v/>
      </c>
      <c r="RV12" s="19">
        <f>SQRT(Parameters!$B$5)*Factors!RV4+SQRT(Parameters!$B$6)*Factors!RV5+SQRT(Parameters!$B$7)*Factors!RV9+SQRT(Parameters!$B$9)*NORM.S.INV(RAND())</f>
        <v/>
      </c>
      <c r="RW12" s="19">
        <f>SQRT(Parameters!$B$5)*Factors!RW4+SQRT(Parameters!$B$6)*Factors!RW5+SQRT(Parameters!$B$7)*Factors!RW9+SQRT(Parameters!$B$9)*NORM.S.INV(RAND())</f>
        <v/>
      </c>
      <c r="RX12" s="19">
        <f>SQRT(Parameters!$B$5)*Factors!RX4+SQRT(Parameters!$B$6)*Factors!RX5+SQRT(Parameters!$B$7)*Factors!RX9+SQRT(Parameters!$B$9)*NORM.S.INV(RAND())</f>
        <v/>
      </c>
      <c r="RY12" s="19">
        <f>SQRT(Parameters!$B$5)*Factors!RY4+SQRT(Parameters!$B$6)*Factors!RY5+SQRT(Parameters!$B$7)*Factors!RY9+SQRT(Parameters!$B$9)*NORM.S.INV(RAND())</f>
        <v/>
      </c>
      <c r="RZ12" s="19">
        <f>SQRT(Parameters!$B$5)*Factors!RZ4+SQRT(Parameters!$B$6)*Factors!RZ5+SQRT(Parameters!$B$7)*Factors!RZ9+SQRT(Parameters!$B$9)*NORM.S.INV(RAND())</f>
        <v/>
      </c>
      <c r="SA12" s="19">
        <f>SQRT(Parameters!$B$5)*Factors!SA4+SQRT(Parameters!$B$6)*Factors!SA5+SQRT(Parameters!$B$7)*Factors!SA9+SQRT(Parameters!$B$9)*NORM.S.INV(RAND())</f>
        <v/>
      </c>
      <c r="SB12" s="19">
        <f>SQRT(Parameters!$B$5)*Factors!SB4+SQRT(Parameters!$B$6)*Factors!SB5+SQRT(Parameters!$B$7)*Factors!SB9+SQRT(Parameters!$B$9)*NORM.S.INV(RAND())</f>
        <v/>
      </c>
      <c r="SC12" s="19">
        <f>SQRT(Parameters!$B$5)*Factors!SC4+SQRT(Parameters!$B$6)*Factors!SC5+SQRT(Parameters!$B$7)*Factors!SC9+SQRT(Parameters!$B$9)*NORM.S.INV(RAND())</f>
        <v/>
      </c>
      <c r="SD12" s="19">
        <f>SQRT(Parameters!$B$5)*Factors!SD4+SQRT(Parameters!$B$6)*Factors!SD5+SQRT(Parameters!$B$7)*Factors!SD9+SQRT(Parameters!$B$9)*NORM.S.INV(RAND())</f>
        <v/>
      </c>
      <c r="SE12" s="19">
        <f>SQRT(Parameters!$B$5)*Factors!SE4+SQRT(Parameters!$B$6)*Factors!SE5+SQRT(Parameters!$B$7)*Factors!SE9+SQRT(Parameters!$B$9)*NORM.S.INV(RAND())</f>
        <v/>
      </c>
      <c r="SF12" s="19">
        <f>SQRT(Parameters!$B$5)*Factors!SF4+SQRT(Parameters!$B$6)*Factors!SF5+SQRT(Parameters!$B$7)*Factors!SF9+SQRT(Parameters!$B$9)*NORM.S.INV(RAND())</f>
        <v/>
      </c>
      <c r="SG12" s="19">
        <f>SQRT(Parameters!$B$5)*Factors!SG4+SQRT(Parameters!$B$6)*Factors!SG5+SQRT(Parameters!$B$7)*Factors!SG9+SQRT(Parameters!$B$9)*NORM.S.INV(RAND())</f>
        <v/>
      </c>
    </row>
    <row r="13">
      <c r="A13" s="17" t="inlineStr">
        <is>
          <t>OBL-012</t>
        </is>
      </c>
      <c r="B13" s="19">
        <f>SQRT(Parameters!$B$5)*Factors!B4+SQRT(Parameters!$B$6)*Factors!B7+SQRT(Parameters!$B$7)*Factors!B9+SQRT(Parameters!$B$9)*NORM.S.INV(RAND())</f>
        <v/>
      </c>
      <c r="C13" s="19">
        <f>SQRT(Parameters!$B$5)*Factors!C4+SQRT(Parameters!$B$6)*Factors!C7+SQRT(Parameters!$B$7)*Factors!C9+SQRT(Parameters!$B$9)*NORM.S.INV(RAND())</f>
        <v/>
      </c>
      <c r="D13" s="19">
        <f>SQRT(Parameters!$B$5)*Factors!D4+SQRT(Parameters!$B$6)*Factors!D7+SQRT(Parameters!$B$7)*Factors!D9+SQRT(Parameters!$B$9)*NORM.S.INV(RAND())</f>
        <v/>
      </c>
      <c r="E13" s="19">
        <f>SQRT(Parameters!$B$5)*Factors!E4+SQRT(Parameters!$B$6)*Factors!E7+SQRT(Parameters!$B$7)*Factors!E9+SQRT(Parameters!$B$9)*NORM.S.INV(RAND())</f>
        <v/>
      </c>
      <c r="F13" s="19">
        <f>SQRT(Parameters!$B$5)*Factors!F4+SQRT(Parameters!$B$6)*Factors!F7+SQRT(Parameters!$B$7)*Factors!F9+SQRT(Parameters!$B$9)*NORM.S.INV(RAND())</f>
        <v/>
      </c>
      <c r="G13" s="19">
        <f>SQRT(Parameters!$B$5)*Factors!G4+SQRT(Parameters!$B$6)*Factors!G7+SQRT(Parameters!$B$7)*Factors!G9+SQRT(Parameters!$B$9)*NORM.S.INV(RAND())</f>
        <v/>
      </c>
      <c r="H13" s="19">
        <f>SQRT(Parameters!$B$5)*Factors!H4+SQRT(Parameters!$B$6)*Factors!H7+SQRT(Parameters!$B$7)*Factors!H9+SQRT(Parameters!$B$9)*NORM.S.INV(RAND())</f>
        <v/>
      </c>
      <c r="I13" s="19">
        <f>SQRT(Parameters!$B$5)*Factors!I4+SQRT(Parameters!$B$6)*Factors!I7+SQRT(Parameters!$B$7)*Factors!I9+SQRT(Parameters!$B$9)*NORM.S.INV(RAND())</f>
        <v/>
      </c>
      <c r="J13" s="19">
        <f>SQRT(Parameters!$B$5)*Factors!J4+SQRT(Parameters!$B$6)*Factors!J7+SQRT(Parameters!$B$7)*Factors!J9+SQRT(Parameters!$B$9)*NORM.S.INV(RAND())</f>
        <v/>
      </c>
      <c r="K13" s="19">
        <f>SQRT(Parameters!$B$5)*Factors!K4+SQRT(Parameters!$B$6)*Factors!K7+SQRT(Parameters!$B$7)*Factors!K9+SQRT(Parameters!$B$9)*NORM.S.INV(RAND())</f>
        <v/>
      </c>
      <c r="L13" s="19">
        <f>SQRT(Parameters!$B$5)*Factors!L4+SQRT(Parameters!$B$6)*Factors!L7+SQRT(Parameters!$B$7)*Factors!L9+SQRT(Parameters!$B$9)*NORM.S.INV(RAND())</f>
        <v/>
      </c>
      <c r="M13" s="19">
        <f>SQRT(Parameters!$B$5)*Factors!M4+SQRT(Parameters!$B$6)*Factors!M7+SQRT(Parameters!$B$7)*Factors!M9+SQRT(Parameters!$B$9)*NORM.S.INV(RAND())</f>
        <v/>
      </c>
      <c r="N13" s="19">
        <f>SQRT(Parameters!$B$5)*Factors!N4+SQRT(Parameters!$B$6)*Factors!N7+SQRT(Parameters!$B$7)*Factors!N9+SQRT(Parameters!$B$9)*NORM.S.INV(RAND())</f>
        <v/>
      </c>
      <c r="O13" s="19">
        <f>SQRT(Parameters!$B$5)*Factors!O4+SQRT(Parameters!$B$6)*Factors!O7+SQRT(Parameters!$B$7)*Factors!O9+SQRT(Parameters!$B$9)*NORM.S.INV(RAND())</f>
        <v/>
      </c>
      <c r="P13" s="19">
        <f>SQRT(Parameters!$B$5)*Factors!P4+SQRT(Parameters!$B$6)*Factors!P7+SQRT(Parameters!$B$7)*Factors!P9+SQRT(Parameters!$B$9)*NORM.S.INV(RAND())</f>
        <v/>
      </c>
      <c r="Q13" s="19">
        <f>SQRT(Parameters!$B$5)*Factors!Q4+SQRT(Parameters!$B$6)*Factors!Q7+SQRT(Parameters!$B$7)*Factors!Q9+SQRT(Parameters!$B$9)*NORM.S.INV(RAND())</f>
        <v/>
      </c>
      <c r="R13" s="19">
        <f>SQRT(Parameters!$B$5)*Factors!R4+SQRT(Parameters!$B$6)*Factors!R7+SQRT(Parameters!$B$7)*Factors!R9+SQRT(Parameters!$B$9)*NORM.S.INV(RAND())</f>
        <v/>
      </c>
      <c r="S13" s="19">
        <f>SQRT(Parameters!$B$5)*Factors!S4+SQRT(Parameters!$B$6)*Factors!S7+SQRT(Parameters!$B$7)*Factors!S9+SQRT(Parameters!$B$9)*NORM.S.INV(RAND())</f>
        <v/>
      </c>
      <c r="T13" s="19">
        <f>SQRT(Parameters!$B$5)*Factors!T4+SQRT(Parameters!$B$6)*Factors!T7+SQRT(Parameters!$B$7)*Factors!T9+SQRT(Parameters!$B$9)*NORM.S.INV(RAND())</f>
        <v/>
      </c>
      <c r="U13" s="19">
        <f>SQRT(Parameters!$B$5)*Factors!U4+SQRT(Parameters!$B$6)*Factors!U7+SQRT(Parameters!$B$7)*Factors!U9+SQRT(Parameters!$B$9)*NORM.S.INV(RAND())</f>
        <v/>
      </c>
      <c r="V13" s="19">
        <f>SQRT(Parameters!$B$5)*Factors!V4+SQRT(Parameters!$B$6)*Factors!V7+SQRT(Parameters!$B$7)*Factors!V9+SQRT(Parameters!$B$9)*NORM.S.INV(RAND())</f>
        <v/>
      </c>
      <c r="W13" s="19">
        <f>SQRT(Parameters!$B$5)*Factors!W4+SQRT(Parameters!$B$6)*Factors!W7+SQRT(Parameters!$B$7)*Factors!W9+SQRT(Parameters!$B$9)*NORM.S.INV(RAND())</f>
        <v/>
      </c>
      <c r="X13" s="19">
        <f>SQRT(Parameters!$B$5)*Factors!X4+SQRT(Parameters!$B$6)*Factors!X7+SQRT(Parameters!$B$7)*Factors!X9+SQRT(Parameters!$B$9)*NORM.S.INV(RAND())</f>
        <v/>
      </c>
      <c r="Y13" s="19">
        <f>SQRT(Parameters!$B$5)*Factors!Y4+SQRT(Parameters!$B$6)*Factors!Y7+SQRT(Parameters!$B$7)*Factors!Y9+SQRT(Parameters!$B$9)*NORM.S.INV(RAND())</f>
        <v/>
      </c>
      <c r="Z13" s="19">
        <f>SQRT(Parameters!$B$5)*Factors!Z4+SQRT(Parameters!$B$6)*Factors!Z7+SQRT(Parameters!$B$7)*Factors!Z9+SQRT(Parameters!$B$9)*NORM.S.INV(RAND())</f>
        <v/>
      </c>
      <c r="AA13" s="19">
        <f>SQRT(Parameters!$B$5)*Factors!AA4+SQRT(Parameters!$B$6)*Factors!AA7+SQRT(Parameters!$B$7)*Factors!AA9+SQRT(Parameters!$B$9)*NORM.S.INV(RAND())</f>
        <v/>
      </c>
      <c r="AB13" s="19">
        <f>SQRT(Parameters!$B$5)*Factors!AB4+SQRT(Parameters!$B$6)*Factors!AB7+SQRT(Parameters!$B$7)*Factors!AB9+SQRT(Parameters!$B$9)*NORM.S.INV(RAND())</f>
        <v/>
      </c>
      <c r="AC13" s="19">
        <f>SQRT(Parameters!$B$5)*Factors!AC4+SQRT(Parameters!$B$6)*Factors!AC7+SQRT(Parameters!$B$7)*Factors!AC9+SQRT(Parameters!$B$9)*NORM.S.INV(RAND())</f>
        <v/>
      </c>
      <c r="AD13" s="19">
        <f>SQRT(Parameters!$B$5)*Factors!AD4+SQRT(Parameters!$B$6)*Factors!AD7+SQRT(Parameters!$B$7)*Factors!AD9+SQRT(Parameters!$B$9)*NORM.S.INV(RAND())</f>
        <v/>
      </c>
      <c r="AE13" s="19">
        <f>SQRT(Parameters!$B$5)*Factors!AE4+SQRT(Parameters!$B$6)*Factors!AE7+SQRT(Parameters!$B$7)*Factors!AE9+SQRT(Parameters!$B$9)*NORM.S.INV(RAND())</f>
        <v/>
      </c>
      <c r="AF13" s="19">
        <f>SQRT(Parameters!$B$5)*Factors!AF4+SQRT(Parameters!$B$6)*Factors!AF7+SQRT(Parameters!$B$7)*Factors!AF9+SQRT(Parameters!$B$9)*NORM.S.INV(RAND())</f>
        <v/>
      </c>
      <c r="AG13" s="19">
        <f>SQRT(Parameters!$B$5)*Factors!AG4+SQRT(Parameters!$B$6)*Factors!AG7+SQRT(Parameters!$B$7)*Factors!AG9+SQRT(Parameters!$B$9)*NORM.S.INV(RAND())</f>
        <v/>
      </c>
      <c r="AH13" s="19">
        <f>SQRT(Parameters!$B$5)*Factors!AH4+SQRT(Parameters!$B$6)*Factors!AH7+SQRT(Parameters!$B$7)*Factors!AH9+SQRT(Parameters!$B$9)*NORM.S.INV(RAND())</f>
        <v/>
      </c>
      <c r="AI13" s="19">
        <f>SQRT(Parameters!$B$5)*Factors!AI4+SQRT(Parameters!$B$6)*Factors!AI7+SQRT(Parameters!$B$7)*Factors!AI9+SQRT(Parameters!$B$9)*NORM.S.INV(RAND())</f>
        <v/>
      </c>
      <c r="AJ13" s="19">
        <f>SQRT(Parameters!$B$5)*Factors!AJ4+SQRT(Parameters!$B$6)*Factors!AJ7+SQRT(Parameters!$B$7)*Factors!AJ9+SQRT(Parameters!$B$9)*NORM.S.INV(RAND())</f>
        <v/>
      </c>
      <c r="AK13" s="19">
        <f>SQRT(Parameters!$B$5)*Factors!AK4+SQRT(Parameters!$B$6)*Factors!AK7+SQRT(Parameters!$B$7)*Factors!AK9+SQRT(Parameters!$B$9)*NORM.S.INV(RAND())</f>
        <v/>
      </c>
      <c r="AL13" s="19">
        <f>SQRT(Parameters!$B$5)*Factors!AL4+SQRT(Parameters!$B$6)*Factors!AL7+SQRT(Parameters!$B$7)*Factors!AL9+SQRT(Parameters!$B$9)*NORM.S.INV(RAND())</f>
        <v/>
      </c>
      <c r="AM13" s="19">
        <f>SQRT(Parameters!$B$5)*Factors!AM4+SQRT(Parameters!$B$6)*Factors!AM7+SQRT(Parameters!$B$7)*Factors!AM9+SQRT(Parameters!$B$9)*NORM.S.INV(RAND())</f>
        <v/>
      </c>
      <c r="AN13" s="19">
        <f>SQRT(Parameters!$B$5)*Factors!AN4+SQRT(Parameters!$B$6)*Factors!AN7+SQRT(Parameters!$B$7)*Factors!AN9+SQRT(Parameters!$B$9)*NORM.S.INV(RAND())</f>
        <v/>
      </c>
      <c r="AO13" s="19">
        <f>SQRT(Parameters!$B$5)*Factors!AO4+SQRT(Parameters!$B$6)*Factors!AO7+SQRT(Parameters!$B$7)*Factors!AO9+SQRT(Parameters!$B$9)*NORM.S.INV(RAND())</f>
        <v/>
      </c>
      <c r="AP13" s="19">
        <f>SQRT(Parameters!$B$5)*Factors!AP4+SQRT(Parameters!$B$6)*Factors!AP7+SQRT(Parameters!$B$7)*Factors!AP9+SQRT(Parameters!$B$9)*NORM.S.INV(RAND())</f>
        <v/>
      </c>
      <c r="AQ13" s="19">
        <f>SQRT(Parameters!$B$5)*Factors!AQ4+SQRT(Parameters!$B$6)*Factors!AQ7+SQRT(Parameters!$B$7)*Factors!AQ9+SQRT(Parameters!$B$9)*NORM.S.INV(RAND())</f>
        <v/>
      </c>
      <c r="AR13" s="19">
        <f>SQRT(Parameters!$B$5)*Factors!AR4+SQRT(Parameters!$B$6)*Factors!AR7+SQRT(Parameters!$B$7)*Factors!AR9+SQRT(Parameters!$B$9)*NORM.S.INV(RAND())</f>
        <v/>
      </c>
      <c r="AS13" s="19">
        <f>SQRT(Parameters!$B$5)*Factors!AS4+SQRT(Parameters!$B$6)*Factors!AS7+SQRT(Parameters!$B$7)*Factors!AS9+SQRT(Parameters!$B$9)*NORM.S.INV(RAND())</f>
        <v/>
      </c>
      <c r="AT13" s="19">
        <f>SQRT(Parameters!$B$5)*Factors!AT4+SQRT(Parameters!$B$6)*Factors!AT7+SQRT(Parameters!$B$7)*Factors!AT9+SQRT(Parameters!$B$9)*NORM.S.INV(RAND())</f>
        <v/>
      </c>
      <c r="AU13" s="19">
        <f>SQRT(Parameters!$B$5)*Factors!AU4+SQRT(Parameters!$B$6)*Factors!AU7+SQRT(Parameters!$B$7)*Factors!AU9+SQRT(Parameters!$B$9)*NORM.S.INV(RAND())</f>
        <v/>
      </c>
      <c r="AV13" s="19">
        <f>SQRT(Parameters!$B$5)*Factors!AV4+SQRT(Parameters!$B$6)*Factors!AV7+SQRT(Parameters!$B$7)*Factors!AV9+SQRT(Parameters!$B$9)*NORM.S.INV(RAND())</f>
        <v/>
      </c>
      <c r="AW13" s="19">
        <f>SQRT(Parameters!$B$5)*Factors!AW4+SQRT(Parameters!$B$6)*Factors!AW7+SQRT(Parameters!$B$7)*Factors!AW9+SQRT(Parameters!$B$9)*NORM.S.INV(RAND())</f>
        <v/>
      </c>
      <c r="AX13" s="19">
        <f>SQRT(Parameters!$B$5)*Factors!AX4+SQRT(Parameters!$B$6)*Factors!AX7+SQRT(Parameters!$B$7)*Factors!AX9+SQRT(Parameters!$B$9)*NORM.S.INV(RAND())</f>
        <v/>
      </c>
      <c r="AY13" s="19">
        <f>SQRT(Parameters!$B$5)*Factors!AY4+SQRT(Parameters!$B$6)*Factors!AY7+SQRT(Parameters!$B$7)*Factors!AY9+SQRT(Parameters!$B$9)*NORM.S.INV(RAND())</f>
        <v/>
      </c>
      <c r="AZ13" s="19">
        <f>SQRT(Parameters!$B$5)*Factors!AZ4+SQRT(Parameters!$B$6)*Factors!AZ7+SQRT(Parameters!$B$7)*Factors!AZ9+SQRT(Parameters!$B$9)*NORM.S.INV(RAND())</f>
        <v/>
      </c>
      <c r="BA13" s="19">
        <f>SQRT(Parameters!$B$5)*Factors!BA4+SQRT(Parameters!$B$6)*Factors!BA7+SQRT(Parameters!$B$7)*Factors!BA9+SQRT(Parameters!$B$9)*NORM.S.INV(RAND())</f>
        <v/>
      </c>
      <c r="BB13" s="19">
        <f>SQRT(Parameters!$B$5)*Factors!BB4+SQRT(Parameters!$B$6)*Factors!BB7+SQRT(Parameters!$B$7)*Factors!BB9+SQRT(Parameters!$B$9)*NORM.S.INV(RAND())</f>
        <v/>
      </c>
      <c r="BC13" s="19">
        <f>SQRT(Parameters!$B$5)*Factors!BC4+SQRT(Parameters!$B$6)*Factors!BC7+SQRT(Parameters!$B$7)*Factors!BC9+SQRT(Parameters!$B$9)*NORM.S.INV(RAND())</f>
        <v/>
      </c>
      <c r="BD13" s="19">
        <f>SQRT(Parameters!$B$5)*Factors!BD4+SQRT(Parameters!$B$6)*Factors!BD7+SQRT(Parameters!$B$7)*Factors!BD9+SQRT(Parameters!$B$9)*NORM.S.INV(RAND())</f>
        <v/>
      </c>
      <c r="BE13" s="19">
        <f>SQRT(Parameters!$B$5)*Factors!BE4+SQRT(Parameters!$B$6)*Factors!BE7+SQRT(Parameters!$B$7)*Factors!BE9+SQRT(Parameters!$B$9)*NORM.S.INV(RAND())</f>
        <v/>
      </c>
      <c r="BF13" s="19">
        <f>SQRT(Parameters!$B$5)*Factors!BF4+SQRT(Parameters!$B$6)*Factors!BF7+SQRT(Parameters!$B$7)*Factors!BF9+SQRT(Parameters!$B$9)*NORM.S.INV(RAND())</f>
        <v/>
      </c>
      <c r="BG13" s="19">
        <f>SQRT(Parameters!$B$5)*Factors!BG4+SQRT(Parameters!$B$6)*Factors!BG7+SQRT(Parameters!$B$7)*Factors!BG9+SQRT(Parameters!$B$9)*NORM.S.INV(RAND())</f>
        <v/>
      </c>
      <c r="BH13" s="19">
        <f>SQRT(Parameters!$B$5)*Factors!BH4+SQRT(Parameters!$B$6)*Factors!BH7+SQRT(Parameters!$B$7)*Factors!BH9+SQRT(Parameters!$B$9)*NORM.S.INV(RAND())</f>
        <v/>
      </c>
      <c r="BI13" s="19">
        <f>SQRT(Parameters!$B$5)*Factors!BI4+SQRT(Parameters!$B$6)*Factors!BI7+SQRT(Parameters!$B$7)*Factors!BI9+SQRT(Parameters!$B$9)*NORM.S.INV(RAND())</f>
        <v/>
      </c>
      <c r="BJ13" s="19">
        <f>SQRT(Parameters!$B$5)*Factors!BJ4+SQRT(Parameters!$B$6)*Factors!BJ7+SQRT(Parameters!$B$7)*Factors!BJ9+SQRT(Parameters!$B$9)*NORM.S.INV(RAND())</f>
        <v/>
      </c>
      <c r="BK13" s="19">
        <f>SQRT(Parameters!$B$5)*Factors!BK4+SQRT(Parameters!$B$6)*Factors!BK7+SQRT(Parameters!$B$7)*Factors!BK9+SQRT(Parameters!$B$9)*NORM.S.INV(RAND())</f>
        <v/>
      </c>
      <c r="BL13" s="19">
        <f>SQRT(Parameters!$B$5)*Factors!BL4+SQRT(Parameters!$B$6)*Factors!BL7+SQRT(Parameters!$B$7)*Factors!BL9+SQRT(Parameters!$B$9)*NORM.S.INV(RAND())</f>
        <v/>
      </c>
      <c r="BM13" s="19">
        <f>SQRT(Parameters!$B$5)*Factors!BM4+SQRT(Parameters!$B$6)*Factors!BM7+SQRT(Parameters!$B$7)*Factors!BM9+SQRT(Parameters!$B$9)*NORM.S.INV(RAND())</f>
        <v/>
      </c>
      <c r="BN13" s="19">
        <f>SQRT(Parameters!$B$5)*Factors!BN4+SQRT(Parameters!$B$6)*Factors!BN7+SQRT(Parameters!$B$7)*Factors!BN9+SQRT(Parameters!$B$9)*NORM.S.INV(RAND())</f>
        <v/>
      </c>
      <c r="BO13" s="19">
        <f>SQRT(Parameters!$B$5)*Factors!BO4+SQRT(Parameters!$B$6)*Factors!BO7+SQRT(Parameters!$B$7)*Factors!BO9+SQRT(Parameters!$B$9)*NORM.S.INV(RAND())</f>
        <v/>
      </c>
      <c r="BP13" s="19">
        <f>SQRT(Parameters!$B$5)*Factors!BP4+SQRT(Parameters!$B$6)*Factors!BP7+SQRT(Parameters!$B$7)*Factors!BP9+SQRT(Parameters!$B$9)*NORM.S.INV(RAND())</f>
        <v/>
      </c>
      <c r="BQ13" s="19">
        <f>SQRT(Parameters!$B$5)*Factors!BQ4+SQRT(Parameters!$B$6)*Factors!BQ7+SQRT(Parameters!$B$7)*Factors!BQ9+SQRT(Parameters!$B$9)*NORM.S.INV(RAND())</f>
        <v/>
      </c>
      <c r="BR13" s="19">
        <f>SQRT(Parameters!$B$5)*Factors!BR4+SQRT(Parameters!$B$6)*Factors!BR7+SQRT(Parameters!$B$7)*Factors!BR9+SQRT(Parameters!$B$9)*NORM.S.INV(RAND())</f>
        <v/>
      </c>
      <c r="BS13" s="19">
        <f>SQRT(Parameters!$B$5)*Factors!BS4+SQRT(Parameters!$B$6)*Factors!BS7+SQRT(Parameters!$B$7)*Factors!BS9+SQRT(Parameters!$B$9)*NORM.S.INV(RAND())</f>
        <v/>
      </c>
      <c r="BT13" s="19">
        <f>SQRT(Parameters!$B$5)*Factors!BT4+SQRT(Parameters!$B$6)*Factors!BT7+SQRT(Parameters!$B$7)*Factors!BT9+SQRT(Parameters!$B$9)*NORM.S.INV(RAND())</f>
        <v/>
      </c>
      <c r="BU13" s="19">
        <f>SQRT(Parameters!$B$5)*Factors!BU4+SQRT(Parameters!$B$6)*Factors!BU7+SQRT(Parameters!$B$7)*Factors!BU9+SQRT(Parameters!$B$9)*NORM.S.INV(RAND())</f>
        <v/>
      </c>
      <c r="BV13" s="19">
        <f>SQRT(Parameters!$B$5)*Factors!BV4+SQRT(Parameters!$B$6)*Factors!BV7+SQRT(Parameters!$B$7)*Factors!BV9+SQRT(Parameters!$B$9)*NORM.S.INV(RAND())</f>
        <v/>
      </c>
      <c r="BW13" s="19">
        <f>SQRT(Parameters!$B$5)*Factors!BW4+SQRT(Parameters!$B$6)*Factors!BW7+SQRT(Parameters!$B$7)*Factors!BW9+SQRT(Parameters!$B$9)*NORM.S.INV(RAND())</f>
        <v/>
      </c>
      <c r="BX13" s="19">
        <f>SQRT(Parameters!$B$5)*Factors!BX4+SQRT(Parameters!$B$6)*Factors!BX7+SQRT(Parameters!$B$7)*Factors!BX9+SQRT(Parameters!$B$9)*NORM.S.INV(RAND())</f>
        <v/>
      </c>
      <c r="BY13" s="19">
        <f>SQRT(Parameters!$B$5)*Factors!BY4+SQRT(Parameters!$B$6)*Factors!BY7+SQRT(Parameters!$B$7)*Factors!BY9+SQRT(Parameters!$B$9)*NORM.S.INV(RAND())</f>
        <v/>
      </c>
      <c r="BZ13" s="19">
        <f>SQRT(Parameters!$B$5)*Factors!BZ4+SQRT(Parameters!$B$6)*Factors!BZ7+SQRT(Parameters!$B$7)*Factors!BZ9+SQRT(Parameters!$B$9)*NORM.S.INV(RAND())</f>
        <v/>
      </c>
      <c r="CA13" s="19">
        <f>SQRT(Parameters!$B$5)*Factors!CA4+SQRT(Parameters!$B$6)*Factors!CA7+SQRT(Parameters!$B$7)*Factors!CA9+SQRT(Parameters!$B$9)*NORM.S.INV(RAND())</f>
        <v/>
      </c>
      <c r="CB13" s="19">
        <f>SQRT(Parameters!$B$5)*Factors!CB4+SQRT(Parameters!$B$6)*Factors!CB7+SQRT(Parameters!$B$7)*Factors!CB9+SQRT(Parameters!$B$9)*NORM.S.INV(RAND())</f>
        <v/>
      </c>
      <c r="CC13" s="19">
        <f>SQRT(Parameters!$B$5)*Factors!CC4+SQRT(Parameters!$B$6)*Factors!CC7+SQRT(Parameters!$B$7)*Factors!CC9+SQRT(Parameters!$B$9)*NORM.S.INV(RAND())</f>
        <v/>
      </c>
      <c r="CD13" s="19">
        <f>SQRT(Parameters!$B$5)*Factors!CD4+SQRT(Parameters!$B$6)*Factors!CD7+SQRT(Parameters!$B$7)*Factors!CD9+SQRT(Parameters!$B$9)*NORM.S.INV(RAND())</f>
        <v/>
      </c>
      <c r="CE13" s="19">
        <f>SQRT(Parameters!$B$5)*Factors!CE4+SQRT(Parameters!$B$6)*Factors!CE7+SQRT(Parameters!$B$7)*Factors!CE9+SQRT(Parameters!$B$9)*NORM.S.INV(RAND())</f>
        <v/>
      </c>
      <c r="CF13" s="19">
        <f>SQRT(Parameters!$B$5)*Factors!CF4+SQRT(Parameters!$B$6)*Factors!CF7+SQRT(Parameters!$B$7)*Factors!CF9+SQRT(Parameters!$B$9)*NORM.S.INV(RAND())</f>
        <v/>
      </c>
      <c r="CG13" s="19">
        <f>SQRT(Parameters!$B$5)*Factors!CG4+SQRT(Parameters!$B$6)*Factors!CG7+SQRT(Parameters!$B$7)*Factors!CG9+SQRT(Parameters!$B$9)*NORM.S.INV(RAND())</f>
        <v/>
      </c>
      <c r="CH13" s="19">
        <f>SQRT(Parameters!$B$5)*Factors!CH4+SQRT(Parameters!$B$6)*Factors!CH7+SQRT(Parameters!$B$7)*Factors!CH9+SQRT(Parameters!$B$9)*NORM.S.INV(RAND())</f>
        <v/>
      </c>
      <c r="CI13" s="19">
        <f>SQRT(Parameters!$B$5)*Factors!CI4+SQRT(Parameters!$B$6)*Factors!CI7+SQRT(Parameters!$B$7)*Factors!CI9+SQRT(Parameters!$B$9)*NORM.S.INV(RAND())</f>
        <v/>
      </c>
      <c r="CJ13" s="19">
        <f>SQRT(Parameters!$B$5)*Factors!CJ4+SQRT(Parameters!$B$6)*Factors!CJ7+SQRT(Parameters!$B$7)*Factors!CJ9+SQRT(Parameters!$B$9)*NORM.S.INV(RAND())</f>
        <v/>
      </c>
      <c r="CK13" s="19">
        <f>SQRT(Parameters!$B$5)*Factors!CK4+SQRT(Parameters!$B$6)*Factors!CK7+SQRT(Parameters!$B$7)*Factors!CK9+SQRT(Parameters!$B$9)*NORM.S.INV(RAND())</f>
        <v/>
      </c>
      <c r="CL13" s="19">
        <f>SQRT(Parameters!$B$5)*Factors!CL4+SQRT(Parameters!$B$6)*Factors!CL7+SQRT(Parameters!$B$7)*Factors!CL9+SQRT(Parameters!$B$9)*NORM.S.INV(RAND())</f>
        <v/>
      </c>
      <c r="CM13" s="19">
        <f>SQRT(Parameters!$B$5)*Factors!CM4+SQRT(Parameters!$B$6)*Factors!CM7+SQRT(Parameters!$B$7)*Factors!CM9+SQRT(Parameters!$B$9)*NORM.S.INV(RAND())</f>
        <v/>
      </c>
      <c r="CN13" s="19">
        <f>SQRT(Parameters!$B$5)*Factors!CN4+SQRT(Parameters!$B$6)*Factors!CN7+SQRT(Parameters!$B$7)*Factors!CN9+SQRT(Parameters!$B$9)*NORM.S.INV(RAND())</f>
        <v/>
      </c>
      <c r="CO13" s="19">
        <f>SQRT(Parameters!$B$5)*Factors!CO4+SQRT(Parameters!$B$6)*Factors!CO7+SQRT(Parameters!$B$7)*Factors!CO9+SQRT(Parameters!$B$9)*NORM.S.INV(RAND())</f>
        <v/>
      </c>
      <c r="CP13" s="19">
        <f>SQRT(Parameters!$B$5)*Factors!CP4+SQRT(Parameters!$B$6)*Factors!CP7+SQRT(Parameters!$B$7)*Factors!CP9+SQRT(Parameters!$B$9)*NORM.S.INV(RAND())</f>
        <v/>
      </c>
      <c r="CQ13" s="19">
        <f>SQRT(Parameters!$B$5)*Factors!CQ4+SQRT(Parameters!$B$6)*Factors!CQ7+SQRT(Parameters!$B$7)*Factors!CQ9+SQRT(Parameters!$B$9)*NORM.S.INV(RAND())</f>
        <v/>
      </c>
      <c r="CR13" s="19">
        <f>SQRT(Parameters!$B$5)*Factors!CR4+SQRT(Parameters!$B$6)*Factors!CR7+SQRT(Parameters!$B$7)*Factors!CR9+SQRT(Parameters!$B$9)*NORM.S.INV(RAND())</f>
        <v/>
      </c>
      <c r="CS13" s="19">
        <f>SQRT(Parameters!$B$5)*Factors!CS4+SQRT(Parameters!$B$6)*Factors!CS7+SQRT(Parameters!$B$7)*Factors!CS9+SQRT(Parameters!$B$9)*NORM.S.INV(RAND())</f>
        <v/>
      </c>
      <c r="CT13" s="19">
        <f>SQRT(Parameters!$B$5)*Factors!CT4+SQRT(Parameters!$B$6)*Factors!CT7+SQRT(Parameters!$B$7)*Factors!CT9+SQRT(Parameters!$B$9)*NORM.S.INV(RAND())</f>
        <v/>
      </c>
      <c r="CU13" s="19">
        <f>SQRT(Parameters!$B$5)*Factors!CU4+SQRT(Parameters!$B$6)*Factors!CU7+SQRT(Parameters!$B$7)*Factors!CU9+SQRT(Parameters!$B$9)*NORM.S.INV(RAND())</f>
        <v/>
      </c>
      <c r="CV13" s="19">
        <f>SQRT(Parameters!$B$5)*Factors!CV4+SQRT(Parameters!$B$6)*Factors!CV7+SQRT(Parameters!$B$7)*Factors!CV9+SQRT(Parameters!$B$9)*NORM.S.INV(RAND())</f>
        <v/>
      </c>
      <c r="CW13" s="19">
        <f>SQRT(Parameters!$B$5)*Factors!CW4+SQRT(Parameters!$B$6)*Factors!CW7+SQRT(Parameters!$B$7)*Factors!CW9+SQRT(Parameters!$B$9)*NORM.S.INV(RAND())</f>
        <v/>
      </c>
      <c r="CX13" s="19">
        <f>SQRT(Parameters!$B$5)*Factors!CX4+SQRT(Parameters!$B$6)*Factors!CX7+SQRT(Parameters!$B$7)*Factors!CX9+SQRT(Parameters!$B$9)*NORM.S.INV(RAND())</f>
        <v/>
      </c>
      <c r="CY13" s="19">
        <f>SQRT(Parameters!$B$5)*Factors!CY4+SQRT(Parameters!$B$6)*Factors!CY7+SQRT(Parameters!$B$7)*Factors!CY9+SQRT(Parameters!$B$9)*NORM.S.INV(RAND())</f>
        <v/>
      </c>
      <c r="CZ13" s="19">
        <f>SQRT(Parameters!$B$5)*Factors!CZ4+SQRT(Parameters!$B$6)*Factors!CZ7+SQRT(Parameters!$B$7)*Factors!CZ9+SQRT(Parameters!$B$9)*NORM.S.INV(RAND())</f>
        <v/>
      </c>
      <c r="DA13" s="19">
        <f>SQRT(Parameters!$B$5)*Factors!DA4+SQRT(Parameters!$B$6)*Factors!DA7+SQRT(Parameters!$B$7)*Factors!DA9+SQRT(Parameters!$B$9)*NORM.S.INV(RAND())</f>
        <v/>
      </c>
      <c r="DB13" s="19">
        <f>SQRT(Parameters!$B$5)*Factors!DB4+SQRT(Parameters!$B$6)*Factors!DB7+SQRT(Parameters!$B$7)*Factors!DB9+SQRT(Parameters!$B$9)*NORM.S.INV(RAND())</f>
        <v/>
      </c>
      <c r="DC13" s="19">
        <f>SQRT(Parameters!$B$5)*Factors!DC4+SQRT(Parameters!$B$6)*Factors!DC7+SQRT(Parameters!$B$7)*Factors!DC9+SQRT(Parameters!$B$9)*NORM.S.INV(RAND())</f>
        <v/>
      </c>
      <c r="DD13" s="19">
        <f>SQRT(Parameters!$B$5)*Factors!DD4+SQRT(Parameters!$B$6)*Factors!DD7+SQRT(Parameters!$B$7)*Factors!DD9+SQRT(Parameters!$B$9)*NORM.S.INV(RAND())</f>
        <v/>
      </c>
      <c r="DE13" s="19">
        <f>SQRT(Parameters!$B$5)*Factors!DE4+SQRT(Parameters!$B$6)*Factors!DE7+SQRT(Parameters!$B$7)*Factors!DE9+SQRT(Parameters!$B$9)*NORM.S.INV(RAND())</f>
        <v/>
      </c>
      <c r="DF13" s="19">
        <f>SQRT(Parameters!$B$5)*Factors!DF4+SQRT(Parameters!$B$6)*Factors!DF7+SQRT(Parameters!$B$7)*Factors!DF9+SQRT(Parameters!$B$9)*NORM.S.INV(RAND())</f>
        <v/>
      </c>
      <c r="DG13" s="19">
        <f>SQRT(Parameters!$B$5)*Factors!DG4+SQRT(Parameters!$B$6)*Factors!DG7+SQRT(Parameters!$B$7)*Factors!DG9+SQRT(Parameters!$B$9)*NORM.S.INV(RAND())</f>
        <v/>
      </c>
      <c r="DH13" s="19">
        <f>SQRT(Parameters!$B$5)*Factors!DH4+SQRT(Parameters!$B$6)*Factors!DH7+SQRT(Parameters!$B$7)*Factors!DH9+SQRT(Parameters!$B$9)*NORM.S.INV(RAND())</f>
        <v/>
      </c>
      <c r="DI13" s="19">
        <f>SQRT(Parameters!$B$5)*Factors!DI4+SQRT(Parameters!$B$6)*Factors!DI7+SQRT(Parameters!$B$7)*Factors!DI9+SQRT(Parameters!$B$9)*NORM.S.INV(RAND())</f>
        <v/>
      </c>
      <c r="DJ13" s="19">
        <f>SQRT(Parameters!$B$5)*Factors!DJ4+SQRT(Parameters!$B$6)*Factors!DJ7+SQRT(Parameters!$B$7)*Factors!DJ9+SQRT(Parameters!$B$9)*NORM.S.INV(RAND())</f>
        <v/>
      </c>
      <c r="DK13" s="19">
        <f>SQRT(Parameters!$B$5)*Factors!DK4+SQRT(Parameters!$B$6)*Factors!DK7+SQRT(Parameters!$B$7)*Factors!DK9+SQRT(Parameters!$B$9)*NORM.S.INV(RAND())</f>
        <v/>
      </c>
      <c r="DL13" s="19">
        <f>SQRT(Parameters!$B$5)*Factors!DL4+SQRT(Parameters!$B$6)*Factors!DL7+SQRT(Parameters!$B$7)*Factors!DL9+SQRT(Parameters!$B$9)*NORM.S.INV(RAND())</f>
        <v/>
      </c>
      <c r="DM13" s="19">
        <f>SQRT(Parameters!$B$5)*Factors!DM4+SQRT(Parameters!$B$6)*Factors!DM7+SQRT(Parameters!$B$7)*Factors!DM9+SQRT(Parameters!$B$9)*NORM.S.INV(RAND())</f>
        <v/>
      </c>
      <c r="DN13" s="19">
        <f>SQRT(Parameters!$B$5)*Factors!DN4+SQRT(Parameters!$B$6)*Factors!DN7+SQRT(Parameters!$B$7)*Factors!DN9+SQRT(Parameters!$B$9)*NORM.S.INV(RAND())</f>
        <v/>
      </c>
      <c r="DO13" s="19">
        <f>SQRT(Parameters!$B$5)*Factors!DO4+SQRT(Parameters!$B$6)*Factors!DO7+SQRT(Parameters!$B$7)*Factors!DO9+SQRT(Parameters!$B$9)*NORM.S.INV(RAND())</f>
        <v/>
      </c>
      <c r="DP13" s="19">
        <f>SQRT(Parameters!$B$5)*Factors!DP4+SQRT(Parameters!$B$6)*Factors!DP7+SQRT(Parameters!$B$7)*Factors!DP9+SQRT(Parameters!$B$9)*NORM.S.INV(RAND())</f>
        <v/>
      </c>
      <c r="DQ13" s="19">
        <f>SQRT(Parameters!$B$5)*Factors!DQ4+SQRT(Parameters!$B$6)*Factors!DQ7+SQRT(Parameters!$B$7)*Factors!DQ9+SQRT(Parameters!$B$9)*NORM.S.INV(RAND())</f>
        <v/>
      </c>
      <c r="DR13" s="19">
        <f>SQRT(Parameters!$B$5)*Factors!DR4+SQRT(Parameters!$B$6)*Factors!DR7+SQRT(Parameters!$B$7)*Factors!DR9+SQRT(Parameters!$B$9)*NORM.S.INV(RAND())</f>
        <v/>
      </c>
      <c r="DS13" s="19">
        <f>SQRT(Parameters!$B$5)*Factors!DS4+SQRT(Parameters!$B$6)*Factors!DS7+SQRT(Parameters!$B$7)*Factors!DS9+SQRT(Parameters!$B$9)*NORM.S.INV(RAND())</f>
        <v/>
      </c>
      <c r="DT13" s="19">
        <f>SQRT(Parameters!$B$5)*Factors!DT4+SQRT(Parameters!$B$6)*Factors!DT7+SQRT(Parameters!$B$7)*Factors!DT9+SQRT(Parameters!$B$9)*NORM.S.INV(RAND())</f>
        <v/>
      </c>
      <c r="DU13" s="19">
        <f>SQRT(Parameters!$B$5)*Factors!DU4+SQRT(Parameters!$B$6)*Factors!DU7+SQRT(Parameters!$B$7)*Factors!DU9+SQRT(Parameters!$B$9)*NORM.S.INV(RAND())</f>
        <v/>
      </c>
      <c r="DV13" s="19">
        <f>SQRT(Parameters!$B$5)*Factors!DV4+SQRT(Parameters!$B$6)*Factors!DV7+SQRT(Parameters!$B$7)*Factors!DV9+SQRT(Parameters!$B$9)*NORM.S.INV(RAND())</f>
        <v/>
      </c>
      <c r="DW13" s="19">
        <f>SQRT(Parameters!$B$5)*Factors!DW4+SQRT(Parameters!$B$6)*Factors!DW7+SQRT(Parameters!$B$7)*Factors!DW9+SQRT(Parameters!$B$9)*NORM.S.INV(RAND())</f>
        <v/>
      </c>
      <c r="DX13" s="19">
        <f>SQRT(Parameters!$B$5)*Factors!DX4+SQRT(Parameters!$B$6)*Factors!DX7+SQRT(Parameters!$B$7)*Factors!DX9+SQRT(Parameters!$B$9)*NORM.S.INV(RAND())</f>
        <v/>
      </c>
      <c r="DY13" s="19">
        <f>SQRT(Parameters!$B$5)*Factors!DY4+SQRT(Parameters!$B$6)*Factors!DY7+SQRT(Parameters!$B$7)*Factors!DY9+SQRT(Parameters!$B$9)*NORM.S.INV(RAND())</f>
        <v/>
      </c>
      <c r="DZ13" s="19">
        <f>SQRT(Parameters!$B$5)*Factors!DZ4+SQRT(Parameters!$B$6)*Factors!DZ7+SQRT(Parameters!$B$7)*Factors!DZ9+SQRT(Parameters!$B$9)*NORM.S.INV(RAND())</f>
        <v/>
      </c>
      <c r="EA13" s="19">
        <f>SQRT(Parameters!$B$5)*Factors!EA4+SQRT(Parameters!$B$6)*Factors!EA7+SQRT(Parameters!$B$7)*Factors!EA9+SQRT(Parameters!$B$9)*NORM.S.INV(RAND())</f>
        <v/>
      </c>
      <c r="EB13" s="19">
        <f>SQRT(Parameters!$B$5)*Factors!EB4+SQRT(Parameters!$B$6)*Factors!EB7+SQRT(Parameters!$B$7)*Factors!EB9+SQRT(Parameters!$B$9)*NORM.S.INV(RAND())</f>
        <v/>
      </c>
      <c r="EC13" s="19">
        <f>SQRT(Parameters!$B$5)*Factors!EC4+SQRT(Parameters!$B$6)*Factors!EC7+SQRT(Parameters!$B$7)*Factors!EC9+SQRT(Parameters!$B$9)*NORM.S.INV(RAND())</f>
        <v/>
      </c>
      <c r="ED13" s="19">
        <f>SQRT(Parameters!$B$5)*Factors!ED4+SQRT(Parameters!$B$6)*Factors!ED7+SQRT(Parameters!$B$7)*Factors!ED9+SQRT(Parameters!$B$9)*NORM.S.INV(RAND())</f>
        <v/>
      </c>
      <c r="EE13" s="19">
        <f>SQRT(Parameters!$B$5)*Factors!EE4+SQRT(Parameters!$B$6)*Factors!EE7+SQRT(Parameters!$B$7)*Factors!EE9+SQRT(Parameters!$B$9)*NORM.S.INV(RAND())</f>
        <v/>
      </c>
      <c r="EF13" s="19">
        <f>SQRT(Parameters!$B$5)*Factors!EF4+SQRT(Parameters!$B$6)*Factors!EF7+SQRT(Parameters!$B$7)*Factors!EF9+SQRT(Parameters!$B$9)*NORM.S.INV(RAND())</f>
        <v/>
      </c>
      <c r="EG13" s="19">
        <f>SQRT(Parameters!$B$5)*Factors!EG4+SQRT(Parameters!$B$6)*Factors!EG7+SQRT(Parameters!$B$7)*Factors!EG9+SQRT(Parameters!$B$9)*NORM.S.INV(RAND())</f>
        <v/>
      </c>
      <c r="EH13" s="19">
        <f>SQRT(Parameters!$B$5)*Factors!EH4+SQRT(Parameters!$B$6)*Factors!EH7+SQRT(Parameters!$B$7)*Factors!EH9+SQRT(Parameters!$B$9)*NORM.S.INV(RAND())</f>
        <v/>
      </c>
      <c r="EI13" s="19">
        <f>SQRT(Parameters!$B$5)*Factors!EI4+SQRT(Parameters!$B$6)*Factors!EI7+SQRT(Parameters!$B$7)*Factors!EI9+SQRT(Parameters!$B$9)*NORM.S.INV(RAND())</f>
        <v/>
      </c>
      <c r="EJ13" s="19">
        <f>SQRT(Parameters!$B$5)*Factors!EJ4+SQRT(Parameters!$B$6)*Factors!EJ7+SQRT(Parameters!$B$7)*Factors!EJ9+SQRT(Parameters!$B$9)*NORM.S.INV(RAND())</f>
        <v/>
      </c>
      <c r="EK13" s="19">
        <f>SQRT(Parameters!$B$5)*Factors!EK4+SQRT(Parameters!$B$6)*Factors!EK7+SQRT(Parameters!$B$7)*Factors!EK9+SQRT(Parameters!$B$9)*NORM.S.INV(RAND())</f>
        <v/>
      </c>
      <c r="EL13" s="19">
        <f>SQRT(Parameters!$B$5)*Factors!EL4+SQRT(Parameters!$B$6)*Factors!EL7+SQRT(Parameters!$B$7)*Factors!EL9+SQRT(Parameters!$B$9)*NORM.S.INV(RAND())</f>
        <v/>
      </c>
      <c r="EM13" s="19">
        <f>SQRT(Parameters!$B$5)*Factors!EM4+SQRT(Parameters!$B$6)*Factors!EM7+SQRT(Parameters!$B$7)*Factors!EM9+SQRT(Parameters!$B$9)*NORM.S.INV(RAND())</f>
        <v/>
      </c>
      <c r="EN13" s="19">
        <f>SQRT(Parameters!$B$5)*Factors!EN4+SQRT(Parameters!$B$6)*Factors!EN7+SQRT(Parameters!$B$7)*Factors!EN9+SQRT(Parameters!$B$9)*NORM.S.INV(RAND())</f>
        <v/>
      </c>
      <c r="EO13" s="19">
        <f>SQRT(Parameters!$B$5)*Factors!EO4+SQRT(Parameters!$B$6)*Factors!EO7+SQRT(Parameters!$B$7)*Factors!EO9+SQRT(Parameters!$B$9)*NORM.S.INV(RAND())</f>
        <v/>
      </c>
      <c r="EP13" s="19">
        <f>SQRT(Parameters!$B$5)*Factors!EP4+SQRT(Parameters!$B$6)*Factors!EP7+SQRT(Parameters!$B$7)*Factors!EP9+SQRT(Parameters!$B$9)*NORM.S.INV(RAND())</f>
        <v/>
      </c>
      <c r="EQ13" s="19">
        <f>SQRT(Parameters!$B$5)*Factors!EQ4+SQRT(Parameters!$B$6)*Factors!EQ7+SQRT(Parameters!$B$7)*Factors!EQ9+SQRT(Parameters!$B$9)*NORM.S.INV(RAND())</f>
        <v/>
      </c>
      <c r="ER13" s="19">
        <f>SQRT(Parameters!$B$5)*Factors!ER4+SQRT(Parameters!$B$6)*Factors!ER7+SQRT(Parameters!$B$7)*Factors!ER9+SQRT(Parameters!$B$9)*NORM.S.INV(RAND())</f>
        <v/>
      </c>
      <c r="ES13" s="19">
        <f>SQRT(Parameters!$B$5)*Factors!ES4+SQRT(Parameters!$B$6)*Factors!ES7+SQRT(Parameters!$B$7)*Factors!ES9+SQRT(Parameters!$B$9)*NORM.S.INV(RAND())</f>
        <v/>
      </c>
      <c r="ET13" s="19">
        <f>SQRT(Parameters!$B$5)*Factors!ET4+SQRT(Parameters!$B$6)*Factors!ET7+SQRT(Parameters!$B$7)*Factors!ET9+SQRT(Parameters!$B$9)*NORM.S.INV(RAND())</f>
        <v/>
      </c>
      <c r="EU13" s="19">
        <f>SQRT(Parameters!$B$5)*Factors!EU4+SQRT(Parameters!$B$6)*Factors!EU7+SQRT(Parameters!$B$7)*Factors!EU9+SQRT(Parameters!$B$9)*NORM.S.INV(RAND())</f>
        <v/>
      </c>
      <c r="EV13" s="19">
        <f>SQRT(Parameters!$B$5)*Factors!EV4+SQRT(Parameters!$B$6)*Factors!EV7+SQRT(Parameters!$B$7)*Factors!EV9+SQRT(Parameters!$B$9)*NORM.S.INV(RAND())</f>
        <v/>
      </c>
      <c r="EW13" s="19">
        <f>SQRT(Parameters!$B$5)*Factors!EW4+SQRT(Parameters!$B$6)*Factors!EW7+SQRT(Parameters!$B$7)*Factors!EW9+SQRT(Parameters!$B$9)*NORM.S.INV(RAND())</f>
        <v/>
      </c>
      <c r="EX13" s="19">
        <f>SQRT(Parameters!$B$5)*Factors!EX4+SQRT(Parameters!$B$6)*Factors!EX7+SQRT(Parameters!$B$7)*Factors!EX9+SQRT(Parameters!$B$9)*NORM.S.INV(RAND())</f>
        <v/>
      </c>
      <c r="EY13" s="19">
        <f>SQRT(Parameters!$B$5)*Factors!EY4+SQRT(Parameters!$B$6)*Factors!EY7+SQRT(Parameters!$B$7)*Factors!EY9+SQRT(Parameters!$B$9)*NORM.S.INV(RAND())</f>
        <v/>
      </c>
      <c r="EZ13" s="19">
        <f>SQRT(Parameters!$B$5)*Factors!EZ4+SQRT(Parameters!$B$6)*Factors!EZ7+SQRT(Parameters!$B$7)*Factors!EZ9+SQRT(Parameters!$B$9)*NORM.S.INV(RAND())</f>
        <v/>
      </c>
      <c r="FA13" s="19">
        <f>SQRT(Parameters!$B$5)*Factors!FA4+SQRT(Parameters!$B$6)*Factors!FA7+SQRT(Parameters!$B$7)*Factors!FA9+SQRT(Parameters!$B$9)*NORM.S.INV(RAND())</f>
        <v/>
      </c>
      <c r="FB13" s="19">
        <f>SQRT(Parameters!$B$5)*Factors!FB4+SQRT(Parameters!$B$6)*Factors!FB7+SQRT(Parameters!$B$7)*Factors!FB9+SQRT(Parameters!$B$9)*NORM.S.INV(RAND())</f>
        <v/>
      </c>
      <c r="FC13" s="19">
        <f>SQRT(Parameters!$B$5)*Factors!FC4+SQRT(Parameters!$B$6)*Factors!FC7+SQRT(Parameters!$B$7)*Factors!FC9+SQRT(Parameters!$B$9)*NORM.S.INV(RAND())</f>
        <v/>
      </c>
      <c r="FD13" s="19">
        <f>SQRT(Parameters!$B$5)*Factors!FD4+SQRT(Parameters!$B$6)*Factors!FD7+SQRT(Parameters!$B$7)*Factors!FD9+SQRT(Parameters!$B$9)*NORM.S.INV(RAND())</f>
        <v/>
      </c>
      <c r="FE13" s="19">
        <f>SQRT(Parameters!$B$5)*Factors!FE4+SQRT(Parameters!$B$6)*Factors!FE7+SQRT(Parameters!$B$7)*Factors!FE9+SQRT(Parameters!$B$9)*NORM.S.INV(RAND())</f>
        <v/>
      </c>
      <c r="FF13" s="19">
        <f>SQRT(Parameters!$B$5)*Factors!FF4+SQRT(Parameters!$B$6)*Factors!FF7+SQRT(Parameters!$B$7)*Factors!FF9+SQRT(Parameters!$B$9)*NORM.S.INV(RAND())</f>
        <v/>
      </c>
      <c r="FG13" s="19">
        <f>SQRT(Parameters!$B$5)*Factors!FG4+SQRT(Parameters!$B$6)*Factors!FG7+SQRT(Parameters!$B$7)*Factors!FG9+SQRT(Parameters!$B$9)*NORM.S.INV(RAND())</f>
        <v/>
      </c>
      <c r="FH13" s="19">
        <f>SQRT(Parameters!$B$5)*Factors!FH4+SQRT(Parameters!$B$6)*Factors!FH7+SQRT(Parameters!$B$7)*Factors!FH9+SQRT(Parameters!$B$9)*NORM.S.INV(RAND())</f>
        <v/>
      </c>
      <c r="FI13" s="19">
        <f>SQRT(Parameters!$B$5)*Factors!FI4+SQRT(Parameters!$B$6)*Factors!FI7+SQRT(Parameters!$B$7)*Factors!FI9+SQRT(Parameters!$B$9)*NORM.S.INV(RAND())</f>
        <v/>
      </c>
      <c r="FJ13" s="19">
        <f>SQRT(Parameters!$B$5)*Factors!FJ4+SQRT(Parameters!$B$6)*Factors!FJ7+SQRT(Parameters!$B$7)*Factors!FJ9+SQRT(Parameters!$B$9)*NORM.S.INV(RAND())</f>
        <v/>
      </c>
      <c r="FK13" s="19">
        <f>SQRT(Parameters!$B$5)*Factors!FK4+SQRT(Parameters!$B$6)*Factors!FK7+SQRT(Parameters!$B$7)*Factors!FK9+SQRT(Parameters!$B$9)*NORM.S.INV(RAND())</f>
        <v/>
      </c>
      <c r="FL13" s="19">
        <f>SQRT(Parameters!$B$5)*Factors!FL4+SQRT(Parameters!$B$6)*Factors!FL7+SQRT(Parameters!$B$7)*Factors!FL9+SQRT(Parameters!$B$9)*NORM.S.INV(RAND())</f>
        <v/>
      </c>
      <c r="FM13" s="19">
        <f>SQRT(Parameters!$B$5)*Factors!FM4+SQRT(Parameters!$B$6)*Factors!FM7+SQRT(Parameters!$B$7)*Factors!FM9+SQRT(Parameters!$B$9)*NORM.S.INV(RAND())</f>
        <v/>
      </c>
      <c r="FN13" s="19">
        <f>SQRT(Parameters!$B$5)*Factors!FN4+SQRT(Parameters!$B$6)*Factors!FN7+SQRT(Parameters!$B$7)*Factors!FN9+SQRT(Parameters!$B$9)*NORM.S.INV(RAND())</f>
        <v/>
      </c>
      <c r="FO13" s="19">
        <f>SQRT(Parameters!$B$5)*Factors!FO4+SQRT(Parameters!$B$6)*Factors!FO7+SQRT(Parameters!$B$7)*Factors!FO9+SQRT(Parameters!$B$9)*NORM.S.INV(RAND())</f>
        <v/>
      </c>
      <c r="FP13" s="19">
        <f>SQRT(Parameters!$B$5)*Factors!FP4+SQRT(Parameters!$B$6)*Factors!FP7+SQRT(Parameters!$B$7)*Factors!FP9+SQRT(Parameters!$B$9)*NORM.S.INV(RAND())</f>
        <v/>
      </c>
      <c r="FQ13" s="19">
        <f>SQRT(Parameters!$B$5)*Factors!FQ4+SQRT(Parameters!$B$6)*Factors!FQ7+SQRT(Parameters!$B$7)*Factors!FQ9+SQRT(Parameters!$B$9)*NORM.S.INV(RAND())</f>
        <v/>
      </c>
      <c r="FR13" s="19">
        <f>SQRT(Parameters!$B$5)*Factors!FR4+SQRT(Parameters!$B$6)*Factors!FR7+SQRT(Parameters!$B$7)*Factors!FR9+SQRT(Parameters!$B$9)*NORM.S.INV(RAND())</f>
        <v/>
      </c>
      <c r="FS13" s="19">
        <f>SQRT(Parameters!$B$5)*Factors!FS4+SQRT(Parameters!$B$6)*Factors!FS7+SQRT(Parameters!$B$7)*Factors!FS9+SQRT(Parameters!$B$9)*NORM.S.INV(RAND())</f>
        <v/>
      </c>
      <c r="FT13" s="19">
        <f>SQRT(Parameters!$B$5)*Factors!FT4+SQRT(Parameters!$B$6)*Factors!FT7+SQRT(Parameters!$B$7)*Factors!FT9+SQRT(Parameters!$B$9)*NORM.S.INV(RAND())</f>
        <v/>
      </c>
      <c r="FU13" s="19">
        <f>SQRT(Parameters!$B$5)*Factors!FU4+SQRT(Parameters!$B$6)*Factors!FU7+SQRT(Parameters!$B$7)*Factors!FU9+SQRT(Parameters!$B$9)*NORM.S.INV(RAND())</f>
        <v/>
      </c>
      <c r="FV13" s="19">
        <f>SQRT(Parameters!$B$5)*Factors!FV4+SQRT(Parameters!$B$6)*Factors!FV7+SQRT(Parameters!$B$7)*Factors!FV9+SQRT(Parameters!$B$9)*NORM.S.INV(RAND())</f>
        <v/>
      </c>
      <c r="FW13" s="19">
        <f>SQRT(Parameters!$B$5)*Factors!FW4+SQRT(Parameters!$B$6)*Factors!FW7+SQRT(Parameters!$B$7)*Factors!FW9+SQRT(Parameters!$B$9)*NORM.S.INV(RAND())</f>
        <v/>
      </c>
      <c r="FX13" s="19">
        <f>SQRT(Parameters!$B$5)*Factors!FX4+SQRT(Parameters!$B$6)*Factors!FX7+SQRT(Parameters!$B$7)*Factors!FX9+SQRT(Parameters!$B$9)*NORM.S.INV(RAND())</f>
        <v/>
      </c>
      <c r="FY13" s="19">
        <f>SQRT(Parameters!$B$5)*Factors!FY4+SQRT(Parameters!$B$6)*Factors!FY7+SQRT(Parameters!$B$7)*Factors!FY9+SQRT(Parameters!$B$9)*NORM.S.INV(RAND())</f>
        <v/>
      </c>
      <c r="FZ13" s="19">
        <f>SQRT(Parameters!$B$5)*Factors!FZ4+SQRT(Parameters!$B$6)*Factors!FZ7+SQRT(Parameters!$B$7)*Factors!FZ9+SQRT(Parameters!$B$9)*NORM.S.INV(RAND())</f>
        <v/>
      </c>
      <c r="GA13" s="19">
        <f>SQRT(Parameters!$B$5)*Factors!GA4+SQRT(Parameters!$B$6)*Factors!GA7+SQRT(Parameters!$B$7)*Factors!GA9+SQRT(Parameters!$B$9)*NORM.S.INV(RAND())</f>
        <v/>
      </c>
      <c r="GB13" s="19">
        <f>SQRT(Parameters!$B$5)*Factors!GB4+SQRT(Parameters!$B$6)*Factors!GB7+SQRT(Parameters!$B$7)*Factors!GB9+SQRT(Parameters!$B$9)*NORM.S.INV(RAND())</f>
        <v/>
      </c>
      <c r="GC13" s="19">
        <f>SQRT(Parameters!$B$5)*Factors!GC4+SQRT(Parameters!$B$6)*Factors!GC7+SQRT(Parameters!$B$7)*Factors!GC9+SQRT(Parameters!$B$9)*NORM.S.INV(RAND())</f>
        <v/>
      </c>
      <c r="GD13" s="19">
        <f>SQRT(Parameters!$B$5)*Factors!GD4+SQRT(Parameters!$B$6)*Factors!GD7+SQRT(Parameters!$B$7)*Factors!GD9+SQRT(Parameters!$B$9)*NORM.S.INV(RAND())</f>
        <v/>
      </c>
      <c r="GE13" s="19">
        <f>SQRT(Parameters!$B$5)*Factors!GE4+SQRT(Parameters!$B$6)*Factors!GE7+SQRT(Parameters!$B$7)*Factors!GE9+SQRT(Parameters!$B$9)*NORM.S.INV(RAND())</f>
        <v/>
      </c>
      <c r="GF13" s="19">
        <f>SQRT(Parameters!$B$5)*Factors!GF4+SQRT(Parameters!$B$6)*Factors!GF7+SQRT(Parameters!$B$7)*Factors!GF9+SQRT(Parameters!$B$9)*NORM.S.INV(RAND())</f>
        <v/>
      </c>
      <c r="GG13" s="19">
        <f>SQRT(Parameters!$B$5)*Factors!GG4+SQRT(Parameters!$B$6)*Factors!GG7+SQRT(Parameters!$B$7)*Factors!GG9+SQRT(Parameters!$B$9)*NORM.S.INV(RAND())</f>
        <v/>
      </c>
      <c r="GH13" s="19">
        <f>SQRT(Parameters!$B$5)*Factors!GH4+SQRT(Parameters!$B$6)*Factors!GH7+SQRT(Parameters!$B$7)*Factors!GH9+SQRT(Parameters!$B$9)*NORM.S.INV(RAND())</f>
        <v/>
      </c>
      <c r="GI13" s="19">
        <f>SQRT(Parameters!$B$5)*Factors!GI4+SQRT(Parameters!$B$6)*Factors!GI7+SQRT(Parameters!$B$7)*Factors!GI9+SQRT(Parameters!$B$9)*NORM.S.INV(RAND())</f>
        <v/>
      </c>
      <c r="GJ13" s="19">
        <f>SQRT(Parameters!$B$5)*Factors!GJ4+SQRT(Parameters!$B$6)*Factors!GJ7+SQRT(Parameters!$B$7)*Factors!GJ9+SQRT(Parameters!$B$9)*NORM.S.INV(RAND())</f>
        <v/>
      </c>
      <c r="GK13" s="19">
        <f>SQRT(Parameters!$B$5)*Factors!GK4+SQRT(Parameters!$B$6)*Factors!GK7+SQRT(Parameters!$B$7)*Factors!GK9+SQRT(Parameters!$B$9)*NORM.S.INV(RAND())</f>
        <v/>
      </c>
      <c r="GL13" s="19">
        <f>SQRT(Parameters!$B$5)*Factors!GL4+SQRT(Parameters!$B$6)*Factors!GL7+SQRT(Parameters!$B$7)*Factors!GL9+SQRT(Parameters!$B$9)*NORM.S.INV(RAND())</f>
        <v/>
      </c>
      <c r="GM13" s="19">
        <f>SQRT(Parameters!$B$5)*Factors!GM4+SQRT(Parameters!$B$6)*Factors!GM7+SQRT(Parameters!$B$7)*Factors!GM9+SQRT(Parameters!$B$9)*NORM.S.INV(RAND())</f>
        <v/>
      </c>
      <c r="GN13" s="19">
        <f>SQRT(Parameters!$B$5)*Factors!GN4+SQRT(Parameters!$B$6)*Factors!GN7+SQRT(Parameters!$B$7)*Factors!GN9+SQRT(Parameters!$B$9)*NORM.S.INV(RAND())</f>
        <v/>
      </c>
      <c r="GO13" s="19">
        <f>SQRT(Parameters!$B$5)*Factors!GO4+SQRT(Parameters!$B$6)*Factors!GO7+SQRT(Parameters!$B$7)*Factors!GO9+SQRT(Parameters!$B$9)*NORM.S.INV(RAND())</f>
        <v/>
      </c>
      <c r="GP13" s="19">
        <f>SQRT(Parameters!$B$5)*Factors!GP4+SQRT(Parameters!$B$6)*Factors!GP7+SQRT(Parameters!$B$7)*Factors!GP9+SQRT(Parameters!$B$9)*NORM.S.INV(RAND())</f>
        <v/>
      </c>
      <c r="GQ13" s="19">
        <f>SQRT(Parameters!$B$5)*Factors!GQ4+SQRT(Parameters!$B$6)*Factors!GQ7+SQRT(Parameters!$B$7)*Factors!GQ9+SQRT(Parameters!$B$9)*NORM.S.INV(RAND())</f>
        <v/>
      </c>
      <c r="GR13" s="19">
        <f>SQRT(Parameters!$B$5)*Factors!GR4+SQRT(Parameters!$B$6)*Factors!GR7+SQRT(Parameters!$B$7)*Factors!GR9+SQRT(Parameters!$B$9)*NORM.S.INV(RAND())</f>
        <v/>
      </c>
      <c r="GS13" s="19">
        <f>SQRT(Parameters!$B$5)*Factors!GS4+SQRT(Parameters!$B$6)*Factors!GS7+SQRT(Parameters!$B$7)*Factors!GS9+SQRT(Parameters!$B$9)*NORM.S.INV(RAND())</f>
        <v/>
      </c>
      <c r="GT13" s="19">
        <f>SQRT(Parameters!$B$5)*Factors!GT4+SQRT(Parameters!$B$6)*Factors!GT7+SQRT(Parameters!$B$7)*Factors!GT9+SQRT(Parameters!$B$9)*NORM.S.INV(RAND())</f>
        <v/>
      </c>
      <c r="GU13" s="19">
        <f>SQRT(Parameters!$B$5)*Factors!GU4+SQRT(Parameters!$B$6)*Factors!GU7+SQRT(Parameters!$B$7)*Factors!GU9+SQRT(Parameters!$B$9)*NORM.S.INV(RAND())</f>
        <v/>
      </c>
      <c r="GV13" s="19">
        <f>SQRT(Parameters!$B$5)*Factors!GV4+SQRT(Parameters!$B$6)*Factors!GV7+SQRT(Parameters!$B$7)*Factors!GV9+SQRT(Parameters!$B$9)*NORM.S.INV(RAND())</f>
        <v/>
      </c>
      <c r="GW13" s="19">
        <f>SQRT(Parameters!$B$5)*Factors!GW4+SQRT(Parameters!$B$6)*Factors!GW7+SQRT(Parameters!$B$7)*Factors!GW9+SQRT(Parameters!$B$9)*NORM.S.INV(RAND())</f>
        <v/>
      </c>
      <c r="GX13" s="19">
        <f>SQRT(Parameters!$B$5)*Factors!GX4+SQRT(Parameters!$B$6)*Factors!GX7+SQRT(Parameters!$B$7)*Factors!GX9+SQRT(Parameters!$B$9)*NORM.S.INV(RAND())</f>
        <v/>
      </c>
      <c r="GY13" s="19">
        <f>SQRT(Parameters!$B$5)*Factors!GY4+SQRT(Parameters!$B$6)*Factors!GY7+SQRT(Parameters!$B$7)*Factors!GY9+SQRT(Parameters!$B$9)*NORM.S.INV(RAND())</f>
        <v/>
      </c>
      <c r="GZ13" s="19">
        <f>SQRT(Parameters!$B$5)*Factors!GZ4+SQRT(Parameters!$B$6)*Factors!GZ7+SQRT(Parameters!$B$7)*Factors!GZ9+SQRT(Parameters!$B$9)*NORM.S.INV(RAND())</f>
        <v/>
      </c>
      <c r="HA13" s="19">
        <f>SQRT(Parameters!$B$5)*Factors!HA4+SQRT(Parameters!$B$6)*Factors!HA7+SQRT(Parameters!$B$7)*Factors!HA9+SQRT(Parameters!$B$9)*NORM.S.INV(RAND())</f>
        <v/>
      </c>
      <c r="HB13" s="19">
        <f>SQRT(Parameters!$B$5)*Factors!HB4+SQRT(Parameters!$B$6)*Factors!HB7+SQRT(Parameters!$B$7)*Factors!HB9+SQRT(Parameters!$B$9)*NORM.S.INV(RAND())</f>
        <v/>
      </c>
      <c r="HC13" s="19">
        <f>SQRT(Parameters!$B$5)*Factors!HC4+SQRT(Parameters!$B$6)*Factors!HC7+SQRT(Parameters!$B$7)*Factors!HC9+SQRT(Parameters!$B$9)*NORM.S.INV(RAND())</f>
        <v/>
      </c>
      <c r="HD13" s="19">
        <f>SQRT(Parameters!$B$5)*Factors!HD4+SQRT(Parameters!$B$6)*Factors!HD7+SQRT(Parameters!$B$7)*Factors!HD9+SQRT(Parameters!$B$9)*NORM.S.INV(RAND())</f>
        <v/>
      </c>
      <c r="HE13" s="19">
        <f>SQRT(Parameters!$B$5)*Factors!HE4+SQRT(Parameters!$B$6)*Factors!HE7+SQRT(Parameters!$B$7)*Factors!HE9+SQRT(Parameters!$B$9)*NORM.S.INV(RAND())</f>
        <v/>
      </c>
      <c r="HF13" s="19">
        <f>SQRT(Parameters!$B$5)*Factors!HF4+SQRT(Parameters!$B$6)*Factors!HF7+SQRT(Parameters!$B$7)*Factors!HF9+SQRT(Parameters!$B$9)*NORM.S.INV(RAND())</f>
        <v/>
      </c>
      <c r="HG13" s="19">
        <f>SQRT(Parameters!$B$5)*Factors!HG4+SQRT(Parameters!$B$6)*Factors!HG7+SQRT(Parameters!$B$7)*Factors!HG9+SQRT(Parameters!$B$9)*NORM.S.INV(RAND())</f>
        <v/>
      </c>
      <c r="HH13" s="19">
        <f>SQRT(Parameters!$B$5)*Factors!HH4+SQRT(Parameters!$B$6)*Factors!HH7+SQRT(Parameters!$B$7)*Factors!HH9+SQRT(Parameters!$B$9)*NORM.S.INV(RAND())</f>
        <v/>
      </c>
      <c r="HI13" s="19">
        <f>SQRT(Parameters!$B$5)*Factors!HI4+SQRT(Parameters!$B$6)*Factors!HI7+SQRT(Parameters!$B$7)*Factors!HI9+SQRT(Parameters!$B$9)*NORM.S.INV(RAND())</f>
        <v/>
      </c>
      <c r="HJ13" s="19">
        <f>SQRT(Parameters!$B$5)*Factors!HJ4+SQRT(Parameters!$B$6)*Factors!HJ7+SQRT(Parameters!$B$7)*Factors!HJ9+SQRT(Parameters!$B$9)*NORM.S.INV(RAND())</f>
        <v/>
      </c>
      <c r="HK13" s="19">
        <f>SQRT(Parameters!$B$5)*Factors!HK4+SQRT(Parameters!$B$6)*Factors!HK7+SQRT(Parameters!$B$7)*Factors!HK9+SQRT(Parameters!$B$9)*NORM.S.INV(RAND())</f>
        <v/>
      </c>
      <c r="HL13" s="19">
        <f>SQRT(Parameters!$B$5)*Factors!HL4+SQRT(Parameters!$B$6)*Factors!HL7+SQRT(Parameters!$B$7)*Factors!HL9+SQRT(Parameters!$B$9)*NORM.S.INV(RAND())</f>
        <v/>
      </c>
      <c r="HM13" s="19">
        <f>SQRT(Parameters!$B$5)*Factors!HM4+SQRT(Parameters!$B$6)*Factors!HM7+SQRT(Parameters!$B$7)*Factors!HM9+SQRT(Parameters!$B$9)*NORM.S.INV(RAND())</f>
        <v/>
      </c>
      <c r="HN13" s="19">
        <f>SQRT(Parameters!$B$5)*Factors!HN4+SQRT(Parameters!$B$6)*Factors!HN7+SQRT(Parameters!$B$7)*Factors!HN9+SQRT(Parameters!$B$9)*NORM.S.INV(RAND())</f>
        <v/>
      </c>
      <c r="HO13" s="19">
        <f>SQRT(Parameters!$B$5)*Factors!HO4+SQRT(Parameters!$B$6)*Factors!HO7+SQRT(Parameters!$B$7)*Factors!HO9+SQRT(Parameters!$B$9)*NORM.S.INV(RAND())</f>
        <v/>
      </c>
      <c r="HP13" s="19">
        <f>SQRT(Parameters!$B$5)*Factors!HP4+SQRT(Parameters!$B$6)*Factors!HP7+SQRT(Parameters!$B$7)*Factors!HP9+SQRT(Parameters!$B$9)*NORM.S.INV(RAND())</f>
        <v/>
      </c>
      <c r="HQ13" s="19">
        <f>SQRT(Parameters!$B$5)*Factors!HQ4+SQRT(Parameters!$B$6)*Factors!HQ7+SQRT(Parameters!$B$7)*Factors!HQ9+SQRT(Parameters!$B$9)*NORM.S.INV(RAND())</f>
        <v/>
      </c>
      <c r="HR13" s="19">
        <f>SQRT(Parameters!$B$5)*Factors!HR4+SQRT(Parameters!$B$6)*Factors!HR7+SQRT(Parameters!$B$7)*Factors!HR9+SQRT(Parameters!$B$9)*NORM.S.INV(RAND())</f>
        <v/>
      </c>
      <c r="HS13" s="19">
        <f>SQRT(Parameters!$B$5)*Factors!HS4+SQRT(Parameters!$B$6)*Factors!HS7+SQRT(Parameters!$B$7)*Factors!HS9+SQRT(Parameters!$B$9)*NORM.S.INV(RAND())</f>
        <v/>
      </c>
      <c r="HT13" s="19">
        <f>SQRT(Parameters!$B$5)*Factors!HT4+SQRT(Parameters!$B$6)*Factors!HT7+SQRT(Parameters!$B$7)*Factors!HT9+SQRT(Parameters!$B$9)*NORM.S.INV(RAND())</f>
        <v/>
      </c>
      <c r="HU13" s="19">
        <f>SQRT(Parameters!$B$5)*Factors!HU4+SQRT(Parameters!$B$6)*Factors!HU7+SQRT(Parameters!$B$7)*Factors!HU9+SQRT(Parameters!$B$9)*NORM.S.INV(RAND())</f>
        <v/>
      </c>
      <c r="HV13" s="19">
        <f>SQRT(Parameters!$B$5)*Factors!HV4+SQRT(Parameters!$B$6)*Factors!HV7+SQRT(Parameters!$B$7)*Factors!HV9+SQRT(Parameters!$B$9)*NORM.S.INV(RAND())</f>
        <v/>
      </c>
      <c r="HW13" s="19">
        <f>SQRT(Parameters!$B$5)*Factors!HW4+SQRT(Parameters!$B$6)*Factors!HW7+SQRT(Parameters!$B$7)*Factors!HW9+SQRT(Parameters!$B$9)*NORM.S.INV(RAND())</f>
        <v/>
      </c>
      <c r="HX13" s="19">
        <f>SQRT(Parameters!$B$5)*Factors!HX4+SQRT(Parameters!$B$6)*Factors!HX7+SQRT(Parameters!$B$7)*Factors!HX9+SQRT(Parameters!$B$9)*NORM.S.INV(RAND())</f>
        <v/>
      </c>
      <c r="HY13" s="19">
        <f>SQRT(Parameters!$B$5)*Factors!HY4+SQRT(Parameters!$B$6)*Factors!HY7+SQRT(Parameters!$B$7)*Factors!HY9+SQRT(Parameters!$B$9)*NORM.S.INV(RAND())</f>
        <v/>
      </c>
      <c r="HZ13" s="19">
        <f>SQRT(Parameters!$B$5)*Factors!HZ4+SQRT(Parameters!$B$6)*Factors!HZ7+SQRT(Parameters!$B$7)*Factors!HZ9+SQRT(Parameters!$B$9)*NORM.S.INV(RAND())</f>
        <v/>
      </c>
      <c r="IA13" s="19">
        <f>SQRT(Parameters!$B$5)*Factors!IA4+SQRT(Parameters!$B$6)*Factors!IA7+SQRT(Parameters!$B$7)*Factors!IA9+SQRT(Parameters!$B$9)*NORM.S.INV(RAND())</f>
        <v/>
      </c>
      <c r="IB13" s="19">
        <f>SQRT(Parameters!$B$5)*Factors!IB4+SQRT(Parameters!$B$6)*Factors!IB7+SQRT(Parameters!$B$7)*Factors!IB9+SQRT(Parameters!$B$9)*NORM.S.INV(RAND())</f>
        <v/>
      </c>
      <c r="IC13" s="19">
        <f>SQRT(Parameters!$B$5)*Factors!IC4+SQRT(Parameters!$B$6)*Factors!IC7+SQRT(Parameters!$B$7)*Factors!IC9+SQRT(Parameters!$B$9)*NORM.S.INV(RAND())</f>
        <v/>
      </c>
      <c r="ID13" s="19">
        <f>SQRT(Parameters!$B$5)*Factors!ID4+SQRT(Parameters!$B$6)*Factors!ID7+SQRT(Parameters!$B$7)*Factors!ID9+SQRT(Parameters!$B$9)*NORM.S.INV(RAND())</f>
        <v/>
      </c>
      <c r="IE13" s="19">
        <f>SQRT(Parameters!$B$5)*Factors!IE4+SQRT(Parameters!$B$6)*Factors!IE7+SQRT(Parameters!$B$7)*Factors!IE9+SQRT(Parameters!$B$9)*NORM.S.INV(RAND())</f>
        <v/>
      </c>
      <c r="IF13" s="19">
        <f>SQRT(Parameters!$B$5)*Factors!IF4+SQRT(Parameters!$B$6)*Factors!IF7+SQRT(Parameters!$B$7)*Factors!IF9+SQRT(Parameters!$B$9)*NORM.S.INV(RAND())</f>
        <v/>
      </c>
      <c r="IG13" s="19">
        <f>SQRT(Parameters!$B$5)*Factors!IG4+SQRT(Parameters!$B$6)*Factors!IG7+SQRT(Parameters!$B$7)*Factors!IG9+SQRT(Parameters!$B$9)*NORM.S.INV(RAND())</f>
        <v/>
      </c>
      <c r="IH13" s="19">
        <f>SQRT(Parameters!$B$5)*Factors!IH4+SQRT(Parameters!$B$6)*Factors!IH7+SQRT(Parameters!$B$7)*Factors!IH9+SQRT(Parameters!$B$9)*NORM.S.INV(RAND())</f>
        <v/>
      </c>
      <c r="II13" s="19">
        <f>SQRT(Parameters!$B$5)*Factors!II4+SQRT(Parameters!$B$6)*Factors!II7+SQRT(Parameters!$B$7)*Factors!II9+SQRT(Parameters!$B$9)*NORM.S.INV(RAND())</f>
        <v/>
      </c>
      <c r="IJ13" s="19">
        <f>SQRT(Parameters!$B$5)*Factors!IJ4+SQRT(Parameters!$B$6)*Factors!IJ7+SQRT(Parameters!$B$7)*Factors!IJ9+SQRT(Parameters!$B$9)*NORM.S.INV(RAND())</f>
        <v/>
      </c>
      <c r="IK13" s="19">
        <f>SQRT(Parameters!$B$5)*Factors!IK4+SQRT(Parameters!$B$6)*Factors!IK7+SQRT(Parameters!$B$7)*Factors!IK9+SQRT(Parameters!$B$9)*NORM.S.INV(RAND())</f>
        <v/>
      </c>
      <c r="IL13" s="19">
        <f>SQRT(Parameters!$B$5)*Factors!IL4+SQRT(Parameters!$B$6)*Factors!IL7+SQRT(Parameters!$B$7)*Factors!IL9+SQRT(Parameters!$B$9)*NORM.S.INV(RAND())</f>
        <v/>
      </c>
      <c r="IM13" s="19">
        <f>SQRT(Parameters!$B$5)*Factors!IM4+SQRT(Parameters!$B$6)*Factors!IM7+SQRT(Parameters!$B$7)*Factors!IM9+SQRT(Parameters!$B$9)*NORM.S.INV(RAND())</f>
        <v/>
      </c>
      <c r="IN13" s="19">
        <f>SQRT(Parameters!$B$5)*Factors!IN4+SQRT(Parameters!$B$6)*Factors!IN7+SQRT(Parameters!$B$7)*Factors!IN9+SQRT(Parameters!$B$9)*NORM.S.INV(RAND())</f>
        <v/>
      </c>
      <c r="IO13" s="19">
        <f>SQRT(Parameters!$B$5)*Factors!IO4+SQRT(Parameters!$B$6)*Factors!IO7+SQRT(Parameters!$B$7)*Factors!IO9+SQRT(Parameters!$B$9)*NORM.S.INV(RAND())</f>
        <v/>
      </c>
      <c r="IP13" s="19">
        <f>SQRT(Parameters!$B$5)*Factors!IP4+SQRT(Parameters!$B$6)*Factors!IP7+SQRT(Parameters!$B$7)*Factors!IP9+SQRT(Parameters!$B$9)*NORM.S.INV(RAND())</f>
        <v/>
      </c>
      <c r="IQ13" s="19">
        <f>SQRT(Parameters!$B$5)*Factors!IQ4+SQRT(Parameters!$B$6)*Factors!IQ7+SQRT(Parameters!$B$7)*Factors!IQ9+SQRT(Parameters!$B$9)*NORM.S.INV(RAND())</f>
        <v/>
      </c>
      <c r="IR13" s="19">
        <f>SQRT(Parameters!$B$5)*Factors!IR4+SQRT(Parameters!$B$6)*Factors!IR7+SQRT(Parameters!$B$7)*Factors!IR9+SQRT(Parameters!$B$9)*NORM.S.INV(RAND())</f>
        <v/>
      </c>
      <c r="IS13" s="19">
        <f>SQRT(Parameters!$B$5)*Factors!IS4+SQRT(Parameters!$B$6)*Factors!IS7+SQRT(Parameters!$B$7)*Factors!IS9+SQRT(Parameters!$B$9)*NORM.S.INV(RAND())</f>
        <v/>
      </c>
      <c r="IT13" s="19">
        <f>SQRT(Parameters!$B$5)*Factors!IT4+SQRT(Parameters!$B$6)*Factors!IT7+SQRT(Parameters!$B$7)*Factors!IT9+SQRT(Parameters!$B$9)*NORM.S.INV(RAND())</f>
        <v/>
      </c>
      <c r="IU13" s="19">
        <f>SQRT(Parameters!$B$5)*Factors!IU4+SQRT(Parameters!$B$6)*Factors!IU7+SQRT(Parameters!$B$7)*Factors!IU9+SQRT(Parameters!$B$9)*NORM.S.INV(RAND())</f>
        <v/>
      </c>
      <c r="IV13" s="19">
        <f>SQRT(Parameters!$B$5)*Factors!IV4+SQRT(Parameters!$B$6)*Factors!IV7+SQRT(Parameters!$B$7)*Factors!IV9+SQRT(Parameters!$B$9)*NORM.S.INV(RAND())</f>
        <v/>
      </c>
      <c r="IW13" s="19">
        <f>SQRT(Parameters!$B$5)*Factors!IW4+SQRT(Parameters!$B$6)*Factors!IW7+SQRT(Parameters!$B$7)*Factors!IW9+SQRT(Parameters!$B$9)*NORM.S.INV(RAND())</f>
        <v/>
      </c>
      <c r="IX13" s="19">
        <f>SQRT(Parameters!$B$5)*Factors!IX4+SQRT(Parameters!$B$6)*Factors!IX7+SQRT(Parameters!$B$7)*Factors!IX9+SQRT(Parameters!$B$9)*NORM.S.INV(RAND())</f>
        <v/>
      </c>
      <c r="IY13" s="19">
        <f>SQRT(Parameters!$B$5)*Factors!IY4+SQRT(Parameters!$B$6)*Factors!IY7+SQRT(Parameters!$B$7)*Factors!IY9+SQRT(Parameters!$B$9)*NORM.S.INV(RAND())</f>
        <v/>
      </c>
      <c r="IZ13" s="19">
        <f>SQRT(Parameters!$B$5)*Factors!IZ4+SQRT(Parameters!$B$6)*Factors!IZ7+SQRT(Parameters!$B$7)*Factors!IZ9+SQRT(Parameters!$B$9)*NORM.S.INV(RAND())</f>
        <v/>
      </c>
      <c r="JA13" s="19">
        <f>SQRT(Parameters!$B$5)*Factors!JA4+SQRT(Parameters!$B$6)*Factors!JA7+SQRT(Parameters!$B$7)*Factors!JA9+SQRT(Parameters!$B$9)*NORM.S.INV(RAND())</f>
        <v/>
      </c>
      <c r="JB13" s="19">
        <f>SQRT(Parameters!$B$5)*Factors!JB4+SQRT(Parameters!$B$6)*Factors!JB7+SQRT(Parameters!$B$7)*Factors!JB9+SQRT(Parameters!$B$9)*NORM.S.INV(RAND())</f>
        <v/>
      </c>
      <c r="JC13" s="19">
        <f>SQRT(Parameters!$B$5)*Factors!JC4+SQRT(Parameters!$B$6)*Factors!JC7+SQRT(Parameters!$B$7)*Factors!JC9+SQRT(Parameters!$B$9)*NORM.S.INV(RAND())</f>
        <v/>
      </c>
      <c r="JD13" s="19">
        <f>SQRT(Parameters!$B$5)*Factors!JD4+SQRT(Parameters!$B$6)*Factors!JD7+SQRT(Parameters!$B$7)*Factors!JD9+SQRT(Parameters!$B$9)*NORM.S.INV(RAND())</f>
        <v/>
      </c>
      <c r="JE13" s="19">
        <f>SQRT(Parameters!$B$5)*Factors!JE4+SQRT(Parameters!$B$6)*Factors!JE7+SQRT(Parameters!$B$7)*Factors!JE9+SQRT(Parameters!$B$9)*NORM.S.INV(RAND())</f>
        <v/>
      </c>
      <c r="JF13" s="19">
        <f>SQRT(Parameters!$B$5)*Factors!JF4+SQRT(Parameters!$B$6)*Factors!JF7+SQRT(Parameters!$B$7)*Factors!JF9+SQRT(Parameters!$B$9)*NORM.S.INV(RAND())</f>
        <v/>
      </c>
      <c r="JG13" s="19">
        <f>SQRT(Parameters!$B$5)*Factors!JG4+SQRT(Parameters!$B$6)*Factors!JG7+SQRT(Parameters!$B$7)*Factors!JG9+SQRT(Parameters!$B$9)*NORM.S.INV(RAND())</f>
        <v/>
      </c>
      <c r="JH13" s="19">
        <f>SQRT(Parameters!$B$5)*Factors!JH4+SQRT(Parameters!$B$6)*Factors!JH7+SQRT(Parameters!$B$7)*Factors!JH9+SQRT(Parameters!$B$9)*NORM.S.INV(RAND())</f>
        <v/>
      </c>
      <c r="JI13" s="19">
        <f>SQRT(Parameters!$B$5)*Factors!JI4+SQRT(Parameters!$B$6)*Factors!JI7+SQRT(Parameters!$B$7)*Factors!JI9+SQRT(Parameters!$B$9)*NORM.S.INV(RAND())</f>
        <v/>
      </c>
      <c r="JJ13" s="19">
        <f>SQRT(Parameters!$B$5)*Factors!JJ4+SQRT(Parameters!$B$6)*Factors!JJ7+SQRT(Parameters!$B$7)*Factors!JJ9+SQRT(Parameters!$B$9)*NORM.S.INV(RAND())</f>
        <v/>
      </c>
      <c r="JK13" s="19">
        <f>SQRT(Parameters!$B$5)*Factors!JK4+SQRT(Parameters!$B$6)*Factors!JK7+SQRT(Parameters!$B$7)*Factors!JK9+SQRT(Parameters!$B$9)*NORM.S.INV(RAND())</f>
        <v/>
      </c>
      <c r="JL13" s="19">
        <f>SQRT(Parameters!$B$5)*Factors!JL4+SQRT(Parameters!$B$6)*Factors!JL7+SQRT(Parameters!$B$7)*Factors!JL9+SQRT(Parameters!$B$9)*NORM.S.INV(RAND())</f>
        <v/>
      </c>
      <c r="JM13" s="19">
        <f>SQRT(Parameters!$B$5)*Factors!JM4+SQRT(Parameters!$B$6)*Factors!JM7+SQRT(Parameters!$B$7)*Factors!JM9+SQRT(Parameters!$B$9)*NORM.S.INV(RAND())</f>
        <v/>
      </c>
      <c r="JN13" s="19">
        <f>SQRT(Parameters!$B$5)*Factors!JN4+SQRT(Parameters!$B$6)*Factors!JN7+SQRT(Parameters!$B$7)*Factors!JN9+SQRT(Parameters!$B$9)*NORM.S.INV(RAND())</f>
        <v/>
      </c>
      <c r="JO13" s="19">
        <f>SQRT(Parameters!$B$5)*Factors!JO4+SQRT(Parameters!$B$6)*Factors!JO7+SQRT(Parameters!$B$7)*Factors!JO9+SQRT(Parameters!$B$9)*NORM.S.INV(RAND())</f>
        <v/>
      </c>
      <c r="JP13" s="19">
        <f>SQRT(Parameters!$B$5)*Factors!JP4+SQRT(Parameters!$B$6)*Factors!JP7+SQRT(Parameters!$B$7)*Factors!JP9+SQRT(Parameters!$B$9)*NORM.S.INV(RAND())</f>
        <v/>
      </c>
      <c r="JQ13" s="19">
        <f>SQRT(Parameters!$B$5)*Factors!JQ4+SQRT(Parameters!$B$6)*Factors!JQ7+SQRT(Parameters!$B$7)*Factors!JQ9+SQRT(Parameters!$B$9)*NORM.S.INV(RAND())</f>
        <v/>
      </c>
      <c r="JR13" s="19">
        <f>SQRT(Parameters!$B$5)*Factors!JR4+SQRT(Parameters!$B$6)*Factors!JR7+SQRT(Parameters!$B$7)*Factors!JR9+SQRT(Parameters!$B$9)*NORM.S.INV(RAND())</f>
        <v/>
      </c>
      <c r="JS13" s="19">
        <f>SQRT(Parameters!$B$5)*Factors!JS4+SQRT(Parameters!$B$6)*Factors!JS7+SQRT(Parameters!$B$7)*Factors!JS9+SQRT(Parameters!$B$9)*NORM.S.INV(RAND())</f>
        <v/>
      </c>
      <c r="JT13" s="19">
        <f>SQRT(Parameters!$B$5)*Factors!JT4+SQRT(Parameters!$B$6)*Factors!JT7+SQRT(Parameters!$B$7)*Factors!JT9+SQRT(Parameters!$B$9)*NORM.S.INV(RAND())</f>
        <v/>
      </c>
      <c r="JU13" s="19">
        <f>SQRT(Parameters!$B$5)*Factors!JU4+SQRT(Parameters!$B$6)*Factors!JU7+SQRT(Parameters!$B$7)*Factors!JU9+SQRT(Parameters!$B$9)*NORM.S.INV(RAND())</f>
        <v/>
      </c>
      <c r="JV13" s="19">
        <f>SQRT(Parameters!$B$5)*Factors!JV4+SQRT(Parameters!$B$6)*Factors!JV7+SQRT(Parameters!$B$7)*Factors!JV9+SQRT(Parameters!$B$9)*NORM.S.INV(RAND())</f>
        <v/>
      </c>
      <c r="JW13" s="19">
        <f>SQRT(Parameters!$B$5)*Factors!JW4+SQRT(Parameters!$B$6)*Factors!JW7+SQRT(Parameters!$B$7)*Factors!JW9+SQRT(Parameters!$B$9)*NORM.S.INV(RAND())</f>
        <v/>
      </c>
      <c r="JX13" s="19">
        <f>SQRT(Parameters!$B$5)*Factors!JX4+SQRT(Parameters!$B$6)*Factors!JX7+SQRT(Parameters!$B$7)*Factors!JX9+SQRT(Parameters!$B$9)*NORM.S.INV(RAND())</f>
        <v/>
      </c>
      <c r="JY13" s="19">
        <f>SQRT(Parameters!$B$5)*Factors!JY4+SQRT(Parameters!$B$6)*Factors!JY7+SQRT(Parameters!$B$7)*Factors!JY9+SQRT(Parameters!$B$9)*NORM.S.INV(RAND())</f>
        <v/>
      </c>
      <c r="JZ13" s="19">
        <f>SQRT(Parameters!$B$5)*Factors!JZ4+SQRT(Parameters!$B$6)*Factors!JZ7+SQRT(Parameters!$B$7)*Factors!JZ9+SQRT(Parameters!$B$9)*NORM.S.INV(RAND())</f>
        <v/>
      </c>
      <c r="KA13" s="19">
        <f>SQRT(Parameters!$B$5)*Factors!KA4+SQRT(Parameters!$B$6)*Factors!KA7+SQRT(Parameters!$B$7)*Factors!KA9+SQRT(Parameters!$B$9)*NORM.S.INV(RAND())</f>
        <v/>
      </c>
      <c r="KB13" s="19">
        <f>SQRT(Parameters!$B$5)*Factors!KB4+SQRT(Parameters!$B$6)*Factors!KB7+SQRT(Parameters!$B$7)*Factors!KB9+SQRT(Parameters!$B$9)*NORM.S.INV(RAND())</f>
        <v/>
      </c>
      <c r="KC13" s="19">
        <f>SQRT(Parameters!$B$5)*Factors!KC4+SQRT(Parameters!$B$6)*Factors!KC7+SQRT(Parameters!$B$7)*Factors!KC9+SQRT(Parameters!$B$9)*NORM.S.INV(RAND())</f>
        <v/>
      </c>
      <c r="KD13" s="19">
        <f>SQRT(Parameters!$B$5)*Factors!KD4+SQRT(Parameters!$B$6)*Factors!KD7+SQRT(Parameters!$B$7)*Factors!KD9+SQRT(Parameters!$B$9)*NORM.S.INV(RAND())</f>
        <v/>
      </c>
      <c r="KE13" s="19">
        <f>SQRT(Parameters!$B$5)*Factors!KE4+SQRT(Parameters!$B$6)*Factors!KE7+SQRT(Parameters!$B$7)*Factors!KE9+SQRT(Parameters!$B$9)*NORM.S.INV(RAND())</f>
        <v/>
      </c>
      <c r="KF13" s="19">
        <f>SQRT(Parameters!$B$5)*Factors!KF4+SQRT(Parameters!$B$6)*Factors!KF7+SQRT(Parameters!$B$7)*Factors!KF9+SQRT(Parameters!$B$9)*NORM.S.INV(RAND())</f>
        <v/>
      </c>
      <c r="KG13" s="19">
        <f>SQRT(Parameters!$B$5)*Factors!KG4+SQRT(Parameters!$B$6)*Factors!KG7+SQRT(Parameters!$B$7)*Factors!KG9+SQRT(Parameters!$B$9)*NORM.S.INV(RAND())</f>
        <v/>
      </c>
      <c r="KH13" s="19">
        <f>SQRT(Parameters!$B$5)*Factors!KH4+SQRT(Parameters!$B$6)*Factors!KH7+SQRT(Parameters!$B$7)*Factors!KH9+SQRT(Parameters!$B$9)*NORM.S.INV(RAND())</f>
        <v/>
      </c>
      <c r="KI13" s="19">
        <f>SQRT(Parameters!$B$5)*Factors!KI4+SQRT(Parameters!$B$6)*Factors!KI7+SQRT(Parameters!$B$7)*Factors!KI9+SQRT(Parameters!$B$9)*NORM.S.INV(RAND())</f>
        <v/>
      </c>
      <c r="KJ13" s="19">
        <f>SQRT(Parameters!$B$5)*Factors!KJ4+SQRT(Parameters!$B$6)*Factors!KJ7+SQRT(Parameters!$B$7)*Factors!KJ9+SQRT(Parameters!$B$9)*NORM.S.INV(RAND())</f>
        <v/>
      </c>
      <c r="KK13" s="19">
        <f>SQRT(Parameters!$B$5)*Factors!KK4+SQRT(Parameters!$B$6)*Factors!KK7+SQRT(Parameters!$B$7)*Factors!KK9+SQRT(Parameters!$B$9)*NORM.S.INV(RAND())</f>
        <v/>
      </c>
      <c r="KL13" s="19">
        <f>SQRT(Parameters!$B$5)*Factors!KL4+SQRT(Parameters!$B$6)*Factors!KL7+SQRT(Parameters!$B$7)*Factors!KL9+SQRT(Parameters!$B$9)*NORM.S.INV(RAND())</f>
        <v/>
      </c>
      <c r="KM13" s="19">
        <f>SQRT(Parameters!$B$5)*Factors!KM4+SQRT(Parameters!$B$6)*Factors!KM7+SQRT(Parameters!$B$7)*Factors!KM9+SQRT(Parameters!$B$9)*NORM.S.INV(RAND())</f>
        <v/>
      </c>
      <c r="KN13" s="19">
        <f>SQRT(Parameters!$B$5)*Factors!KN4+SQRT(Parameters!$B$6)*Factors!KN7+SQRT(Parameters!$B$7)*Factors!KN9+SQRT(Parameters!$B$9)*NORM.S.INV(RAND())</f>
        <v/>
      </c>
      <c r="KO13" s="19">
        <f>SQRT(Parameters!$B$5)*Factors!KO4+SQRT(Parameters!$B$6)*Factors!KO7+SQRT(Parameters!$B$7)*Factors!KO9+SQRT(Parameters!$B$9)*NORM.S.INV(RAND())</f>
        <v/>
      </c>
      <c r="KP13" s="19">
        <f>SQRT(Parameters!$B$5)*Factors!KP4+SQRT(Parameters!$B$6)*Factors!KP7+SQRT(Parameters!$B$7)*Factors!KP9+SQRT(Parameters!$B$9)*NORM.S.INV(RAND())</f>
        <v/>
      </c>
      <c r="KQ13" s="19">
        <f>SQRT(Parameters!$B$5)*Factors!KQ4+SQRT(Parameters!$B$6)*Factors!KQ7+SQRT(Parameters!$B$7)*Factors!KQ9+SQRT(Parameters!$B$9)*NORM.S.INV(RAND())</f>
        <v/>
      </c>
      <c r="KR13" s="19">
        <f>SQRT(Parameters!$B$5)*Factors!KR4+SQRT(Parameters!$B$6)*Factors!KR7+SQRT(Parameters!$B$7)*Factors!KR9+SQRT(Parameters!$B$9)*NORM.S.INV(RAND())</f>
        <v/>
      </c>
      <c r="KS13" s="19">
        <f>SQRT(Parameters!$B$5)*Factors!KS4+SQRT(Parameters!$B$6)*Factors!KS7+SQRT(Parameters!$B$7)*Factors!KS9+SQRT(Parameters!$B$9)*NORM.S.INV(RAND())</f>
        <v/>
      </c>
      <c r="KT13" s="19">
        <f>SQRT(Parameters!$B$5)*Factors!KT4+SQRT(Parameters!$B$6)*Factors!KT7+SQRT(Parameters!$B$7)*Factors!KT9+SQRT(Parameters!$B$9)*NORM.S.INV(RAND())</f>
        <v/>
      </c>
      <c r="KU13" s="19">
        <f>SQRT(Parameters!$B$5)*Factors!KU4+SQRT(Parameters!$B$6)*Factors!KU7+SQRT(Parameters!$B$7)*Factors!KU9+SQRT(Parameters!$B$9)*NORM.S.INV(RAND())</f>
        <v/>
      </c>
      <c r="KV13" s="19">
        <f>SQRT(Parameters!$B$5)*Factors!KV4+SQRT(Parameters!$B$6)*Factors!KV7+SQRT(Parameters!$B$7)*Factors!KV9+SQRT(Parameters!$B$9)*NORM.S.INV(RAND())</f>
        <v/>
      </c>
      <c r="KW13" s="19">
        <f>SQRT(Parameters!$B$5)*Factors!KW4+SQRT(Parameters!$B$6)*Factors!KW7+SQRT(Parameters!$B$7)*Factors!KW9+SQRT(Parameters!$B$9)*NORM.S.INV(RAND())</f>
        <v/>
      </c>
      <c r="KX13" s="19">
        <f>SQRT(Parameters!$B$5)*Factors!KX4+SQRT(Parameters!$B$6)*Factors!KX7+SQRT(Parameters!$B$7)*Factors!KX9+SQRT(Parameters!$B$9)*NORM.S.INV(RAND())</f>
        <v/>
      </c>
      <c r="KY13" s="19">
        <f>SQRT(Parameters!$B$5)*Factors!KY4+SQRT(Parameters!$B$6)*Factors!KY7+SQRT(Parameters!$B$7)*Factors!KY9+SQRT(Parameters!$B$9)*NORM.S.INV(RAND())</f>
        <v/>
      </c>
      <c r="KZ13" s="19">
        <f>SQRT(Parameters!$B$5)*Factors!KZ4+SQRT(Parameters!$B$6)*Factors!KZ7+SQRT(Parameters!$B$7)*Factors!KZ9+SQRT(Parameters!$B$9)*NORM.S.INV(RAND())</f>
        <v/>
      </c>
      <c r="LA13" s="19">
        <f>SQRT(Parameters!$B$5)*Factors!LA4+SQRT(Parameters!$B$6)*Factors!LA7+SQRT(Parameters!$B$7)*Factors!LA9+SQRT(Parameters!$B$9)*NORM.S.INV(RAND())</f>
        <v/>
      </c>
      <c r="LB13" s="19">
        <f>SQRT(Parameters!$B$5)*Factors!LB4+SQRT(Parameters!$B$6)*Factors!LB7+SQRT(Parameters!$B$7)*Factors!LB9+SQRT(Parameters!$B$9)*NORM.S.INV(RAND())</f>
        <v/>
      </c>
      <c r="LC13" s="19">
        <f>SQRT(Parameters!$B$5)*Factors!LC4+SQRT(Parameters!$B$6)*Factors!LC7+SQRT(Parameters!$B$7)*Factors!LC9+SQRT(Parameters!$B$9)*NORM.S.INV(RAND())</f>
        <v/>
      </c>
      <c r="LD13" s="19">
        <f>SQRT(Parameters!$B$5)*Factors!LD4+SQRT(Parameters!$B$6)*Factors!LD7+SQRT(Parameters!$B$7)*Factors!LD9+SQRT(Parameters!$B$9)*NORM.S.INV(RAND())</f>
        <v/>
      </c>
      <c r="LE13" s="19">
        <f>SQRT(Parameters!$B$5)*Factors!LE4+SQRT(Parameters!$B$6)*Factors!LE7+SQRT(Parameters!$B$7)*Factors!LE9+SQRT(Parameters!$B$9)*NORM.S.INV(RAND())</f>
        <v/>
      </c>
      <c r="LF13" s="19">
        <f>SQRT(Parameters!$B$5)*Factors!LF4+SQRT(Parameters!$B$6)*Factors!LF7+SQRT(Parameters!$B$7)*Factors!LF9+SQRT(Parameters!$B$9)*NORM.S.INV(RAND())</f>
        <v/>
      </c>
      <c r="LG13" s="19">
        <f>SQRT(Parameters!$B$5)*Factors!LG4+SQRT(Parameters!$B$6)*Factors!LG7+SQRT(Parameters!$B$7)*Factors!LG9+SQRT(Parameters!$B$9)*NORM.S.INV(RAND())</f>
        <v/>
      </c>
      <c r="LH13" s="19">
        <f>SQRT(Parameters!$B$5)*Factors!LH4+SQRT(Parameters!$B$6)*Factors!LH7+SQRT(Parameters!$B$7)*Factors!LH9+SQRT(Parameters!$B$9)*NORM.S.INV(RAND())</f>
        <v/>
      </c>
      <c r="LI13" s="19">
        <f>SQRT(Parameters!$B$5)*Factors!LI4+SQRT(Parameters!$B$6)*Factors!LI7+SQRT(Parameters!$B$7)*Factors!LI9+SQRT(Parameters!$B$9)*NORM.S.INV(RAND())</f>
        <v/>
      </c>
      <c r="LJ13" s="19">
        <f>SQRT(Parameters!$B$5)*Factors!LJ4+SQRT(Parameters!$B$6)*Factors!LJ7+SQRT(Parameters!$B$7)*Factors!LJ9+SQRT(Parameters!$B$9)*NORM.S.INV(RAND())</f>
        <v/>
      </c>
      <c r="LK13" s="19">
        <f>SQRT(Parameters!$B$5)*Factors!LK4+SQRT(Parameters!$B$6)*Factors!LK7+SQRT(Parameters!$B$7)*Factors!LK9+SQRT(Parameters!$B$9)*NORM.S.INV(RAND())</f>
        <v/>
      </c>
      <c r="LL13" s="19">
        <f>SQRT(Parameters!$B$5)*Factors!LL4+SQRT(Parameters!$B$6)*Factors!LL7+SQRT(Parameters!$B$7)*Factors!LL9+SQRT(Parameters!$B$9)*NORM.S.INV(RAND())</f>
        <v/>
      </c>
      <c r="LM13" s="19">
        <f>SQRT(Parameters!$B$5)*Factors!LM4+SQRT(Parameters!$B$6)*Factors!LM7+SQRT(Parameters!$B$7)*Factors!LM9+SQRT(Parameters!$B$9)*NORM.S.INV(RAND())</f>
        <v/>
      </c>
      <c r="LN13" s="19">
        <f>SQRT(Parameters!$B$5)*Factors!LN4+SQRT(Parameters!$B$6)*Factors!LN7+SQRT(Parameters!$B$7)*Factors!LN9+SQRT(Parameters!$B$9)*NORM.S.INV(RAND())</f>
        <v/>
      </c>
      <c r="LO13" s="19">
        <f>SQRT(Parameters!$B$5)*Factors!LO4+SQRT(Parameters!$B$6)*Factors!LO7+SQRT(Parameters!$B$7)*Factors!LO9+SQRT(Parameters!$B$9)*NORM.S.INV(RAND())</f>
        <v/>
      </c>
      <c r="LP13" s="19">
        <f>SQRT(Parameters!$B$5)*Factors!LP4+SQRT(Parameters!$B$6)*Factors!LP7+SQRT(Parameters!$B$7)*Factors!LP9+SQRT(Parameters!$B$9)*NORM.S.INV(RAND())</f>
        <v/>
      </c>
      <c r="LQ13" s="19">
        <f>SQRT(Parameters!$B$5)*Factors!LQ4+SQRT(Parameters!$B$6)*Factors!LQ7+SQRT(Parameters!$B$7)*Factors!LQ9+SQRT(Parameters!$B$9)*NORM.S.INV(RAND())</f>
        <v/>
      </c>
      <c r="LR13" s="19">
        <f>SQRT(Parameters!$B$5)*Factors!LR4+SQRT(Parameters!$B$6)*Factors!LR7+SQRT(Parameters!$B$7)*Factors!LR9+SQRT(Parameters!$B$9)*NORM.S.INV(RAND())</f>
        <v/>
      </c>
      <c r="LS13" s="19">
        <f>SQRT(Parameters!$B$5)*Factors!LS4+SQRT(Parameters!$B$6)*Factors!LS7+SQRT(Parameters!$B$7)*Factors!LS9+SQRT(Parameters!$B$9)*NORM.S.INV(RAND())</f>
        <v/>
      </c>
      <c r="LT13" s="19">
        <f>SQRT(Parameters!$B$5)*Factors!LT4+SQRT(Parameters!$B$6)*Factors!LT7+SQRT(Parameters!$B$7)*Factors!LT9+SQRT(Parameters!$B$9)*NORM.S.INV(RAND())</f>
        <v/>
      </c>
      <c r="LU13" s="19">
        <f>SQRT(Parameters!$B$5)*Factors!LU4+SQRT(Parameters!$B$6)*Factors!LU7+SQRT(Parameters!$B$7)*Factors!LU9+SQRT(Parameters!$B$9)*NORM.S.INV(RAND())</f>
        <v/>
      </c>
      <c r="LV13" s="19">
        <f>SQRT(Parameters!$B$5)*Factors!LV4+SQRT(Parameters!$B$6)*Factors!LV7+SQRT(Parameters!$B$7)*Factors!LV9+SQRT(Parameters!$B$9)*NORM.S.INV(RAND())</f>
        <v/>
      </c>
      <c r="LW13" s="19">
        <f>SQRT(Parameters!$B$5)*Factors!LW4+SQRT(Parameters!$B$6)*Factors!LW7+SQRT(Parameters!$B$7)*Factors!LW9+SQRT(Parameters!$B$9)*NORM.S.INV(RAND())</f>
        <v/>
      </c>
      <c r="LX13" s="19">
        <f>SQRT(Parameters!$B$5)*Factors!LX4+SQRT(Parameters!$B$6)*Factors!LX7+SQRT(Parameters!$B$7)*Factors!LX9+SQRT(Parameters!$B$9)*NORM.S.INV(RAND())</f>
        <v/>
      </c>
      <c r="LY13" s="19">
        <f>SQRT(Parameters!$B$5)*Factors!LY4+SQRT(Parameters!$B$6)*Factors!LY7+SQRT(Parameters!$B$7)*Factors!LY9+SQRT(Parameters!$B$9)*NORM.S.INV(RAND())</f>
        <v/>
      </c>
      <c r="LZ13" s="19">
        <f>SQRT(Parameters!$B$5)*Factors!LZ4+SQRT(Parameters!$B$6)*Factors!LZ7+SQRT(Parameters!$B$7)*Factors!LZ9+SQRT(Parameters!$B$9)*NORM.S.INV(RAND())</f>
        <v/>
      </c>
      <c r="MA13" s="19">
        <f>SQRT(Parameters!$B$5)*Factors!MA4+SQRT(Parameters!$B$6)*Factors!MA7+SQRT(Parameters!$B$7)*Factors!MA9+SQRT(Parameters!$B$9)*NORM.S.INV(RAND())</f>
        <v/>
      </c>
      <c r="MB13" s="19">
        <f>SQRT(Parameters!$B$5)*Factors!MB4+SQRT(Parameters!$B$6)*Factors!MB7+SQRT(Parameters!$B$7)*Factors!MB9+SQRT(Parameters!$B$9)*NORM.S.INV(RAND())</f>
        <v/>
      </c>
      <c r="MC13" s="19">
        <f>SQRT(Parameters!$B$5)*Factors!MC4+SQRT(Parameters!$B$6)*Factors!MC7+SQRT(Parameters!$B$7)*Factors!MC9+SQRT(Parameters!$B$9)*NORM.S.INV(RAND())</f>
        <v/>
      </c>
      <c r="MD13" s="19">
        <f>SQRT(Parameters!$B$5)*Factors!MD4+SQRT(Parameters!$B$6)*Factors!MD7+SQRT(Parameters!$B$7)*Factors!MD9+SQRT(Parameters!$B$9)*NORM.S.INV(RAND())</f>
        <v/>
      </c>
      <c r="ME13" s="19">
        <f>SQRT(Parameters!$B$5)*Factors!ME4+SQRT(Parameters!$B$6)*Factors!ME7+SQRT(Parameters!$B$7)*Factors!ME9+SQRT(Parameters!$B$9)*NORM.S.INV(RAND())</f>
        <v/>
      </c>
      <c r="MF13" s="19">
        <f>SQRT(Parameters!$B$5)*Factors!MF4+SQRT(Parameters!$B$6)*Factors!MF7+SQRT(Parameters!$B$7)*Factors!MF9+SQRT(Parameters!$B$9)*NORM.S.INV(RAND())</f>
        <v/>
      </c>
      <c r="MG13" s="19">
        <f>SQRT(Parameters!$B$5)*Factors!MG4+SQRT(Parameters!$B$6)*Factors!MG7+SQRT(Parameters!$B$7)*Factors!MG9+SQRT(Parameters!$B$9)*NORM.S.INV(RAND())</f>
        <v/>
      </c>
      <c r="MH13" s="19">
        <f>SQRT(Parameters!$B$5)*Factors!MH4+SQRT(Parameters!$B$6)*Factors!MH7+SQRT(Parameters!$B$7)*Factors!MH9+SQRT(Parameters!$B$9)*NORM.S.INV(RAND())</f>
        <v/>
      </c>
      <c r="MI13" s="19">
        <f>SQRT(Parameters!$B$5)*Factors!MI4+SQRT(Parameters!$B$6)*Factors!MI7+SQRT(Parameters!$B$7)*Factors!MI9+SQRT(Parameters!$B$9)*NORM.S.INV(RAND())</f>
        <v/>
      </c>
      <c r="MJ13" s="19">
        <f>SQRT(Parameters!$B$5)*Factors!MJ4+SQRT(Parameters!$B$6)*Factors!MJ7+SQRT(Parameters!$B$7)*Factors!MJ9+SQRT(Parameters!$B$9)*NORM.S.INV(RAND())</f>
        <v/>
      </c>
      <c r="MK13" s="19">
        <f>SQRT(Parameters!$B$5)*Factors!MK4+SQRT(Parameters!$B$6)*Factors!MK7+SQRT(Parameters!$B$7)*Factors!MK9+SQRT(Parameters!$B$9)*NORM.S.INV(RAND())</f>
        <v/>
      </c>
      <c r="ML13" s="19">
        <f>SQRT(Parameters!$B$5)*Factors!ML4+SQRT(Parameters!$B$6)*Factors!ML7+SQRT(Parameters!$B$7)*Factors!ML9+SQRT(Parameters!$B$9)*NORM.S.INV(RAND())</f>
        <v/>
      </c>
      <c r="MM13" s="19">
        <f>SQRT(Parameters!$B$5)*Factors!MM4+SQRT(Parameters!$B$6)*Factors!MM7+SQRT(Parameters!$B$7)*Factors!MM9+SQRT(Parameters!$B$9)*NORM.S.INV(RAND())</f>
        <v/>
      </c>
      <c r="MN13" s="19">
        <f>SQRT(Parameters!$B$5)*Factors!MN4+SQRT(Parameters!$B$6)*Factors!MN7+SQRT(Parameters!$B$7)*Factors!MN9+SQRT(Parameters!$B$9)*NORM.S.INV(RAND())</f>
        <v/>
      </c>
      <c r="MO13" s="19">
        <f>SQRT(Parameters!$B$5)*Factors!MO4+SQRT(Parameters!$B$6)*Factors!MO7+SQRT(Parameters!$B$7)*Factors!MO9+SQRT(Parameters!$B$9)*NORM.S.INV(RAND())</f>
        <v/>
      </c>
      <c r="MP13" s="19">
        <f>SQRT(Parameters!$B$5)*Factors!MP4+SQRT(Parameters!$B$6)*Factors!MP7+SQRT(Parameters!$B$7)*Factors!MP9+SQRT(Parameters!$B$9)*NORM.S.INV(RAND())</f>
        <v/>
      </c>
      <c r="MQ13" s="19">
        <f>SQRT(Parameters!$B$5)*Factors!MQ4+SQRT(Parameters!$B$6)*Factors!MQ7+SQRT(Parameters!$B$7)*Factors!MQ9+SQRT(Parameters!$B$9)*NORM.S.INV(RAND())</f>
        <v/>
      </c>
      <c r="MR13" s="19">
        <f>SQRT(Parameters!$B$5)*Factors!MR4+SQRT(Parameters!$B$6)*Factors!MR7+SQRT(Parameters!$B$7)*Factors!MR9+SQRT(Parameters!$B$9)*NORM.S.INV(RAND())</f>
        <v/>
      </c>
      <c r="MS13" s="19">
        <f>SQRT(Parameters!$B$5)*Factors!MS4+SQRT(Parameters!$B$6)*Factors!MS7+SQRT(Parameters!$B$7)*Factors!MS9+SQRT(Parameters!$B$9)*NORM.S.INV(RAND())</f>
        <v/>
      </c>
      <c r="MT13" s="19">
        <f>SQRT(Parameters!$B$5)*Factors!MT4+SQRT(Parameters!$B$6)*Factors!MT7+SQRT(Parameters!$B$7)*Factors!MT9+SQRT(Parameters!$B$9)*NORM.S.INV(RAND())</f>
        <v/>
      </c>
      <c r="MU13" s="19">
        <f>SQRT(Parameters!$B$5)*Factors!MU4+SQRT(Parameters!$B$6)*Factors!MU7+SQRT(Parameters!$B$7)*Factors!MU9+SQRT(Parameters!$B$9)*NORM.S.INV(RAND())</f>
        <v/>
      </c>
      <c r="MV13" s="19">
        <f>SQRT(Parameters!$B$5)*Factors!MV4+SQRT(Parameters!$B$6)*Factors!MV7+SQRT(Parameters!$B$7)*Factors!MV9+SQRT(Parameters!$B$9)*NORM.S.INV(RAND())</f>
        <v/>
      </c>
      <c r="MW13" s="19">
        <f>SQRT(Parameters!$B$5)*Factors!MW4+SQRT(Parameters!$B$6)*Factors!MW7+SQRT(Parameters!$B$7)*Factors!MW9+SQRT(Parameters!$B$9)*NORM.S.INV(RAND())</f>
        <v/>
      </c>
      <c r="MX13" s="19">
        <f>SQRT(Parameters!$B$5)*Factors!MX4+SQRT(Parameters!$B$6)*Factors!MX7+SQRT(Parameters!$B$7)*Factors!MX9+SQRT(Parameters!$B$9)*NORM.S.INV(RAND())</f>
        <v/>
      </c>
      <c r="MY13" s="19">
        <f>SQRT(Parameters!$B$5)*Factors!MY4+SQRT(Parameters!$B$6)*Factors!MY7+SQRT(Parameters!$B$7)*Factors!MY9+SQRT(Parameters!$B$9)*NORM.S.INV(RAND())</f>
        <v/>
      </c>
      <c r="MZ13" s="19">
        <f>SQRT(Parameters!$B$5)*Factors!MZ4+SQRT(Parameters!$B$6)*Factors!MZ7+SQRT(Parameters!$B$7)*Factors!MZ9+SQRT(Parameters!$B$9)*NORM.S.INV(RAND())</f>
        <v/>
      </c>
      <c r="NA13" s="19">
        <f>SQRT(Parameters!$B$5)*Factors!NA4+SQRT(Parameters!$B$6)*Factors!NA7+SQRT(Parameters!$B$7)*Factors!NA9+SQRT(Parameters!$B$9)*NORM.S.INV(RAND())</f>
        <v/>
      </c>
      <c r="NB13" s="19">
        <f>SQRT(Parameters!$B$5)*Factors!NB4+SQRT(Parameters!$B$6)*Factors!NB7+SQRT(Parameters!$B$7)*Factors!NB9+SQRT(Parameters!$B$9)*NORM.S.INV(RAND())</f>
        <v/>
      </c>
      <c r="NC13" s="19">
        <f>SQRT(Parameters!$B$5)*Factors!NC4+SQRT(Parameters!$B$6)*Factors!NC7+SQRT(Parameters!$B$7)*Factors!NC9+SQRT(Parameters!$B$9)*NORM.S.INV(RAND())</f>
        <v/>
      </c>
      <c r="ND13" s="19">
        <f>SQRT(Parameters!$B$5)*Factors!ND4+SQRT(Parameters!$B$6)*Factors!ND7+SQRT(Parameters!$B$7)*Factors!ND9+SQRT(Parameters!$B$9)*NORM.S.INV(RAND())</f>
        <v/>
      </c>
      <c r="NE13" s="19">
        <f>SQRT(Parameters!$B$5)*Factors!NE4+SQRT(Parameters!$B$6)*Factors!NE7+SQRT(Parameters!$B$7)*Factors!NE9+SQRT(Parameters!$B$9)*NORM.S.INV(RAND())</f>
        <v/>
      </c>
      <c r="NF13" s="19">
        <f>SQRT(Parameters!$B$5)*Factors!NF4+SQRT(Parameters!$B$6)*Factors!NF7+SQRT(Parameters!$B$7)*Factors!NF9+SQRT(Parameters!$B$9)*NORM.S.INV(RAND())</f>
        <v/>
      </c>
      <c r="NG13" s="19">
        <f>SQRT(Parameters!$B$5)*Factors!NG4+SQRT(Parameters!$B$6)*Factors!NG7+SQRT(Parameters!$B$7)*Factors!NG9+SQRT(Parameters!$B$9)*NORM.S.INV(RAND())</f>
        <v/>
      </c>
      <c r="NH13" s="19">
        <f>SQRT(Parameters!$B$5)*Factors!NH4+SQRT(Parameters!$B$6)*Factors!NH7+SQRT(Parameters!$B$7)*Factors!NH9+SQRT(Parameters!$B$9)*NORM.S.INV(RAND())</f>
        <v/>
      </c>
      <c r="NI13" s="19">
        <f>SQRT(Parameters!$B$5)*Factors!NI4+SQRT(Parameters!$B$6)*Factors!NI7+SQRT(Parameters!$B$7)*Factors!NI9+SQRT(Parameters!$B$9)*NORM.S.INV(RAND())</f>
        <v/>
      </c>
      <c r="NJ13" s="19">
        <f>SQRT(Parameters!$B$5)*Factors!NJ4+SQRT(Parameters!$B$6)*Factors!NJ7+SQRT(Parameters!$B$7)*Factors!NJ9+SQRT(Parameters!$B$9)*NORM.S.INV(RAND())</f>
        <v/>
      </c>
      <c r="NK13" s="19">
        <f>SQRT(Parameters!$B$5)*Factors!NK4+SQRT(Parameters!$B$6)*Factors!NK7+SQRT(Parameters!$B$7)*Factors!NK9+SQRT(Parameters!$B$9)*NORM.S.INV(RAND())</f>
        <v/>
      </c>
      <c r="NL13" s="19">
        <f>SQRT(Parameters!$B$5)*Factors!NL4+SQRT(Parameters!$B$6)*Factors!NL7+SQRT(Parameters!$B$7)*Factors!NL9+SQRT(Parameters!$B$9)*NORM.S.INV(RAND())</f>
        <v/>
      </c>
      <c r="NM13" s="19">
        <f>SQRT(Parameters!$B$5)*Factors!NM4+SQRT(Parameters!$B$6)*Factors!NM7+SQRT(Parameters!$B$7)*Factors!NM9+SQRT(Parameters!$B$9)*NORM.S.INV(RAND())</f>
        <v/>
      </c>
      <c r="NN13" s="19">
        <f>SQRT(Parameters!$B$5)*Factors!NN4+SQRT(Parameters!$B$6)*Factors!NN7+SQRT(Parameters!$B$7)*Factors!NN9+SQRT(Parameters!$B$9)*NORM.S.INV(RAND())</f>
        <v/>
      </c>
      <c r="NO13" s="19">
        <f>SQRT(Parameters!$B$5)*Factors!NO4+SQRT(Parameters!$B$6)*Factors!NO7+SQRT(Parameters!$B$7)*Factors!NO9+SQRT(Parameters!$B$9)*NORM.S.INV(RAND())</f>
        <v/>
      </c>
      <c r="NP13" s="19">
        <f>SQRT(Parameters!$B$5)*Factors!NP4+SQRT(Parameters!$B$6)*Factors!NP7+SQRT(Parameters!$B$7)*Factors!NP9+SQRT(Parameters!$B$9)*NORM.S.INV(RAND())</f>
        <v/>
      </c>
      <c r="NQ13" s="19">
        <f>SQRT(Parameters!$B$5)*Factors!NQ4+SQRT(Parameters!$B$6)*Factors!NQ7+SQRT(Parameters!$B$7)*Factors!NQ9+SQRT(Parameters!$B$9)*NORM.S.INV(RAND())</f>
        <v/>
      </c>
      <c r="NR13" s="19">
        <f>SQRT(Parameters!$B$5)*Factors!NR4+SQRT(Parameters!$B$6)*Factors!NR7+SQRT(Parameters!$B$7)*Factors!NR9+SQRT(Parameters!$B$9)*NORM.S.INV(RAND())</f>
        <v/>
      </c>
      <c r="NS13" s="19">
        <f>SQRT(Parameters!$B$5)*Factors!NS4+SQRT(Parameters!$B$6)*Factors!NS7+SQRT(Parameters!$B$7)*Factors!NS9+SQRT(Parameters!$B$9)*NORM.S.INV(RAND())</f>
        <v/>
      </c>
      <c r="NT13" s="19">
        <f>SQRT(Parameters!$B$5)*Factors!NT4+SQRT(Parameters!$B$6)*Factors!NT7+SQRT(Parameters!$B$7)*Factors!NT9+SQRT(Parameters!$B$9)*NORM.S.INV(RAND())</f>
        <v/>
      </c>
      <c r="NU13" s="19">
        <f>SQRT(Parameters!$B$5)*Factors!NU4+SQRT(Parameters!$B$6)*Factors!NU7+SQRT(Parameters!$B$7)*Factors!NU9+SQRT(Parameters!$B$9)*NORM.S.INV(RAND())</f>
        <v/>
      </c>
      <c r="NV13" s="19">
        <f>SQRT(Parameters!$B$5)*Factors!NV4+SQRT(Parameters!$B$6)*Factors!NV7+SQRT(Parameters!$B$7)*Factors!NV9+SQRT(Parameters!$B$9)*NORM.S.INV(RAND())</f>
        <v/>
      </c>
      <c r="NW13" s="19">
        <f>SQRT(Parameters!$B$5)*Factors!NW4+SQRT(Parameters!$B$6)*Factors!NW7+SQRT(Parameters!$B$7)*Factors!NW9+SQRT(Parameters!$B$9)*NORM.S.INV(RAND())</f>
        <v/>
      </c>
      <c r="NX13" s="19">
        <f>SQRT(Parameters!$B$5)*Factors!NX4+SQRT(Parameters!$B$6)*Factors!NX7+SQRT(Parameters!$B$7)*Factors!NX9+SQRT(Parameters!$B$9)*NORM.S.INV(RAND())</f>
        <v/>
      </c>
      <c r="NY13" s="19">
        <f>SQRT(Parameters!$B$5)*Factors!NY4+SQRT(Parameters!$B$6)*Factors!NY7+SQRT(Parameters!$B$7)*Factors!NY9+SQRT(Parameters!$B$9)*NORM.S.INV(RAND())</f>
        <v/>
      </c>
      <c r="NZ13" s="19">
        <f>SQRT(Parameters!$B$5)*Factors!NZ4+SQRT(Parameters!$B$6)*Factors!NZ7+SQRT(Parameters!$B$7)*Factors!NZ9+SQRT(Parameters!$B$9)*NORM.S.INV(RAND())</f>
        <v/>
      </c>
      <c r="OA13" s="19">
        <f>SQRT(Parameters!$B$5)*Factors!OA4+SQRT(Parameters!$B$6)*Factors!OA7+SQRT(Parameters!$B$7)*Factors!OA9+SQRT(Parameters!$B$9)*NORM.S.INV(RAND())</f>
        <v/>
      </c>
      <c r="OB13" s="19">
        <f>SQRT(Parameters!$B$5)*Factors!OB4+SQRT(Parameters!$B$6)*Factors!OB7+SQRT(Parameters!$B$7)*Factors!OB9+SQRT(Parameters!$B$9)*NORM.S.INV(RAND())</f>
        <v/>
      </c>
      <c r="OC13" s="19">
        <f>SQRT(Parameters!$B$5)*Factors!OC4+SQRT(Parameters!$B$6)*Factors!OC7+SQRT(Parameters!$B$7)*Factors!OC9+SQRT(Parameters!$B$9)*NORM.S.INV(RAND())</f>
        <v/>
      </c>
      <c r="OD13" s="19">
        <f>SQRT(Parameters!$B$5)*Factors!OD4+SQRT(Parameters!$B$6)*Factors!OD7+SQRT(Parameters!$B$7)*Factors!OD9+SQRT(Parameters!$B$9)*NORM.S.INV(RAND())</f>
        <v/>
      </c>
      <c r="OE13" s="19">
        <f>SQRT(Parameters!$B$5)*Factors!OE4+SQRT(Parameters!$B$6)*Factors!OE7+SQRT(Parameters!$B$7)*Factors!OE9+SQRT(Parameters!$B$9)*NORM.S.INV(RAND())</f>
        <v/>
      </c>
      <c r="OF13" s="19">
        <f>SQRT(Parameters!$B$5)*Factors!OF4+SQRT(Parameters!$B$6)*Factors!OF7+SQRT(Parameters!$B$7)*Factors!OF9+SQRT(Parameters!$B$9)*NORM.S.INV(RAND())</f>
        <v/>
      </c>
      <c r="OG13" s="19">
        <f>SQRT(Parameters!$B$5)*Factors!OG4+SQRT(Parameters!$B$6)*Factors!OG7+SQRT(Parameters!$B$7)*Factors!OG9+SQRT(Parameters!$B$9)*NORM.S.INV(RAND())</f>
        <v/>
      </c>
      <c r="OH13" s="19">
        <f>SQRT(Parameters!$B$5)*Factors!OH4+SQRT(Parameters!$B$6)*Factors!OH7+SQRT(Parameters!$B$7)*Factors!OH9+SQRT(Parameters!$B$9)*NORM.S.INV(RAND())</f>
        <v/>
      </c>
      <c r="OI13" s="19">
        <f>SQRT(Parameters!$B$5)*Factors!OI4+SQRT(Parameters!$B$6)*Factors!OI7+SQRT(Parameters!$B$7)*Factors!OI9+SQRT(Parameters!$B$9)*NORM.S.INV(RAND())</f>
        <v/>
      </c>
      <c r="OJ13" s="19">
        <f>SQRT(Parameters!$B$5)*Factors!OJ4+SQRT(Parameters!$B$6)*Factors!OJ7+SQRT(Parameters!$B$7)*Factors!OJ9+SQRT(Parameters!$B$9)*NORM.S.INV(RAND())</f>
        <v/>
      </c>
      <c r="OK13" s="19">
        <f>SQRT(Parameters!$B$5)*Factors!OK4+SQRT(Parameters!$B$6)*Factors!OK7+SQRT(Parameters!$B$7)*Factors!OK9+SQRT(Parameters!$B$9)*NORM.S.INV(RAND())</f>
        <v/>
      </c>
      <c r="OL13" s="19">
        <f>SQRT(Parameters!$B$5)*Factors!OL4+SQRT(Parameters!$B$6)*Factors!OL7+SQRT(Parameters!$B$7)*Factors!OL9+SQRT(Parameters!$B$9)*NORM.S.INV(RAND())</f>
        <v/>
      </c>
      <c r="OM13" s="19">
        <f>SQRT(Parameters!$B$5)*Factors!OM4+SQRT(Parameters!$B$6)*Factors!OM7+SQRT(Parameters!$B$7)*Factors!OM9+SQRT(Parameters!$B$9)*NORM.S.INV(RAND())</f>
        <v/>
      </c>
      <c r="ON13" s="19">
        <f>SQRT(Parameters!$B$5)*Factors!ON4+SQRT(Parameters!$B$6)*Factors!ON7+SQRT(Parameters!$B$7)*Factors!ON9+SQRT(Parameters!$B$9)*NORM.S.INV(RAND())</f>
        <v/>
      </c>
      <c r="OO13" s="19">
        <f>SQRT(Parameters!$B$5)*Factors!OO4+SQRT(Parameters!$B$6)*Factors!OO7+SQRT(Parameters!$B$7)*Factors!OO9+SQRT(Parameters!$B$9)*NORM.S.INV(RAND())</f>
        <v/>
      </c>
      <c r="OP13" s="19">
        <f>SQRT(Parameters!$B$5)*Factors!OP4+SQRT(Parameters!$B$6)*Factors!OP7+SQRT(Parameters!$B$7)*Factors!OP9+SQRT(Parameters!$B$9)*NORM.S.INV(RAND())</f>
        <v/>
      </c>
      <c r="OQ13" s="19">
        <f>SQRT(Parameters!$B$5)*Factors!OQ4+SQRT(Parameters!$B$6)*Factors!OQ7+SQRT(Parameters!$B$7)*Factors!OQ9+SQRT(Parameters!$B$9)*NORM.S.INV(RAND())</f>
        <v/>
      </c>
      <c r="OR13" s="19">
        <f>SQRT(Parameters!$B$5)*Factors!OR4+SQRT(Parameters!$B$6)*Factors!OR7+SQRT(Parameters!$B$7)*Factors!OR9+SQRT(Parameters!$B$9)*NORM.S.INV(RAND())</f>
        <v/>
      </c>
      <c r="OS13" s="19">
        <f>SQRT(Parameters!$B$5)*Factors!OS4+SQRT(Parameters!$B$6)*Factors!OS7+SQRT(Parameters!$B$7)*Factors!OS9+SQRT(Parameters!$B$9)*NORM.S.INV(RAND())</f>
        <v/>
      </c>
      <c r="OT13" s="19">
        <f>SQRT(Parameters!$B$5)*Factors!OT4+SQRT(Parameters!$B$6)*Factors!OT7+SQRT(Parameters!$B$7)*Factors!OT9+SQRT(Parameters!$B$9)*NORM.S.INV(RAND())</f>
        <v/>
      </c>
      <c r="OU13" s="19">
        <f>SQRT(Parameters!$B$5)*Factors!OU4+SQRT(Parameters!$B$6)*Factors!OU7+SQRT(Parameters!$B$7)*Factors!OU9+SQRT(Parameters!$B$9)*NORM.S.INV(RAND())</f>
        <v/>
      </c>
      <c r="OV13" s="19">
        <f>SQRT(Parameters!$B$5)*Factors!OV4+SQRT(Parameters!$B$6)*Factors!OV7+SQRT(Parameters!$B$7)*Factors!OV9+SQRT(Parameters!$B$9)*NORM.S.INV(RAND())</f>
        <v/>
      </c>
      <c r="OW13" s="19">
        <f>SQRT(Parameters!$B$5)*Factors!OW4+SQRT(Parameters!$B$6)*Factors!OW7+SQRT(Parameters!$B$7)*Factors!OW9+SQRT(Parameters!$B$9)*NORM.S.INV(RAND())</f>
        <v/>
      </c>
      <c r="OX13" s="19">
        <f>SQRT(Parameters!$B$5)*Factors!OX4+SQRT(Parameters!$B$6)*Factors!OX7+SQRT(Parameters!$B$7)*Factors!OX9+SQRT(Parameters!$B$9)*NORM.S.INV(RAND())</f>
        <v/>
      </c>
      <c r="OY13" s="19">
        <f>SQRT(Parameters!$B$5)*Factors!OY4+SQRT(Parameters!$B$6)*Factors!OY7+SQRT(Parameters!$B$7)*Factors!OY9+SQRT(Parameters!$B$9)*NORM.S.INV(RAND())</f>
        <v/>
      </c>
      <c r="OZ13" s="19">
        <f>SQRT(Parameters!$B$5)*Factors!OZ4+SQRT(Parameters!$B$6)*Factors!OZ7+SQRT(Parameters!$B$7)*Factors!OZ9+SQRT(Parameters!$B$9)*NORM.S.INV(RAND())</f>
        <v/>
      </c>
      <c r="PA13" s="19">
        <f>SQRT(Parameters!$B$5)*Factors!PA4+SQRT(Parameters!$B$6)*Factors!PA7+SQRT(Parameters!$B$7)*Factors!PA9+SQRT(Parameters!$B$9)*NORM.S.INV(RAND())</f>
        <v/>
      </c>
      <c r="PB13" s="19">
        <f>SQRT(Parameters!$B$5)*Factors!PB4+SQRT(Parameters!$B$6)*Factors!PB7+SQRT(Parameters!$B$7)*Factors!PB9+SQRT(Parameters!$B$9)*NORM.S.INV(RAND())</f>
        <v/>
      </c>
      <c r="PC13" s="19">
        <f>SQRT(Parameters!$B$5)*Factors!PC4+SQRT(Parameters!$B$6)*Factors!PC7+SQRT(Parameters!$B$7)*Factors!PC9+SQRT(Parameters!$B$9)*NORM.S.INV(RAND())</f>
        <v/>
      </c>
      <c r="PD13" s="19">
        <f>SQRT(Parameters!$B$5)*Factors!PD4+SQRT(Parameters!$B$6)*Factors!PD7+SQRT(Parameters!$B$7)*Factors!PD9+SQRT(Parameters!$B$9)*NORM.S.INV(RAND())</f>
        <v/>
      </c>
      <c r="PE13" s="19">
        <f>SQRT(Parameters!$B$5)*Factors!PE4+SQRT(Parameters!$B$6)*Factors!PE7+SQRT(Parameters!$B$7)*Factors!PE9+SQRT(Parameters!$B$9)*NORM.S.INV(RAND())</f>
        <v/>
      </c>
      <c r="PF13" s="19">
        <f>SQRT(Parameters!$B$5)*Factors!PF4+SQRT(Parameters!$B$6)*Factors!PF7+SQRT(Parameters!$B$7)*Factors!PF9+SQRT(Parameters!$B$9)*NORM.S.INV(RAND())</f>
        <v/>
      </c>
      <c r="PG13" s="19">
        <f>SQRT(Parameters!$B$5)*Factors!PG4+SQRT(Parameters!$B$6)*Factors!PG7+SQRT(Parameters!$B$7)*Factors!PG9+SQRT(Parameters!$B$9)*NORM.S.INV(RAND())</f>
        <v/>
      </c>
      <c r="PH13" s="19">
        <f>SQRT(Parameters!$B$5)*Factors!PH4+SQRT(Parameters!$B$6)*Factors!PH7+SQRT(Parameters!$B$7)*Factors!PH9+SQRT(Parameters!$B$9)*NORM.S.INV(RAND())</f>
        <v/>
      </c>
      <c r="PI13" s="19">
        <f>SQRT(Parameters!$B$5)*Factors!PI4+SQRT(Parameters!$B$6)*Factors!PI7+SQRT(Parameters!$B$7)*Factors!PI9+SQRT(Parameters!$B$9)*NORM.S.INV(RAND())</f>
        <v/>
      </c>
      <c r="PJ13" s="19">
        <f>SQRT(Parameters!$B$5)*Factors!PJ4+SQRT(Parameters!$B$6)*Factors!PJ7+SQRT(Parameters!$B$7)*Factors!PJ9+SQRT(Parameters!$B$9)*NORM.S.INV(RAND())</f>
        <v/>
      </c>
      <c r="PK13" s="19">
        <f>SQRT(Parameters!$B$5)*Factors!PK4+SQRT(Parameters!$B$6)*Factors!PK7+SQRT(Parameters!$B$7)*Factors!PK9+SQRT(Parameters!$B$9)*NORM.S.INV(RAND())</f>
        <v/>
      </c>
      <c r="PL13" s="19">
        <f>SQRT(Parameters!$B$5)*Factors!PL4+SQRT(Parameters!$B$6)*Factors!PL7+SQRT(Parameters!$B$7)*Factors!PL9+SQRT(Parameters!$B$9)*NORM.S.INV(RAND())</f>
        <v/>
      </c>
      <c r="PM13" s="19">
        <f>SQRT(Parameters!$B$5)*Factors!PM4+SQRT(Parameters!$B$6)*Factors!PM7+SQRT(Parameters!$B$7)*Factors!PM9+SQRT(Parameters!$B$9)*NORM.S.INV(RAND())</f>
        <v/>
      </c>
      <c r="PN13" s="19">
        <f>SQRT(Parameters!$B$5)*Factors!PN4+SQRT(Parameters!$B$6)*Factors!PN7+SQRT(Parameters!$B$7)*Factors!PN9+SQRT(Parameters!$B$9)*NORM.S.INV(RAND())</f>
        <v/>
      </c>
      <c r="PO13" s="19">
        <f>SQRT(Parameters!$B$5)*Factors!PO4+SQRT(Parameters!$B$6)*Factors!PO7+SQRT(Parameters!$B$7)*Factors!PO9+SQRT(Parameters!$B$9)*NORM.S.INV(RAND())</f>
        <v/>
      </c>
      <c r="PP13" s="19">
        <f>SQRT(Parameters!$B$5)*Factors!PP4+SQRT(Parameters!$B$6)*Factors!PP7+SQRT(Parameters!$B$7)*Factors!PP9+SQRT(Parameters!$B$9)*NORM.S.INV(RAND())</f>
        <v/>
      </c>
      <c r="PQ13" s="19">
        <f>SQRT(Parameters!$B$5)*Factors!PQ4+SQRT(Parameters!$B$6)*Factors!PQ7+SQRT(Parameters!$B$7)*Factors!PQ9+SQRT(Parameters!$B$9)*NORM.S.INV(RAND())</f>
        <v/>
      </c>
      <c r="PR13" s="19">
        <f>SQRT(Parameters!$B$5)*Factors!PR4+SQRT(Parameters!$B$6)*Factors!PR7+SQRT(Parameters!$B$7)*Factors!PR9+SQRT(Parameters!$B$9)*NORM.S.INV(RAND())</f>
        <v/>
      </c>
      <c r="PS13" s="19">
        <f>SQRT(Parameters!$B$5)*Factors!PS4+SQRT(Parameters!$B$6)*Factors!PS7+SQRT(Parameters!$B$7)*Factors!PS9+SQRT(Parameters!$B$9)*NORM.S.INV(RAND())</f>
        <v/>
      </c>
      <c r="PT13" s="19">
        <f>SQRT(Parameters!$B$5)*Factors!PT4+SQRT(Parameters!$B$6)*Factors!PT7+SQRT(Parameters!$B$7)*Factors!PT9+SQRT(Parameters!$B$9)*NORM.S.INV(RAND())</f>
        <v/>
      </c>
      <c r="PU13" s="19">
        <f>SQRT(Parameters!$B$5)*Factors!PU4+SQRT(Parameters!$B$6)*Factors!PU7+SQRT(Parameters!$B$7)*Factors!PU9+SQRT(Parameters!$B$9)*NORM.S.INV(RAND())</f>
        <v/>
      </c>
      <c r="PV13" s="19">
        <f>SQRT(Parameters!$B$5)*Factors!PV4+SQRT(Parameters!$B$6)*Factors!PV7+SQRT(Parameters!$B$7)*Factors!PV9+SQRT(Parameters!$B$9)*NORM.S.INV(RAND())</f>
        <v/>
      </c>
      <c r="PW13" s="19">
        <f>SQRT(Parameters!$B$5)*Factors!PW4+SQRT(Parameters!$B$6)*Factors!PW7+SQRT(Parameters!$B$7)*Factors!PW9+SQRT(Parameters!$B$9)*NORM.S.INV(RAND())</f>
        <v/>
      </c>
      <c r="PX13" s="19">
        <f>SQRT(Parameters!$B$5)*Factors!PX4+SQRT(Parameters!$B$6)*Factors!PX7+SQRT(Parameters!$B$7)*Factors!PX9+SQRT(Parameters!$B$9)*NORM.S.INV(RAND())</f>
        <v/>
      </c>
      <c r="PY13" s="19">
        <f>SQRT(Parameters!$B$5)*Factors!PY4+SQRT(Parameters!$B$6)*Factors!PY7+SQRT(Parameters!$B$7)*Factors!PY9+SQRT(Parameters!$B$9)*NORM.S.INV(RAND())</f>
        <v/>
      </c>
      <c r="PZ13" s="19">
        <f>SQRT(Parameters!$B$5)*Factors!PZ4+SQRT(Parameters!$B$6)*Factors!PZ7+SQRT(Parameters!$B$7)*Factors!PZ9+SQRT(Parameters!$B$9)*NORM.S.INV(RAND())</f>
        <v/>
      </c>
      <c r="QA13" s="19">
        <f>SQRT(Parameters!$B$5)*Factors!QA4+SQRT(Parameters!$B$6)*Factors!QA7+SQRT(Parameters!$B$7)*Factors!QA9+SQRT(Parameters!$B$9)*NORM.S.INV(RAND())</f>
        <v/>
      </c>
      <c r="QB13" s="19">
        <f>SQRT(Parameters!$B$5)*Factors!QB4+SQRT(Parameters!$B$6)*Factors!QB7+SQRT(Parameters!$B$7)*Factors!QB9+SQRT(Parameters!$B$9)*NORM.S.INV(RAND())</f>
        <v/>
      </c>
      <c r="QC13" s="19">
        <f>SQRT(Parameters!$B$5)*Factors!QC4+SQRT(Parameters!$B$6)*Factors!QC7+SQRT(Parameters!$B$7)*Factors!QC9+SQRT(Parameters!$B$9)*NORM.S.INV(RAND())</f>
        <v/>
      </c>
      <c r="QD13" s="19">
        <f>SQRT(Parameters!$B$5)*Factors!QD4+SQRT(Parameters!$B$6)*Factors!QD7+SQRT(Parameters!$B$7)*Factors!QD9+SQRT(Parameters!$B$9)*NORM.S.INV(RAND())</f>
        <v/>
      </c>
      <c r="QE13" s="19">
        <f>SQRT(Parameters!$B$5)*Factors!QE4+SQRT(Parameters!$B$6)*Factors!QE7+SQRT(Parameters!$B$7)*Factors!QE9+SQRT(Parameters!$B$9)*NORM.S.INV(RAND())</f>
        <v/>
      </c>
      <c r="QF13" s="19">
        <f>SQRT(Parameters!$B$5)*Factors!QF4+SQRT(Parameters!$B$6)*Factors!QF7+SQRT(Parameters!$B$7)*Factors!QF9+SQRT(Parameters!$B$9)*NORM.S.INV(RAND())</f>
        <v/>
      </c>
      <c r="QG13" s="19">
        <f>SQRT(Parameters!$B$5)*Factors!QG4+SQRT(Parameters!$B$6)*Factors!QG7+SQRT(Parameters!$B$7)*Factors!QG9+SQRT(Parameters!$B$9)*NORM.S.INV(RAND())</f>
        <v/>
      </c>
      <c r="QH13" s="19">
        <f>SQRT(Parameters!$B$5)*Factors!QH4+SQRT(Parameters!$B$6)*Factors!QH7+SQRT(Parameters!$B$7)*Factors!QH9+SQRT(Parameters!$B$9)*NORM.S.INV(RAND())</f>
        <v/>
      </c>
      <c r="QI13" s="19">
        <f>SQRT(Parameters!$B$5)*Factors!QI4+SQRT(Parameters!$B$6)*Factors!QI7+SQRT(Parameters!$B$7)*Factors!QI9+SQRT(Parameters!$B$9)*NORM.S.INV(RAND())</f>
        <v/>
      </c>
      <c r="QJ13" s="19">
        <f>SQRT(Parameters!$B$5)*Factors!QJ4+SQRT(Parameters!$B$6)*Factors!QJ7+SQRT(Parameters!$B$7)*Factors!QJ9+SQRT(Parameters!$B$9)*NORM.S.INV(RAND())</f>
        <v/>
      </c>
      <c r="QK13" s="19">
        <f>SQRT(Parameters!$B$5)*Factors!QK4+SQRT(Parameters!$B$6)*Factors!QK7+SQRT(Parameters!$B$7)*Factors!QK9+SQRT(Parameters!$B$9)*NORM.S.INV(RAND())</f>
        <v/>
      </c>
      <c r="QL13" s="19">
        <f>SQRT(Parameters!$B$5)*Factors!QL4+SQRT(Parameters!$B$6)*Factors!QL7+SQRT(Parameters!$B$7)*Factors!QL9+SQRT(Parameters!$B$9)*NORM.S.INV(RAND())</f>
        <v/>
      </c>
      <c r="QM13" s="19">
        <f>SQRT(Parameters!$B$5)*Factors!QM4+SQRT(Parameters!$B$6)*Factors!QM7+SQRT(Parameters!$B$7)*Factors!QM9+SQRT(Parameters!$B$9)*NORM.S.INV(RAND())</f>
        <v/>
      </c>
      <c r="QN13" s="19">
        <f>SQRT(Parameters!$B$5)*Factors!QN4+SQRT(Parameters!$B$6)*Factors!QN7+SQRT(Parameters!$B$7)*Factors!QN9+SQRT(Parameters!$B$9)*NORM.S.INV(RAND())</f>
        <v/>
      </c>
      <c r="QO13" s="19">
        <f>SQRT(Parameters!$B$5)*Factors!QO4+SQRT(Parameters!$B$6)*Factors!QO7+SQRT(Parameters!$B$7)*Factors!QO9+SQRT(Parameters!$B$9)*NORM.S.INV(RAND())</f>
        <v/>
      </c>
      <c r="QP13" s="19">
        <f>SQRT(Parameters!$B$5)*Factors!QP4+SQRT(Parameters!$B$6)*Factors!QP7+SQRT(Parameters!$B$7)*Factors!QP9+SQRT(Parameters!$B$9)*NORM.S.INV(RAND())</f>
        <v/>
      </c>
      <c r="QQ13" s="19">
        <f>SQRT(Parameters!$B$5)*Factors!QQ4+SQRT(Parameters!$B$6)*Factors!QQ7+SQRT(Parameters!$B$7)*Factors!QQ9+SQRT(Parameters!$B$9)*NORM.S.INV(RAND())</f>
        <v/>
      </c>
      <c r="QR13" s="19">
        <f>SQRT(Parameters!$B$5)*Factors!QR4+SQRT(Parameters!$B$6)*Factors!QR7+SQRT(Parameters!$B$7)*Factors!QR9+SQRT(Parameters!$B$9)*NORM.S.INV(RAND())</f>
        <v/>
      </c>
      <c r="QS13" s="19">
        <f>SQRT(Parameters!$B$5)*Factors!QS4+SQRT(Parameters!$B$6)*Factors!QS7+SQRT(Parameters!$B$7)*Factors!QS9+SQRT(Parameters!$B$9)*NORM.S.INV(RAND())</f>
        <v/>
      </c>
      <c r="QT13" s="19">
        <f>SQRT(Parameters!$B$5)*Factors!QT4+SQRT(Parameters!$B$6)*Factors!QT7+SQRT(Parameters!$B$7)*Factors!QT9+SQRT(Parameters!$B$9)*NORM.S.INV(RAND())</f>
        <v/>
      </c>
      <c r="QU13" s="19">
        <f>SQRT(Parameters!$B$5)*Factors!QU4+SQRT(Parameters!$B$6)*Factors!QU7+SQRT(Parameters!$B$7)*Factors!QU9+SQRT(Parameters!$B$9)*NORM.S.INV(RAND())</f>
        <v/>
      </c>
      <c r="QV13" s="19">
        <f>SQRT(Parameters!$B$5)*Factors!QV4+SQRT(Parameters!$B$6)*Factors!QV7+SQRT(Parameters!$B$7)*Factors!QV9+SQRT(Parameters!$B$9)*NORM.S.INV(RAND())</f>
        <v/>
      </c>
      <c r="QW13" s="19">
        <f>SQRT(Parameters!$B$5)*Factors!QW4+SQRT(Parameters!$B$6)*Factors!QW7+SQRT(Parameters!$B$7)*Factors!QW9+SQRT(Parameters!$B$9)*NORM.S.INV(RAND())</f>
        <v/>
      </c>
      <c r="QX13" s="19">
        <f>SQRT(Parameters!$B$5)*Factors!QX4+SQRT(Parameters!$B$6)*Factors!QX7+SQRT(Parameters!$B$7)*Factors!QX9+SQRT(Parameters!$B$9)*NORM.S.INV(RAND())</f>
        <v/>
      </c>
      <c r="QY13" s="19">
        <f>SQRT(Parameters!$B$5)*Factors!QY4+SQRT(Parameters!$B$6)*Factors!QY7+SQRT(Parameters!$B$7)*Factors!QY9+SQRT(Parameters!$B$9)*NORM.S.INV(RAND())</f>
        <v/>
      </c>
      <c r="QZ13" s="19">
        <f>SQRT(Parameters!$B$5)*Factors!QZ4+SQRT(Parameters!$B$6)*Factors!QZ7+SQRT(Parameters!$B$7)*Factors!QZ9+SQRT(Parameters!$B$9)*NORM.S.INV(RAND())</f>
        <v/>
      </c>
      <c r="RA13" s="19">
        <f>SQRT(Parameters!$B$5)*Factors!RA4+SQRT(Parameters!$B$6)*Factors!RA7+SQRT(Parameters!$B$7)*Factors!RA9+SQRT(Parameters!$B$9)*NORM.S.INV(RAND())</f>
        <v/>
      </c>
      <c r="RB13" s="19">
        <f>SQRT(Parameters!$B$5)*Factors!RB4+SQRT(Parameters!$B$6)*Factors!RB7+SQRT(Parameters!$B$7)*Factors!RB9+SQRT(Parameters!$B$9)*NORM.S.INV(RAND())</f>
        <v/>
      </c>
      <c r="RC13" s="19">
        <f>SQRT(Parameters!$B$5)*Factors!RC4+SQRT(Parameters!$B$6)*Factors!RC7+SQRT(Parameters!$B$7)*Factors!RC9+SQRT(Parameters!$B$9)*NORM.S.INV(RAND())</f>
        <v/>
      </c>
      <c r="RD13" s="19">
        <f>SQRT(Parameters!$B$5)*Factors!RD4+SQRT(Parameters!$B$6)*Factors!RD7+SQRT(Parameters!$B$7)*Factors!RD9+SQRT(Parameters!$B$9)*NORM.S.INV(RAND())</f>
        <v/>
      </c>
      <c r="RE13" s="19">
        <f>SQRT(Parameters!$B$5)*Factors!RE4+SQRT(Parameters!$B$6)*Factors!RE7+SQRT(Parameters!$B$7)*Factors!RE9+SQRT(Parameters!$B$9)*NORM.S.INV(RAND())</f>
        <v/>
      </c>
      <c r="RF13" s="19">
        <f>SQRT(Parameters!$B$5)*Factors!RF4+SQRT(Parameters!$B$6)*Factors!RF7+SQRT(Parameters!$B$7)*Factors!RF9+SQRT(Parameters!$B$9)*NORM.S.INV(RAND())</f>
        <v/>
      </c>
      <c r="RG13" s="19">
        <f>SQRT(Parameters!$B$5)*Factors!RG4+SQRT(Parameters!$B$6)*Factors!RG7+SQRT(Parameters!$B$7)*Factors!RG9+SQRT(Parameters!$B$9)*NORM.S.INV(RAND())</f>
        <v/>
      </c>
      <c r="RH13" s="19">
        <f>SQRT(Parameters!$B$5)*Factors!RH4+SQRT(Parameters!$B$6)*Factors!RH7+SQRT(Parameters!$B$7)*Factors!RH9+SQRT(Parameters!$B$9)*NORM.S.INV(RAND())</f>
        <v/>
      </c>
      <c r="RI13" s="19">
        <f>SQRT(Parameters!$B$5)*Factors!RI4+SQRT(Parameters!$B$6)*Factors!RI7+SQRT(Parameters!$B$7)*Factors!RI9+SQRT(Parameters!$B$9)*NORM.S.INV(RAND())</f>
        <v/>
      </c>
      <c r="RJ13" s="19">
        <f>SQRT(Parameters!$B$5)*Factors!RJ4+SQRT(Parameters!$B$6)*Factors!RJ7+SQRT(Parameters!$B$7)*Factors!RJ9+SQRT(Parameters!$B$9)*NORM.S.INV(RAND())</f>
        <v/>
      </c>
      <c r="RK13" s="19">
        <f>SQRT(Parameters!$B$5)*Factors!RK4+SQRT(Parameters!$B$6)*Factors!RK7+SQRT(Parameters!$B$7)*Factors!RK9+SQRT(Parameters!$B$9)*NORM.S.INV(RAND())</f>
        <v/>
      </c>
      <c r="RL13" s="19">
        <f>SQRT(Parameters!$B$5)*Factors!RL4+SQRT(Parameters!$B$6)*Factors!RL7+SQRT(Parameters!$B$7)*Factors!RL9+SQRT(Parameters!$B$9)*NORM.S.INV(RAND())</f>
        <v/>
      </c>
      <c r="RM13" s="19">
        <f>SQRT(Parameters!$B$5)*Factors!RM4+SQRT(Parameters!$B$6)*Factors!RM7+SQRT(Parameters!$B$7)*Factors!RM9+SQRT(Parameters!$B$9)*NORM.S.INV(RAND())</f>
        <v/>
      </c>
      <c r="RN13" s="19">
        <f>SQRT(Parameters!$B$5)*Factors!RN4+SQRT(Parameters!$B$6)*Factors!RN7+SQRT(Parameters!$B$7)*Factors!RN9+SQRT(Parameters!$B$9)*NORM.S.INV(RAND())</f>
        <v/>
      </c>
      <c r="RO13" s="19">
        <f>SQRT(Parameters!$B$5)*Factors!RO4+SQRT(Parameters!$B$6)*Factors!RO7+SQRT(Parameters!$B$7)*Factors!RO9+SQRT(Parameters!$B$9)*NORM.S.INV(RAND())</f>
        <v/>
      </c>
      <c r="RP13" s="19">
        <f>SQRT(Parameters!$B$5)*Factors!RP4+SQRT(Parameters!$B$6)*Factors!RP7+SQRT(Parameters!$B$7)*Factors!RP9+SQRT(Parameters!$B$9)*NORM.S.INV(RAND())</f>
        <v/>
      </c>
      <c r="RQ13" s="19">
        <f>SQRT(Parameters!$B$5)*Factors!RQ4+SQRT(Parameters!$B$6)*Factors!RQ7+SQRT(Parameters!$B$7)*Factors!RQ9+SQRT(Parameters!$B$9)*NORM.S.INV(RAND())</f>
        <v/>
      </c>
      <c r="RR13" s="19">
        <f>SQRT(Parameters!$B$5)*Factors!RR4+SQRT(Parameters!$B$6)*Factors!RR7+SQRT(Parameters!$B$7)*Factors!RR9+SQRT(Parameters!$B$9)*NORM.S.INV(RAND())</f>
        <v/>
      </c>
      <c r="RS13" s="19">
        <f>SQRT(Parameters!$B$5)*Factors!RS4+SQRT(Parameters!$B$6)*Factors!RS7+SQRT(Parameters!$B$7)*Factors!RS9+SQRT(Parameters!$B$9)*NORM.S.INV(RAND())</f>
        <v/>
      </c>
      <c r="RT13" s="19">
        <f>SQRT(Parameters!$B$5)*Factors!RT4+SQRT(Parameters!$B$6)*Factors!RT7+SQRT(Parameters!$B$7)*Factors!RT9+SQRT(Parameters!$B$9)*NORM.S.INV(RAND())</f>
        <v/>
      </c>
      <c r="RU13" s="19">
        <f>SQRT(Parameters!$B$5)*Factors!RU4+SQRT(Parameters!$B$6)*Factors!RU7+SQRT(Parameters!$B$7)*Factors!RU9+SQRT(Parameters!$B$9)*NORM.S.INV(RAND())</f>
        <v/>
      </c>
      <c r="RV13" s="19">
        <f>SQRT(Parameters!$B$5)*Factors!RV4+SQRT(Parameters!$B$6)*Factors!RV7+SQRT(Parameters!$B$7)*Factors!RV9+SQRT(Parameters!$B$9)*NORM.S.INV(RAND())</f>
        <v/>
      </c>
      <c r="RW13" s="19">
        <f>SQRT(Parameters!$B$5)*Factors!RW4+SQRT(Parameters!$B$6)*Factors!RW7+SQRT(Parameters!$B$7)*Factors!RW9+SQRT(Parameters!$B$9)*NORM.S.INV(RAND())</f>
        <v/>
      </c>
      <c r="RX13" s="19">
        <f>SQRT(Parameters!$B$5)*Factors!RX4+SQRT(Parameters!$B$6)*Factors!RX7+SQRT(Parameters!$B$7)*Factors!RX9+SQRT(Parameters!$B$9)*NORM.S.INV(RAND())</f>
        <v/>
      </c>
      <c r="RY13" s="19">
        <f>SQRT(Parameters!$B$5)*Factors!RY4+SQRT(Parameters!$B$6)*Factors!RY7+SQRT(Parameters!$B$7)*Factors!RY9+SQRT(Parameters!$B$9)*NORM.S.INV(RAND())</f>
        <v/>
      </c>
      <c r="RZ13" s="19">
        <f>SQRT(Parameters!$B$5)*Factors!RZ4+SQRT(Parameters!$B$6)*Factors!RZ7+SQRT(Parameters!$B$7)*Factors!RZ9+SQRT(Parameters!$B$9)*NORM.S.INV(RAND())</f>
        <v/>
      </c>
      <c r="SA13" s="19">
        <f>SQRT(Parameters!$B$5)*Factors!SA4+SQRT(Parameters!$B$6)*Factors!SA7+SQRT(Parameters!$B$7)*Factors!SA9+SQRT(Parameters!$B$9)*NORM.S.INV(RAND())</f>
        <v/>
      </c>
      <c r="SB13" s="19">
        <f>SQRT(Parameters!$B$5)*Factors!SB4+SQRT(Parameters!$B$6)*Factors!SB7+SQRT(Parameters!$B$7)*Factors!SB9+SQRT(Parameters!$B$9)*NORM.S.INV(RAND())</f>
        <v/>
      </c>
      <c r="SC13" s="19">
        <f>SQRT(Parameters!$B$5)*Factors!SC4+SQRT(Parameters!$B$6)*Factors!SC7+SQRT(Parameters!$B$7)*Factors!SC9+SQRT(Parameters!$B$9)*NORM.S.INV(RAND())</f>
        <v/>
      </c>
      <c r="SD13" s="19">
        <f>SQRT(Parameters!$B$5)*Factors!SD4+SQRT(Parameters!$B$6)*Factors!SD7+SQRT(Parameters!$B$7)*Factors!SD9+SQRT(Parameters!$B$9)*NORM.S.INV(RAND())</f>
        <v/>
      </c>
      <c r="SE13" s="19">
        <f>SQRT(Parameters!$B$5)*Factors!SE4+SQRT(Parameters!$B$6)*Factors!SE7+SQRT(Parameters!$B$7)*Factors!SE9+SQRT(Parameters!$B$9)*NORM.S.INV(RAND())</f>
        <v/>
      </c>
      <c r="SF13" s="19">
        <f>SQRT(Parameters!$B$5)*Factors!SF4+SQRT(Parameters!$B$6)*Factors!SF7+SQRT(Parameters!$B$7)*Factors!SF9+SQRT(Parameters!$B$9)*NORM.S.INV(RAND())</f>
        <v/>
      </c>
      <c r="SG13" s="19">
        <f>SQRT(Parameters!$B$5)*Factors!SG4+SQRT(Parameters!$B$6)*Factors!SG7+SQRT(Parameters!$B$7)*Factors!SG9+SQRT(Parameters!$B$9)*NORM.S.INV(RAND())</f>
        <v/>
      </c>
    </row>
    <row r="14">
      <c r="A14" s="17" t="inlineStr">
        <is>
          <t>OBL-013</t>
        </is>
      </c>
      <c r="B14" s="19">
        <f>SQRT(Parameters!$B$5)*Factors!B4+SQRT(Parameters!$B$6)*Factors!B8+SQRT(Parameters!$B$7)*Factors!B10+SQRT(Parameters!$B$9)*NORM.S.INV(RAND())</f>
        <v/>
      </c>
      <c r="C14" s="19">
        <f>SQRT(Parameters!$B$5)*Factors!C4+SQRT(Parameters!$B$6)*Factors!C8+SQRT(Parameters!$B$7)*Factors!C10+SQRT(Parameters!$B$9)*NORM.S.INV(RAND())</f>
        <v/>
      </c>
      <c r="D14" s="19">
        <f>SQRT(Parameters!$B$5)*Factors!D4+SQRT(Parameters!$B$6)*Factors!D8+SQRT(Parameters!$B$7)*Factors!D10+SQRT(Parameters!$B$9)*NORM.S.INV(RAND())</f>
        <v/>
      </c>
      <c r="E14" s="19">
        <f>SQRT(Parameters!$B$5)*Factors!E4+SQRT(Parameters!$B$6)*Factors!E8+SQRT(Parameters!$B$7)*Factors!E10+SQRT(Parameters!$B$9)*NORM.S.INV(RAND())</f>
        <v/>
      </c>
      <c r="F14" s="19">
        <f>SQRT(Parameters!$B$5)*Factors!F4+SQRT(Parameters!$B$6)*Factors!F8+SQRT(Parameters!$B$7)*Factors!F10+SQRT(Parameters!$B$9)*NORM.S.INV(RAND())</f>
        <v/>
      </c>
      <c r="G14" s="19">
        <f>SQRT(Parameters!$B$5)*Factors!G4+SQRT(Parameters!$B$6)*Factors!G8+SQRT(Parameters!$B$7)*Factors!G10+SQRT(Parameters!$B$9)*NORM.S.INV(RAND())</f>
        <v/>
      </c>
      <c r="H14" s="19">
        <f>SQRT(Parameters!$B$5)*Factors!H4+SQRT(Parameters!$B$6)*Factors!H8+SQRT(Parameters!$B$7)*Factors!H10+SQRT(Parameters!$B$9)*NORM.S.INV(RAND())</f>
        <v/>
      </c>
      <c r="I14" s="19">
        <f>SQRT(Parameters!$B$5)*Factors!I4+SQRT(Parameters!$B$6)*Factors!I8+SQRT(Parameters!$B$7)*Factors!I10+SQRT(Parameters!$B$9)*NORM.S.INV(RAND())</f>
        <v/>
      </c>
      <c r="J14" s="19">
        <f>SQRT(Parameters!$B$5)*Factors!J4+SQRT(Parameters!$B$6)*Factors!J8+SQRT(Parameters!$B$7)*Factors!J10+SQRT(Parameters!$B$9)*NORM.S.INV(RAND())</f>
        <v/>
      </c>
      <c r="K14" s="19">
        <f>SQRT(Parameters!$B$5)*Factors!K4+SQRT(Parameters!$B$6)*Factors!K8+SQRT(Parameters!$B$7)*Factors!K10+SQRT(Parameters!$B$9)*NORM.S.INV(RAND())</f>
        <v/>
      </c>
      <c r="L14" s="19">
        <f>SQRT(Parameters!$B$5)*Factors!L4+SQRT(Parameters!$B$6)*Factors!L8+SQRT(Parameters!$B$7)*Factors!L10+SQRT(Parameters!$B$9)*NORM.S.INV(RAND())</f>
        <v/>
      </c>
      <c r="M14" s="19">
        <f>SQRT(Parameters!$B$5)*Factors!M4+SQRT(Parameters!$B$6)*Factors!M8+SQRT(Parameters!$B$7)*Factors!M10+SQRT(Parameters!$B$9)*NORM.S.INV(RAND())</f>
        <v/>
      </c>
      <c r="N14" s="19">
        <f>SQRT(Parameters!$B$5)*Factors!N4+SQRT(Parameters!$B$6)*Factors!N8+SQRT(Parameters!$B$7)*Factors!N10+SQRT(Parameters!$B$9)*NORM.S.INV(RAND())</f>
        <v/>
      </c>
      <c r="O14" s="19">
        <f>SQRT(Parameters!$B$5)*Factors!O4+SQRT(Parameters!$B$6)*Factors!O8+SQRT(Parameters!$B$7)*Factors!O10+SQRT(Parameters!$B$9)*NORM.S.INV(RAND())</f>
        <v/>
      </c>
      <c r="P14" s="19">
        <f>SQRT(Parameters!$B$5)*Factors!P4+SQRT(Parameters!$B$6)*Factors!P8+SQRT(Parameters!$B$7)*Factors!P10+SQRT(Parameters!$B$9)*NORM.S.INV(RAND())</f>
        <v/>
      </c>
      <c r="Q14" s="19">
        <f>SQRT(Parameters!$B$5)*Factors!Q4+SQRT(Parameters!$B$6)*Factors!Q8+SQRT(Parameters!$B$7)*Factors!Q10+SQRT(Parameters!$B$9)*NORM.S.INV(RAND())</f>
        <v/>
      </c>
      <c r="R14" s="19">
        <f>SQRT(Parameters!$B$5)*Factors!R4+SQRT(Parameters!$B$6)*Factors!R8+SQRT(Parameters!$B$7)*Factors!R10+SQRT(Parameters!$B$9)*NORM.S.INV(RAND())</f>
        <v/>
      </c>
      <c r="S14" s="19">
        <f>SQRT(Parameters!$B$5)*Factors!S4+SQRT(Parameters!$B$6)*Factors!S8+SQRT(Parameters!$B$7)*Factors!S10+SQRT(Parameters!$B$9)*NORM.S.INV(RAND())</f>
        <v/>
      </c>
      <c r="T14" s="19">
        <f>SQRT(Parameters!$B$5)*Factors!T4+SQRT(Parameters!$B$6)*Factors!T8+SQRT(Parameters!$B$7)*Factors!T10+SQRT(Parameters!$B$9)*NORM.S.INV(RAND())</f>
        <v/>
      </c>
      <c r="U14" s="19">
        <f>SQRT(Parameters!$B$5)*Factors!U4+SQRT(Parameters!$B$6)*Factors!U8+SQRT(Parameters!$B$7)*Factors!U10+SQRT(Parameters!$B$9)*NORM.S.INV(RAND())</f>
        <v/>
      </c>
      <c r="V14" s="19">
        <f>SQRT(Parameters!$B$5)*Factors!V4+SQRT(Parameters!$B$6)*Factors!V8+SQRT(Parameters!$B$7)*Factors!V10+SQRT(Parameters!$B$9)*NORM.S.INV(RAND())</f>
        <v/>
      </c>
      <c r="W14" s="19">
        <f>SQRT(Parameters!$B$5)*Factors!W4+SQRT(Parameters!$B$6)*Factors!W8+SQRT(Parameters!$B$7)*Factors!W10+SQRT(Parameters!$B$9)*NORM.S.INV(RAND())</f>
        <v/>
      </c>
      <c r="X14" s="19">
        <f>SQRT(Parameters!$B$5)*Factors!X4+SQRT(Parameters!$B$6)*Factors!X8+SQRT(Parameters!$B$7)*Factors!X10+SQRT(Parameters!$B$9)*NORM.S.INV(RAND())</f>
        <v/>
      </c>
      <c r="Y14" s="19">
        <f>SQRT(Parameters!$B$5)*Factors!Y4+SQRT(Parameters!$B$6)*Factors!Y8+SQRT(Parameters!$B$7)*Factors!Y10+SQRT(Parameters!$B$9)*NORM.S.INV(RAND())</f>
        <v/>
      </c>
      <c r="Z14" s="19">
        <f>SQRT(Parameters!$B$5)*Factors!Z4+SQRT(Parameters!$B$6)*Factors!Z8+SQRT(Parameters!$B$7)*Factors!Z10+SQRT(Parameters!$B$9)*NORM.S.INV(RAND())</f>
        <v/>
      </c>
      <c r="AA14" s="19">
        <f>SQRT(Parameters!$B$5)*Factors!AA4+SQRT(Parameters!$B$6)*Factors!AA8+SQRT(Parameters!$B$7)*Factors!AA10+SQRT(Parameters!$B$9)*NORM.S.INV(RAND())</f>
        <v/>
      </c>
      <c r="AB14" s="19">
        <f>SQRT(Parameters!$B$5)*Factors!AB4+SQRT(Parameters!$B$6)*Factors!AB8+SQRT(Parameters!$B$7)*Factors!AB10+SQRT(Parameters!$B$9)*NORM.S.INV(RAND())</f>
        <v/>
      </c>
      <c r="AC14" s="19">
        <f>SQRT(Parameters!$B$5)*Factors!AC4+SQRT(Parameters!$B$6)*Factors!AC8+SQRT(Parameters!$B$7)*Factors!AC10+SQRT(Parameters!$B$9)*NORM.S.INV(RAND())</f>
        <v/>
      </c>
      <c r="AD14" s="19">
        <f>SQRT(Parameters!$B$5)*Factors!AD4+SQRT(Parameters!$B$6)*Factors!AD8+SQRT(Parameters!$B$7)*Factors!AD10+SQRT(Parameters!$B$9)*NORM.S.INV(RAND())</f>
        <v/>
      </c>
      <c r="AE14" s="19">
        <f>SQRT(Parameters!$B$5)*Factors!AE4+SQRT(Parameters!$B$6)*Factors!AE8+SQRT(Parameters!$B$7)*Factors!AE10+SQRT(Parameters!$B$9)*NORM.S.INV(RAND())</f>
        <v/>
      </c>
      <c r="AF14" s="19">
        <f>SQRT(Parameters!$B$5)*Factors!AF4+SQRT(Parameters!$B$6)*Factors!AF8+SQRT(Parameters!$B$7)*Factors!AF10+SQRT(Parameters!$B$9)*NORM.S.INV(RAND())</f>
        <v/>
      </c>
      <c r="AG14" s="19">
        <f>SQRT(Parameters!$B$5)*Factors!AG4+SQRT(Parameters!$B$6)*Factors!AG8+SQRT(Parameters!$B$7)*Factors!AG10+SQRT(Parameters!$B$9)*NORM.S.INV(RAND())</f>
        <v/>
      </c>
      <c r="AH14" s="19">
        <f>SQRT(Parameters!$B$5)*Factors!AH4+SQRT(Parameters!$B$6)*Factors!AH8+SQRT(Parameters!$B$7)*Factors!AH10+SQRT(Parameters!$B$9)*NORM.S.INV(RAND())</f>
        <v/>
      </c>
      <c r="AI14" s="19">
        <f>SQRT(Parameters!$B$5)*Factors!AI4+SQRT(Parameters!$B$6)*Factors!AI8+SQRT(Parameters!$B$7)*Factors!AI10+SQRT(Parameters!$B$9)*NORM.S.INV(RAND())</f>
        <v/>
      </c>
      <c r="AJ14" s="19">
        <f>SQRT(Parameters!$B$5)*Factors!AJ4+SQRT(Parameters!$B$6)*Factors!AJ8+SQRT(Parameters!$B$7)*Factors!AJ10+SQRT(Parameters!$B$9)*NORM.S.INV(RAND())</f>
        <v/>
      </c>
      <c r="AK14" s="19">
        <f>SQRT(Parameters!$B$5)*Factors!AK4+SQRT(Parameters!$B$6)*Factors!AK8+SQRT(Parameters!$B$7)*Factors!AK10+SQRT(Parameters!$B$9)*NORM.S.INV(RAND())</f>
        <v/>
      </c>
      <c r="AL14" s="19">
        <f>SQRT(Parameters!$B$5)*Factors!AL4+SQRT(Parameters!$B$6)*Factors!AL8+SQRT(Parameters!$B$7)*Factors!AL10+SQRT(Parameters!$B$9)*NORM.S.INV(RAND())</f>
        <v/>
      </c>
      <c r="AM14" s="19">
        <f>SQRT(Parameters!$B$5)*Factors!AM4+SQRT(Parameters!$B$6)*Factors!AM8+SQRT(Parameters!$B$7)*Factors!AM10+SQRT(Parameters!$B$9)*NORM.S.INV(RAND())</f>
        <v/>
      </c>
      <c r="AN14" s="19">
        <f>SQRT(Parameters!$B$5)*Factors!AN4+SQRT(Parameters!$B$6)*Factors!AN8+SQRT(Parameters!$B$7)*Factors!AN10+SQRT(Parameters!$B$9)*NORM.S.INV(RAND())</f>
        <v/>
      </c>
      <c r="AO14" s="19">
        <f>SQRT(Parameters!$B$5)*Factors!AO4+SQRT(Parameters!$B$6)*Factors!AO8+SQRT(Parameters!$B$7)*Factors!AO10+SQRT(Parameters!$B$9)*NORM.S.INV(RAND())</f>
        <v/>
      </c>
      <c r="AP14" s="19">
        <f>SQRT(Parameters!$B$5)*Factors!AP4+SQRT(Parameters!$B$6)*Factors!AP8+SQRT(Parameters!$B$7)*Factors!AP10+SQRT(Parameters!$B$9)*NORM.S.INV(RAND())</f>
        <v/>
      </c>
      <c r="AQ14" s="19">
        <f>SQRT(Parameters!$B$5)*Factors!AQ4+SQRT(Parameters!$B$6)*Factors!AQ8+SQRT(Parameters!$B$7)*Factors!AQ10+SQRT(Parameters!$B$9)*NORM.S.INV(RAND())</f>
        <v/>
      </c>
      <c r="AR14" s="19">
        <f>SQRT(Parameters!$B$5)*Factors!AR4+SQRT(Parameters!$B$6)*Factors!AR8+SQRT(Parameters!$B$7)*Factors!AR10+SQRT(Parameters!$B$9)*NORM.S.INV(RAND())</f>
        <v/>
      </c>
      <c r="AS14" s="19">
        <f>SQRT(Parameters!$B$5)*Factors!AS4+SQRT(Parameters!$B$6)*Factors!AS8+SQRT(Parameters!$B$7)*Factors!AS10+SQRT(Parameters!$B$9)*NORM.S.INV(RAND())</f>
        <v/>
      </c>
      <c r="AT14" s="19">
        <f>SQRT(Parameters!$B$5)*Factors!AT4+SQRT(Parameters!$B$6)*Factors!AT8+SQRT(Parameters!$B$7)*Factors!AT10+SQRT(Parameters!$B$9)*NORM.S.INV(RAND())</f>
        <v/>
      </c>
      <c r="AU14" s="19">
        <f>SQRT(Parameters!$B$5)*Factors!AU4+SQRT(Parameters!$B$6)*Factors!AU8+SQRT(Parameters!$B$7)*Factors!AU10+SQRT(Parameters!$B$9)*NORM.S.INV(RAND())</f>
        <v/>
      </c>
      <c r="AV14" s="19">
        <f>SQRT(Parameters!$B$5)*Factors!AV4+SQRT(Parameters!$B$6)*Factors!AV8+SQRT(Parameters!$B$7)*Factors!AV10+SQRT(Parameters!$B$9)*NORM.S.INV(RAND())</f>
        <v/>
      </c>
      <c r="AW14" s="19">
        <f>SQRT(Parameters!$B$5)*Factors!AW4+SQRT(Parameters!$B$6)*Factors!AW8+SQRT(Parameters!$B$7)*Factors!AW10+SQRT(Parameters!$B$9)*NORM.S.INV(RAND())</f>
        <v/>
      </c>
      <c r="AX14" s="19">
        <f>SQRT(Parameters!$B$5)*Factors!AX4+SQRT(Parameters!$B$6)*Factors!AX8+SQRT(Parameters!$B$7)*Factors!AX10+SQRT(Parameters!$B$9)*NORM.S.INV(RAND())</f>
        <v/>
      </c>
      <c r="AY14" s="19">
        <f>SQRT(Parameters!$B$5)*Factors!AY4+SQRT(Parameters!$B$6)*Factors!AY8+SQRT(Parameters!$B$7)*Factors!AY10+SQRT(Parameters!$B$9)*NORM.S.INV(RAND())</f>
        <v/>
      </c>
      <c r="AZ14" s="19">
        <f>SQRT(Parameters!$B$5)*Factors!AZ4+SQRT(Parameters!$B$6)*Factors!AZ8+SQRT(Parameters!$B$7)*Factors!AZ10+SQRT(Parameters!$B$9)*NORM.S.INV(RAND())</f>
        <v/>
      </c>
      <c r="BA14" s="19">
        <f>SQRT(Parameters!$B$5)*Factors!BA4+SQRT(Parameters!$B$6)*Factors!BA8+SQRT(Parameters!$B$7)*Factors!BA10+SQRT(Parameters!$B$9)*NORM.S.INV(RAND())</f>
        <v/>
      </c>
      <c r="BB14" s="19">
        <f>SQRT(Parameters!$B$5)*Factors!BB4+SQRT(Parameters!$B$6)*Factors!BB8+SQRT(Parameters!$B$7)*Factors!BB10+SQRT(Parameters!$B$9)*NORM.S.INV(RAND())</f>
        <v/>
      </c>
      <c r="BC14" s="19">
        <f>SQRT(Parameters!$B$5)*Factors!BC4+SQRT(Parameters!$B$6)*Factors!BC8+SQRT(Parameters!$B$7)*Factors!BC10+SQRT(Parameters!$B$9)*NORM.S.INV(RAND())</f>
        <v/>
      </c>
      <c r="BD14" s="19">
        <f>SQRT(Parameters!$B$5)*Factors!BD4+SQRT(Parameters!$B$6)*Factors!BD8+SQRT(Parameters!$B$7)*Factors!BD10+SQRT(Parameters!$B$9)*NORM.S.INV(RAND())</f>
        <v/>
      </c>
      <c r="BE14" s="19">
        <f>SQRT(Parameters!$B$5)*Factors!BE4+SQRT(Parameters!$B$6)*Factors!BE8+SQRT(Parameters!$B$7)*Factors!BE10+SQRT(Parameters!$B$9)*NORM.S.INV(RAND())</f>
        <v/>
      </c>
      <c r="BF14" s="19">
        <f>SQRT(Parameters!$B$5)*Factors!BF4+SQRT(Parameters!$B$6)*Factors!BF8+SQRT(Parameters!$B$7)*Factors!BF10+SQRT(Parameters!$B$9)*NORM.S.INV(RAND())</f>
        <v/>
      </c>
      <c r="BG14" s="19">
        <f>SQRT(Parameters!$B$5)*Factors!BG4+SQRT(Parameters!$B$6)*Factors!BG8+SQRT(Parameters!$B$7)*Factors!BG10+SQRT(Parameters!$B$9)*NORM.S.INV(RAND())</f>
        <v/>
      </c>
      <c r="BH14" s="19">
        <f>SQRT(Parameters!$B$5)*Factors!BH4+SQRT(Parameters!$B$6)*Factors!BH8+SQRT(Parameters!$B$7)*Factors!BH10+SQRT(Parameters!$B$9)*NORM.S.INV(RAND())</f>
        <v/>
      </c>
      <c r="BI14" s="19">
        <f>SQRT(Parameters!$B$5)*Factors!BI4+SQRT(Parameters!$B$6)*Factors!BI8+SQRT(Parameters!$B$7)*Factors!BI10+SQRT(Parameters!$B$9)*NORM.S.INV(RAND())</f>
        <v/>
      </c>
      <c r="BJ14" s="19">
        <f>SQRT(Parameters!$B$5)*Factors!BJ4+SQRT(Parameters!$B$6)*Factors!BJ8+SQRT(Parameters!$B$7)*Factors!BJ10+SQRT(Parameters!$B$9)*NORM.S.INV(RAND())</f>
        <v/>
      </c>
      <c r="BK14" s="19">
        <f>SQRT(Parameters!$B$5)*Factors!BK4+SQRT(Parameters!$B$6)*Factors!BK8+SQRT(Parameters!$B$7)*Factors!BK10+SQRT(Parameters!$B$9)*NORM.S.INV(RAND())</f>
        <v/>
      </c>
      <c r="BL14" s="19">
        <f>SQRT(Parameters!$B$5)*Factors!BL4+SQRT(Parameters!$B$6)*Factors!BL8+SQRT(Parameters!$B$7)*Factors!BL10+SQRT(Parameters!$B$9)*NORM.S.INV(RAND())</f>
        <v/>
      </c>
      <c r="BM14" s="19">
        <f>SQRT(Parameters!$B$5)*Factors!BM4+SQRT(Parameters!$B$6)*Factors!BM8+SQRT(Parameters!$B$7)*Factors!BM10+SQRT(Parameters!$B$9)*NORM.S.INV(RAND())</f>
        <v/>
      </c>
      <c r="BN14" s="19">
        <f>SQRT(Parameters!$B$5)*Factors!BN4+SQRT(Parameters!$B$6)*Factors!BN8+SQRT(Parameters!$B$7)*Factors!BN10+SQRT(Parameters!$B$9)*NORM.S.INV(RAND())</f>
        <v/>
      </c>
      <c r="BO14" s="19">
        <f>SQRT(Parameters!$B$5)*Factors!BO4+SQRT(Parameters!$B$6)*Factors!BO8+SQRT(Parameters!$B$7)*Factors!BO10+SQRT(Parameters!$B$9)*NORM.S.INV(RAND())</f>
        <v/>
      </c>
      <c r="BP14" s="19">
        <f>SQRT(Parameters!$B$5)*Factors!BP4+SQRT(Parameters!$B$6)*Factors!BP8+SQRT(Parameters!$B$7)*Factors!BP10+SQRT(Parameters!$B$9)*NORM.S.INV(RAND())</f>
        <v/>
      </c>
      <c r="BQ14" s="19">
        <f>SQRT(Parameters!$B$5)*Factors!BQ4+SQRT(Parameters!$B$6)*Factors!BQ8+SQRT(Parameters!$B$7)*Factors!BQ10+SQRT(Parameters!$B$9)*NORM.S.INV(RAND())</f>
        <v/>
      </c>
      <c r="BR14" s="19">
        <f>SQRT(Parameters!$B$5)*Factors!BR4+SQRT(Parameters!$B$6)*Factors!BR8+SQRT(Parameters!$B$7)*Factors!BR10+SQRT(Parameters!$B$9)*NORM.S.INV(RAND())</f>
        <v/>
      </c>
      <c r="BS14" s="19">
        <f>SQRT(Parameters!$B$5)*Factors!BS4+SQRT(Parameters!$B$6)*Factors!BS8+SQRT(Parameters!$B$7)*Factors!BS10+SQRT(Parameters!$B$9)*NORM.S.INV(RAND())</f>
        <v/>
      </c>
      <c r="BT14" s="19">
        <f>SQRT(Parameters!$B$5)*Factors!BT4+SQRT(Parameters!$B$6)*Factors!BT8+SQRT(Parameters!$B$7)*Factors!BT10+SQRT(Parameters!$B$9)*NORM.S.INV(RAND())</f>
        <v/>
      </c>
      <c r="BU14" s="19">
        <f>SQRT(Parameters!$B$5)*Factors!BU4+SQRT(Parameters!$B$6)*Factors!BU8+SQRT(Parameters!$B$7)*Factors!BU10+SQRT(Parameters!$B$9)*NORM.S.INV(RAND())</f>
        <v/>
      </c>
      <c r="BV14" s="19">
        <f>SQRT(Parameters!$B$5)*Factors!BV4+SQRT(Parameters!$B$6)*Factors!BV8+SQRT(Parameters!$B$7)*Factors!BV10+SQRT(Parameters!$B$9)*NORM.S.INV(RAND())</f>
        <v/>
      </c>
      <c r="BW14" s="19">
        <f>SQRT(Parameters!$B$5)*Factors!BW4+SQRT(Parameters!$B$6)*Factors!BW8+SQRT(Parameters!$B$7)*Factors!BW10+SQRT(Parameters!$B$9)*NORM.S.INV(RAND())</f>
        <v/>
      </c>
      <c r="BX14" s="19">
        <f>SQRT(Parameters!$B$5)*Factors!BX4+SQRT(Parameters!$B$6)*Factors!BX8+SQRT(Parameters!$B$7)*Factors!BX10+SQRT(Parameters!$B$9)*NORM.S.INV(RAND())</f>
        <v/>
      </c>
      <c r="BY14" s="19">
        <f>SQRT(Parameters!$B$5)*Factors!BY4+SQRT(Parameters!$B$6)*Factors!BY8+SQRT(Parameters!$B$7)*Factors!BY10+SQRT(Parameters!$B$9)*NORM.S.INV(RAND())</f>
        <v/>
      </c>
      <c r="BZ14" s="19">
        <f>SQRT(Parameters!$B$5)*Factors!BZ4+SQRT(Parameters!$B$6)*Factors!BZ8+SQRT(Parameters!$B$7)*Factors!BZ10+SQRT(Parameters!$B$9)*NORM.S.INV(RAND())</f>
        <v/>
      </c>
      <c r="CA14" s="19">
        <f>SQRT(Parameters!$B$5)*Factors!CA4+SQRT(Parameters!$B$6)*Factors!CA8+SQRT(Parameters!$B$7)*Factors!CA10+SQRT(Parameters!$B$9)*NORM.S.INV(RAND())</f>
        <v/>
      </c>
      <c r="CB14" s="19">
        <f>SQRT(Parameters!$B$5)*Factors!CB4+SQRT(Parameters!$B$6)*Factors!CB8+SQRT(Parameters!$B$7)*Factors!CB10+SQRT(Parameters!$B$9)*NORM.S.INV(RAND())</f>
        <v/>
      </c>
      <c r="CC14" s="19">
        <f>SQRT(Parameters!$B$5)*Factors!CC4+SQRT(Parameters!$B$6)*Factors!CC8+SQRT(Parameters!$B$7)*Factors!CC10+SQRT(Parameters!$B$9)*NORM.S.INV(RAND())</f>
        <v/>
      </c>
      <c r="CD14" s="19">
        <f>SQRT(Parameters!$B$5)*Factors!CD4+SQRT(Parameters!$B$6)*Factors!CD8+SQRT(Parameters!$B$7)*Factors!CD10+SQRT(Parameters!$B$9)*NORM.S.INV(RAND())</f>
        <v/>
      </c>
      <c r="CE14" s="19">
        <f>SQRT(Parameters!$B$5)*Factors!CE4+SQRT(Parameters!$B$6)*Factors!CE8+SQRT(Parameters!$B$7)*Factors!CE10+SQRT(Parameters!$B$9)*NORM.S.INV(RAND())</f>
        <v/>
      </c>
      <c r="CF14" s="19">
        <f>SQRT(Parameters!$B$5)*Factors!CF4+SQRT(Parameters!$B$6)*Factors!CF8+SQRT(Parameters!$B$7)*Factors!CF10+SQRT(Parameters!$B$9)*NORM.S.INV(RAND())</f>
        <v/>
      </c>
      <c r="CG14" s="19">
        <f>SQRT(Parameters!$B$5)*Factors!CG4+SQRT(Parameters!$B$6)*Factors!CG8+SQRT(Parameters!$B$7)*Factors!CG10+SQRT(Parameters!$B$9)*NORM.S.INV(RAND())</f>
        <v/>
      </c>
      <c r="CH14" s="19">
        <f>SQRT(Parameters!$B$5)*Factors!CH4+SQRT(Parameters!$B$6)*Factors!CH8+SQRT(Parameters!$B$7)*Factors!CH10+SQRT(Parameters!$B$9)*NORM.S.INV(RAND())</f>
        <v/>
      </c>
      <c r="CI14" s="19">
        <f>SQRT(Parameters!$B$5)*Factors!CI4+SQRT(Parameters!$B$6)*Factors!CI8+SQRT(Parameters!$B$7)*Factors!CI10+SQRT(Parameters!$B$9)*NORM.S.INV(RAND())</f>
        <v/>
      </c>
      <c r="CJ14" s="19">
        <f>SQRT(Parameters!$B$5)*Factors!CJ4+SQRT(Parameters!$B$6)*Factors!CJ8+SQRT(Parameters!$B$7)*Factors!CJ10+SQRT(Parameters!$B$9)*NORM.S.INV(RAND())</f>
        <v/>
      </c>
      <c r="CK14" s="19">
        <f>SQRT(Parameters!$B$5)*Factors!CK4+SQRT(Parameters!$B$6)*Factors!CK8+SQRT(Parameters!$B$7)*Factors!CK10+SQRT(Parameters!$B$9)*NORM.S.INV(RAND())</f>
        <v/>
      </c>
      <c r="CL14" s="19">
        <f>SQRT(Parameters!$B$5)*Factors!CL4+SQRT(Parameters!$B$6)*Factors!CL8+SQRT(Parameters!$B$7)*Factors!CL10+SQRT(Parameters!$B$9)*NORM.S.INV(RAND())</f>
        <v/>
      </c>
      <c r="CM14" s="19">
        <f>SQRT(Parameters!$B$5)*Factors!CM4+SQRT(Parameters!$B$6)*Factors!CM8+SQRT(Parameters!$B$7)*Factors!CM10+SQRT(Parameters!$B$9)*NORM.S.INV(RAND())</f>
        <v/>
      </c>
      <c r="CN14" s="19">
        <f>SQRT(Parameters!$B$5)*Factors!CN4+SQRT(Parameters!$B$6)*Factors!CN8+SQRT(Parameters!$B$7)*Factors!CN10+SQRT(Parameters!$B$9)*NORM.S.INV(RAND())</f>
        <v/>
      </c>
      <c r="CO14" s="19">
        <f>SQRT(Parameters!$B$5)*Factors!CO4+SQRT(Parameters!$B$6)*Factors!CO8+SQRT(Parameters!$B$7)*Factors!CO10+SQRT(Parameters!$B$9)*NORM.S.INV(RAND())</f>
        <v/>
      </c>
      <c r="CP14" s="19">
        <f>SQRT(Parameters!$B$5)*Factors!CP4+SQRT(Parameters!$B$6)*Factors!CP8+SQRT(Parameters!$B$7)*Factors!CP10+SQRT(Parameters!$B$9)*NORM.S.INV(RAND())</f>
        <v/>
      </c>
      <c r="CQ14" s="19">
        <f>SQRT(Parameters!$B$5)*Factors!CQ4+SQRT(Parameters!$B$6)*Factors!CQ8+SQRT(Parameters!$B$7)*Factors!CQ10+SQRT(Parameters!$B$9)*NORM.S.INV(RAND())</f>
        <v/>
      </c>
      <c r="CR14" s="19">
        <f>SQRT(Parameters!$B$5)*Factors!CR4+SQRT(Parameters!$B$6)*Factors!CR8+SQRT(Parameters!$B$7)*Factors!CR10+SQRT(Parameters!$B$9)*NORM.S.INV(RAND())</f>
        <v/>
      </c>
      <c r="CS14" s="19">
        <f>SQRT(Parameters!$B$5)*Factors!CS4+SQRT(Parameters!$B$6)*Factors!CS8+SQRT(Parameters!$B$7)*Factors!CS10+SQRT(Parameters!$B$9)*NORM.S.INV(RAND())</f>
        <v/>
      </c>
      <c r="CT14" s="19">
        <f>SQRT(Parameters!$B$5)*Factors!CT4+SQRT(Parameters!$B$6)*Factors!CT8+SQRT(Parameters!$B$7)*Factors!CT10+SQRT(Parameters!$B$9)*NORM.S.INV(RAND())</f>
        <v/>
      </c>
      <c r="CU14" s="19">
        <f>SQRT(Parameters!$B$5)*Factors!CU4+SQRT(Parameters!$B$6)*Factors!CU8+SQRT(Parameters!$B$7)*Factors!CU10+SQRT(Parameters!$B$9)*NORM.S.INV(RAND())</f>
        <v/>
      </c>
      <c r="CV14" s="19">
        <f>SQRT(Parameters!$B$5)*Factors!CV4+SQRT(Parameters!$B$6)*Factors!CV8+SQRT(Parameters!$B$7)*Factors!CV10+SQRT(Parameters!$B$9)*NORM.S.INV(RAND())</f>
        <v/>
      </c>
      <c r="CW14" s="19">
        <f>SQRT(Parameters!$B$5)*Factors!CW4+SQRT(Parameters!$B$6)*Factors!CW8+SQRT(Parameters!$B$7)*Factors!CW10+SQRT(Parameters!$B$9)*NORM.S.INV(RAND())</f>
        <v/>
      </c>
      <c r="CX14" s="19">
        <f>SQRT(Parameters!$B$5)*Factors!CX4+SQRT(Parameters!$B$6)*Factors!CX8+SQRT(Parameters!$B$7)*Factors!CX10+SQRT(Parameters!$B$9)*NORM.S.INV(RAND())</f>
        <v/>
      </c>
      <c r="CY14" s="19">
        <f>SQRT(Parameters!$B$5)*Factors!CY4+SQRT(Parameters!$B$6)*Factors!CY8+SQRT(Parameters!$B$7)*Factors!CY10+SQRT(Parameters!$B$9)*NORM.S.INV(RAND())</f>
        <v/>
      </c>
      <c r="CZ14" s="19">
        <f>SQRT(Parameters!$B$5)*Factors!CZ4+SQRT(Parameters!$B$6)*Factors!CZ8+SQRT(Parameters!$B$7)*Factors!CZ10+SQRT(Parameters!$B$9)*NORM.S.INV(RAND())</f>
        <v/>
      </c>
      <c r="DA14" s="19">
        <f>SQRT(Parameters!$B$5)*Factors!DA4+SQRT(Parameters!$B$6)*Factors!DA8+SQRT(Parameters!$B$7)*Factors!DA10+SQRT(Parameters!$B$9)*NORM.S.INV(RAND())</f>
        <v/>
      </c>
      <c r="DB14" s="19">
        <f>SQRT(Parameters!$B$5)*Factors!DB4+SQRT(Parameters!$B$6)*Factors!DB8+SQRT(Parameters!$B$7)*Factors!DB10+SQRT(Parameters!$B$9)*NORM.S.INV(RAND())</f>
        <v/>
      </c>
      <c r="DC14" s="19">
        <f>SQRT(Parameters!$B$5)*Factors!DC4+SQRT(Parameters!$B$6)*Factors!DC8+SQRT(Parameters!$B$7)*Factors!DC10+SQRT(Parameters!$B$9)*NORM.S.INV(RAND())</f>
        <v/>
      </c>
      <c r="DD14" s="19">
        <f>SQRT(Parameters!$B$5)*Factors!DD4+SQRT(Parameters!$B$6)*Factors!DD8+SQRT(Parameters!$B$7)*Factors!DD10+SQRT(Parameters!$B$9)*NORM.S.INV(RAND())</f>
        <v/>
      </c>
      <c r="DE14" s="19">
        <f>SQRT(Parameters!$B$5)*Factors!DE4+SQRT(Parameters!$B$6)*Factors!DE8+SQRT(Parameters!$B$7)*Factors!DE10+SQRT(Parameters!$B$9)*NORM.S.INV(RAND())</f>
        <v/>
      </c>
      <c r="DF14" s="19">
        <f>SQRT(Parameters!$B$5)*Factors!DF4+SQRT(Parameters!$B$6)*Factors!DF8+SQRT(Parameters!$B$7)*Factors!DF10+SQRT(Parameters!$B$9)*NORM.S.INV(RAND())</f>
        <v/>
      </c>
      <c r="DG14" s="19">
        <f>SQRT(Parameters!$B$5)*Factors!DG4+SQRT(Parameters!$B$6)*Factors!DG8+SQRT(Parameters!$B$7)*Factors!DG10+SQRT(Parameters!$B$9)*NORM.S.INV(RAND())</f>
        <v/>
      </c>
      <c r="DH14" s="19">
        <f>SQRT(Parameters!$B$5)*Factors!DH4+SQRT(Parameters!$B$6)*Factors!DH8+SQRT(Parameters!$B$7)*Factors!DH10+SQRT(Parameters!$B$9)*NORM.S.INV(RAND())</f>
        <v/>
      </c>
      <c r="DI14" s="19">
        <f>SQRT(Parameters!$B$5)*Factors!DI4+SQRT(Parameters!$B$6)*Factors!DI8+SQRT(Parameters!$B$7)*Factors!DI10+SQRT(Parameters!$B$9)*NORM.S.INV(RAND())</f>
        <v/>
      </c>
      <c r="DJ14" s="19">
        <f>SQRT(Parameters!$B$5)*Factors!DJ4+SQRT(Parameters!$B$6)*Factors!DJ8+SQRT(Parameters!$B$7)*Factors!DJ10+SQRT(Parameters!$B$9)*NORM.S.INV(RAND())</f>
        <v/>
      </c>
      <c r="DK14" s="19">
        <f>SQRT(Parameters!$B$5)*Factors!DK4+SQRT(Parameters!$B$6)*Factors!DK8+SQRT(Parameters!$B$7)*Factors!DK10+SQRT(Parameters!$B$9)*NORM.S.INV(RAND())</f>
        <v/>
      </c>
      <c r="DL14" s="19">
        <f>SQRT(Parameters!$B$5)*Factors!DL4+SQRT(Parameters!$B$6)*Factors!DL8+SQRT(Parameters!$B$7)*Factors!DL10+SQRT(Parameters!$B$9)*NORM.S.INV(RAND())</f>
        <v/>
      </c>
      <c r="DM14" s="19">
        <f>SQRT(Parameters!$B$5)*Factors!DM4+SQRT(Parameters!$B$6)*Factors!DM8+SQRT(Parameters!$B$7)*Factors!DM10+SQRT(Parameters!$B$9)*NORM.S.INV(RAND())</f>
        <v/>
      </c>
      <c r="DN14" s="19">
        <f>SQRT(Parameters!$B$5)*Factors!DN4+SQRT(Parameters!$B$6)*Factors!DN8+SQRT(Parameters!$B$7)*Factors!DN10+SQRT(Parameters!$B$9)*NORM.S.INV(RAND())</f>
        <v/>
      </c>
      <c r="DO14" s="19">
        <f>SQRT(Parameters!$B$5)*Factors!DO4+SQRT(Parameters!$B$6)*Factors!DO8+SQRT(Parameters!$B$7)*Factors!DO10+SQRT(Parameters!$B$9)*NORM.S.INV(RAND())</f>
        <v/>
      </c>
      <c r="DP14" s="19">
        <f>SQRT(Parameters!$B$5)*Factors!DP4+SQRT(Parameters!$B$6)*Factors!DP8+SQRT(Parameters!$B$7)*Factors!DP10+SQRT(Parameters!$B$9)*NORM.S.INV(RAND())</f>
        <v/>
      </c>
      <c r="DQ14" s="19">
        <f>SQRT(Parameters!$B$5)*Factors!DQ4+SQRT(Parameters!$B$6)*Factors!DQ8+SQRT(Parameters!$B$7)*Factors!DQ10+SQRT(Parameters!$B$9)*NORM.S.INV(RAND())</f>
        <v/>
      </c>
      <c r="DR14" s="19">
        <f>SQRT(Parameters!$B$5)*Factors!DR4+SQRT(Parameters!$B$6)*Factors!DR8+SQRT(Parameters!$B$7)*Factors!DR10+SQRT(Parameters!$B$9)*NORM.S.INV(RAND())</f>
        <v/>
      </c>
      <c r="DS14" s="19">
        <f>SQRT(Parameters!$B$5)*Factors!DS4+SQRT(Parameters!$B$6)*Factors!DS8+SQRT(Parameters!$B$7)*Factors!DS10+SQRT(Parameters!$B$9)*NORM.S.INV(RAND())</f>
        <v/>
      </c>
      <c r="DT14" s="19">
        <f>SQRT(Parameters!$B$5)*Factors!DT4+SQRT(Parameters!$B$6)*Factors!DT8+SQRT(Parameters!$B$7)*Factors!DT10+SQRT(Parameters!$B$9)*NORM.S.INV(RAND())</f>
        <v/>
      </c>
      <c r="DU14" s="19">
        <f>SQRT(Parameters!$B$5)*Factors!DU4+SQRT(Parameters!$B$6)*Factors!DU8+SQRT(Parameters!$B$7)*Factors!DU10+SQRT(Parameters!$B$9)*NORM.S.INV(RAND())</f>
        <v/>
      </c>
      <c r="DV14" s="19">
        <f>SQRT(Parameters!$B$5)*Factors!DV4+SQRT(Parameters!$B$6)*Factors!DV8+SQRT(Parameters!$B$7)*Factors!DV10+SQRT(Parameters!$B$9)*NORM.S.INV(RAND())</f>
        <v/>
      </c>
      <c r="DW14" s="19">
        <f>SQRT(Parameters!$B$5)*Factors!DW4+SQRT(Parameters!$B$6)*Factors!DW8+SQRT(Parameters!$B$7)*Factors!DW10+SQRT(Parameters!$B$9)*NORM.S.INV(RAND())</f>
        <v/>
      </c>
      <c r="DX14" s="19">
        <f>SQRT(Parameters!$B$5)*Factors!DX4+SQRT(Parameters!$B$6)*Factors!DX8+SQRT(Parameters!$B$7)*Factors!DX10+SQRT(Parameters!$B$9)*NORM.S.INV(RAND())</f>
        <v/>
      </c>
      <c r="DY14" s="19">
        <f>SQRT(Parameters!$B$5)*Factors!DY4+SQRT(Parameters!$B$6)*Factors!DY8+SQRT(Parameters!$B$7)*Factors!DY10+SQRT(Parameters!$B$9)*NORM.S.INV(RAND())</f>
        <v/>
      </c>
      <c r="DZ14" s="19">
        <f>SQRT(Parameters!$B$5)*Factors!DZ4+SQRT(Parameters!$B$6)*Factors!DZ8+SQRT(Parameters!$B$7)*Factors!DZ10+SQRT(Parameters!$B$9)*NORM.S.INV(RAND())</f>
        <v/>
      </c>
      <c r="EA14" s="19">
        <f>SQRT(Parameters!$B$5)*Factors!EA4+SQRT(Parameters!$B$6)*Factors!EA8+SQRT(Parameters!$B$7)*Factors!EA10+SQRT(Parameters!$B$9)*NORM.S.INV(RAND())</f>
        <v/>
      </c>
      <c r="EB14" s="19">
        <f>SQRT(Parameters!$B$5)*Factors!EB4+SQRT(Parameters!$B$6)*Factors!EB8+SQRT(Parameters!$B$7)*Factors!EB10+SQRT(Parameters!$B$9)*NORM.S.INV(RAND())</f>
        <v/>
      </c>
      <c r="EC14" s="19">
        <f>SQRT(Parameters!$B$5)*Factors!EC4+SQRT(Parameters!$B$6)*Factors!EC8+SQRT(Parameters!$B$7)*Factors!EC10+SQRT(Parameters!$B$9)*NORM.S.INV(RAND())</f>
        <v/>
      </c>
      <c r="ED14" s="19">
        <f>SQRT(Parameters!$B$5)*Factors!ED4+SQRT(Parameters!$B$6)*Factors!ED8+SQRT(Parameters!$B$7)*Factors!ED10+SQRT(Parameters!$B$9)*NORM.S.INV(RAND())</f>
        <v/>
      </c>
      <c r="EE14" s="19">
        <f>SQRT(Parameters!$B$5)*Factors!EE4+SQRT(Parameters!$B$6)*Factors!EE8+SQRT(Parameters!$B$7)*Factors!EE10+SQRT(Parameters!$B$9)*NORM.S.INV(RAND())</f>
        <v/>
      </c>
      <c r="EF14" s="19">
        <f>SQRT(Parameters!$B$5)*Factors!EF4+SQRT(Parameters!$B$6)*Factors!EF8+SQRT(Parameters!$B$7)*Factors!EF10+SQRT(Parameters!$B$9)*NORM.S.INV(RAND())</f>
        <v/>
      </c>
      <c r="EG14" s="19">
        <f>SQRT(Parameters!$B$5)*Factors!EG4+SQRT(Parameters!$B$6)*Factors!EG8+SQRT(Parameters!$B$7)*Factors!EG10+SQRT(Parameters!$B$9)*NORM.S.INV(RAND())</f>
        <v/>
      </c>
      <c r="EH14" s="19">
        <f>SQRT(Parameters!$B$5)*Factors!EH4+SQRT(Parameters!$B$6)*Factors!EH8+SQRT(Parameters!$B$7)*Factors!EH10+SQRT(Parameters!$B$9)*NORM.S.INV(RAND())</f>
        <v/>
      </c>
      <c r="EI14" s="19">
        <f>SQRT(Parameters!$B$5)*Factors!EI4+SQRT(Parameters!$B$6)*Factors!EI8+SQRT(Parameters!$B$7)*Factors!EI10+SQRT(Parameters!$B$9)*NORM.S.INV(RAND())</f>
        <v/>
      </c>
      <c r="EJ14" s="19">
        <f>SQRT(Parameters!$B$5)*Factors!EJ4+SQRT(Parameters!$B$6)*Factors!EJ8+SQRT(Parameters!$B$7)*Factors!EJ10+SQRT(Parameters!$B$9)*NORM.S.INV(RAND())</f>
        <v/>
      </c>
      <c r="EK14" s="19">
        <f>SQRT(Parameters!$B$5)*Factors!EK4+SQRT(Parameters!$B$6)*Factors!EK8+SQRT(Parameters!$B$7)*Factors!EK10+SQRT(Parameters!$B$9)*NORM.S.INV(RAND())</f>
        <v/>
      </c>
      <c r="EL14" s="19">
        <f>SQRT(Parameters!$B$5)*Factors!EL4+SQRT(Parameters!$B$6)*Factors!EL8+SQRT(Parameters!$B$7)*Factors!EL10+SQRT(Parameters!$B$9)*NORM.S.INV(RAND())</f>
        <v/>
      </c>
      <c r="EM14" s="19">
        <f>SQRT(Parameters!$B$5)*Factors!EM4+SQRT(Parameters!$B$6)*Factors!EM8+SQRT(Parameters!$B$7)*Factors!EM10+SQRT(Parameters!$B$9)*NORM.S.INV(RAND())</f>
        <v/>
      </c>
      <c r="EN14" s="19">
        <f>SQRT(Parameters!$B$5)*Factors!EN4+SQRT(Parameters!$B$6)*Factors!EN8+SQRT(Parameters!$B$7)*Factors!EN10+SQRT(Parameters!$B$9)*NORM.S.INV(RAND())</f>
        <v/>
      </c>
      <c r="EO14" s="19">
        <f>SQRT(Parameters!$B$5)*Factors!EO4+SQRT(Parameters!$B$6)*Factors!EO8+SQRT(Parameters!$B$7)*Factors!EO10+SQRT(Parameters!$B$9)*NORM.S.INV(RAND())</f>
        <v/>
      </c>
      <c r="EP14" s="19">
        <f>SQRT(Parameters!$B$5)*Factors!EP4+SQRT(Parameters!$B$6)*Factors!EP8+SQRT(Parameters!$B$7)*Factors!EP10+SQRT(Parameters!$B$9)*NORM.S.INV(RAND())</f>
        <v/>
      </c>
      <c r="EQ14" s="19">
        <f>SQRT(Parameters!$B$5)*Factors!EQ4+SQRT(Parameters!$B$6)*Factors!EQ8+SQRT(Parameters!$B$7)*Factors!EQ10+SQRT(Parameters!$B$9)*NORM.S.INV(RAND())</f>
        <v/>
      </c>
      <c r="ER14" s="19">
        <f>SQRT(Parameters!$B$5)*Factors!ER4+SQRT(Parameters!$B$6)*Factors!ER8+SQRT(Parameters!$B$7)*Factors!ER10+SQRT(Parameters!$B$9)*NORM.S.INV(RAND())</f>
        <v/>
      </c>
      <c r="ES14" s="19">
        <f>SQRT(Parameters!$B$5)*Factors!ES4+SQRT(Parameters!$B$6)*Factors!ES8+SQRT(Parameters!$B$7)*Factors!ES10+SQRT(Parameters!$B$9)*NORM.S.INV(RAND())</f>
        <v/>
      </c>
      <c r="ET14" s="19">
        <f>SQRT(Parameters!$B$5)*Factors!ET4+SQRT(Parameters!$B$6)*Factors!ET8+SQRT(Parameters!$B$7)*Factors!ET10+SQRT(Parameters!$B$9)*NORM.S.INV(RAND())</f>
        <v/>
      </c>
      <c r="EU14" s="19">
        <f>SQRT(Parameters!$B$5)*Factors!EU4+SQRT(Parameters!$B$6)*Factors!EU8+SQRT(Parameters!$B$7)*Factors!EU10+SQRT(Parameters!$B$9)*NORM.S.INV(RAND())</f>
        <v/>
      </c>
      <c r="EV14" s="19">
        <f>SQRT(Parameters!$B$5)*Factors!EV4+SQRT(Parameters!$B$6)*Factors!EV8+SQRT(Parameters!$B$7)*Factors!EV10+SQRT(Parameters!$B$9)*NORM.S.INV(RAND())</f>
        <v/>
      </c>
      <c r="EW14" s="19">
        <f>SQRT(Parameters!$B$5)*Factors!EW4+SQRT(Parameters!$B$6)*Factors!EW8+SQRT(Parameters!$B$7)*Factors!EW10+SQRT(Parameters!$B$9)*NORM.S.INV(RAND())</f>
        <v/>
      </c>
      <c r="EX14" s="19">
        <f>SQRT(Parameters!$B$5)*Factors!EX4+SQRT(Parameters!$B$6)*Factors!EX8+SQRT(Parameters!$B$7)*Factors!EX10+SQRT(Parameters!$B$9)*NORM.S.INV(RAND())</f>
        <v/>
      </c>
      <c r="EY14" s="19">
        <f>SQRT(Parameters!$B$5)*Factors!EY4+SQRT(Parameters!$B$6)*Factors!EY8+SQRT(Parameters!$B$7)*Factors!EY10+SQRT(Parameters!$B$9)*NORM.S.INV(RAND())</f>
        <v/>
      </c>
      <c r="EZ14" s="19">
        <f>SQRT(Parameters!$B$5)*Factors!EZ4+SQRT(Parameters!$B$6)*Factors!EZ8+SQRT(Parameters!$B$7)*Factors!EZ10+SQRT(Parameters!$B$9)*NORM.S.INV(RAND())</f>
        <v/>
      </c>
      <c r="FA14" s="19">
        <f>SQRT(Parameters!$B$5)*Factors!FA4+SQRT(Parameters!$B$6)*Factors!FA8+SQRT(Parameters!$B$7)*Factors!FA10+SQRT(Parameters!$B$9)*NORM.S.INV(RAND())</f>
        <v/>
      </c>
      <c r="FB14" s="19">
        <f>SQRT(Parameters!$B$5)*Factors!FB4+SQRT(Parameters!$B$6)*Factors!FB8+SQRT(Parameters!$B$7)*Factors!FB10+SQRT(Parameters!$B$9)*NORM.S.INV(RAND())</f>
        <v/>
      </c>
      <c r="FC14" s="19">
        <f>SQRT(Parameters!$B$5)*Factors!FC4+SQRT(Parameters!$B$6)*Factors!FC8+SQRT(Parameters!$B$7)*Factors!FC10+SQRT(Parameters!$B$9)*NORM.S.INV(RAND())</f>
        <v/>
      </c>
      <c r="FD14" s="19">
        <f>SQRT(Parameters!$B$5)*Factors!FD4+SQRT(Parameters!$B$6)*Factors!FD8+SQRT(Parameters!$B$7)*Factors!FD10+SQRT(Parameters!$B$9)*NORM.S.INV(RAND())</f>
        <v/>
      </c>
      <c r="FE14" s="19">
        <f>SQRT(Parameters!$B$5)*Factors!FE4+SQRT(Parameters!$B$6)*Factors!FE8+SQRT(Parameters!$B$7)*Factors!FE10+SQRT(Parameters!$B$9)*NORM.S.INV(RAND())</f>
        <v/>
      </c>
      <c r="FF14" s="19">
        <f>SQRT(Parameters!$B$5)*Factors!FF4+SQRT(Parameters!$B$6)*Factors!FF8+SQRT(Parameters!$B$7)*Factors!FF10+SQRT(Parameters!$B$9)*NORM.S.INV(RAND())</f>
        <v/>
      </c>
      <c r="FG14" s="19">
        <f>SQRT(Parameters!$B$5)*Factors!FG4+SQRT(Parameters!$B$6)*Factors!FG8+SQRT(Parameters!$B$7)*Factors!FG10+SQRT(Parameters!$B$9)*NORM.S.INV(RAND())</f>
        <v/>
      </c>
      <c r="FH14" s="19">
        <f>SQRT(Parameters!$B$5)*Factors!FH4+SQRT(Parameters!$B$6)*Factors!FH8+SQRT(Parameters!$B$7)*Factors!FH10+SQRT(Parameters!$B$9)*NORM.S.INV(RAND())</f>
        <v/>
      </c>
      <c r="FI14" s="19">
        <f>SQRT(Parameters!$B$5)*Factors!FI4+SQRT(Parameters!$B$6)*Factors!FI8+SQRT(Parameters!$B$7)*Factors!FI10+SQRT(Parameters!$B$9)*NORM.S.INV(RAND())</f>
        <v/>
      </c>
      <c r="FJ14" s="19">
        <f>SQRT(Parameters!$B$5)*Factors!FJ4+SQRT(Parameters!$B$6)*Factors!FJ8+SQRT(Parameters!$B$7)*Factors!FJ10+SQRT(Parameters!$B$9)*NORM.S.INV(RAND())</f>
        <v/>
      </c>
      <c r="FK14" s="19">
        <f>SQRT(Parameters!$B$5)*Factors!FK4+SQRT(Parameters!$B$6)*Factors!FK8+SQRT(Parameters!$B$7)*Factors!FK10+SQRT(Parameters!$B$9)*NORM.S.INV(RAND())</f>
        <v/>
      </c>
      <c r="FL14" s="19">
        <f>SQRT(Parameters!$B$5)*Factors!FL4+SQRT(Parameters!$B$6)*Factors!FL8+SQRT(Parameters!$B$7)*Factors!FL10+SQRT(Parameters!$B$9)*NORM.S.INV(RAND())</f>
        <v/>
      </c>
      <c r="FM14" s="19">
        <f>SQRT(Parameters!$B$5)*Factors!FM4+SQRT(Parameters!$B$6)*Factors!FM8+SQRT(Parameters!$B$7)*Factors!FM10+SQRT(Parameters!$B$9)*NORM.S.INV(RAND())</f>
        <v/>
      </c>
      <c r="FN14" s="19">
        <f>SQRT(Parameters!$B$5)*Factors!FN4+SQRT(Parameters!$B$6)*Factors!FN8+SQRT(Parameters!$B$7)*Factors!FN10+SQRT(Parameters!$B$9)*NORM.S.INV(RAND())</f>
        <v/>
      </c>
      <c r="FO14" s="19">
        <f>SQRT(Parameters!$B$5)*Factors!FO4+SQRT(Parameters!$B$6)*Factors!FO8+SQRT(Parameters!$B$7)*Factors!FO10+SQRT(Parameters!$B$9)*NORM.S.INV(RAND())</f>
        <v/>
      </c>
      <c r="FP14" s="19">
        <f>SQRT(Parameters!$B$5)*Factors!FP4+SQRT(Parameters!$B$6)*Factors!FP8+SQRT(Parameters!$B$7)*Factors!FP10+SQRT(Parameters!$B$9)*NORM.S.INV(RAND())</f>
        <v/>
      </c>
      <c r="FQ14" s="19">
        <f>SQRT(Parameters!$B$5)*Factors!FQ4+SQRT(Parameters!$B$6)*Factors!FQ8+SQRT(Parameters!$B$7)*Factors!FQ10+SQRT(Parameters!$B$9)*NORM.S.INV(RAND())</f>
        <v/>
      </c>
      <c r="FR14" s="19">
        <f>SQRT(Parameters!$B$5)*Factors!FR4+SQRT(Parameters!$B$6)*Factors!FR8+SQRT(Parameters!$B$7)*Factors!FR10+SQRT(Parameters!$B$9)*NORM.S.INV(RAND())</f>
        <v/>
      </c>
      <c r="FS14" s="19">
        <f>SQRT(Parameters!$B$5)*Factors!FS4+SQRT(Parameters!$B$6)*Factors!FS8+SQRT(Parameters!$B$7)*Factors!FS10+SQRT(Parameters!$B$9)*NORM.S.INV(RAND())</f>
        <v/>
      </c>
      <c r="FT14" s="19">
        <f>SQRT(Parameters!$B$5)*Factors!FT4+SQRT(Parameters!$B$6)*Factors!FT8+SQRT(Parameters!$B$7)*Factors!FT10+SQRT(Parameters!$B$9)*NORM.S.INV(RAND())</f>
        <v/>
      </c>
      <c r="FU14" s="19">
        <f>SQRT(Parameters!$B$5)*Factors!FU4+SQRT(Parameters!$B$6)*Factors!FU8+SQRT(Parameters!$B$7)*Factors!FU10+SQRT(Parameters!$B$9)*NORM.S.INV(RAND())</f>
        <v/>
      </c>
      <c r="FV14" s="19">
        <f>SQRT(Parameters!$B$5)*Factors!FV4+SQRT(Parameters!$B$6)*Factors!FV8+SQRT(Parameters!$B$7)*Factors!FV10+SQRT(Parameters!$B$9)*NORM.S.INV(RAND())</f>
        <v/>
      </c>
      <c r="FW14" s="19">
        <f>SQRT(Parameters!$B$5)*Factors!FW4+SQRT(Parameters!$B$6)*Factors!FW8+SQRT(Parameters!$B$7)*Factors!FW10+SQRT(Parameters!$B$9)*NORM.S.INV(RAND())</f>
        <v/>
      </c>
      <c r="FX14" s="19">
        <f>SQRT(Parameters!$B$5)*Factors!FX4+SQRT(Parameters!$B$6)*Factors!FX8+SQRT(Parameters!$B$7)*Factors!FX10+SQRT(Parameters!$B$9)*NORM.S.INV(RAND())</f>
        <v/>
      </c>
      <c r="FY14" s="19">
        <f>SQRT(Parameters!$B$5)*Factors!FY4+SQRT(Parameters!$B$6)*Factors!FY8+SQRT(Parameters!$B$7)*Factors!FY10+SQRT(Parameters!$B$9)*NORM.S.INV(RAND())</f>
        <v/>
      </c>
      <c r="FZ14" s="19">
        <f>SQRT(Parameters!$B$5)*Factors!FZ4+SQRT(Parameters!$B$6)*Factors!FZ8+SQRT(Parameters!$B$7)*Factors!FZ10+SQRT(Parameters!$B$9)*NORM.S.INV(RAND())</f>
        <v/>
      </c>
      <c r="GA14" s="19">
        <f>SQRT(Parameters!$B$5)*Factors!GA4+SQRT(Parameters!$B$6)*Factors!GA8+SQRT(Parameters!$B$7)*Factors!GA10+SQRT(Parameters!$B$9)*NORM.S.INV(RAND())</f>
        <v/>
      </c>
      <c r="GB14" s="19">
        <f>SQRT(Parameters!$B$5)*Factors!GB4+SQRT(Parameters!$B$6)*Factors!GB8+SQRT(Parameters!$B$7)*Factors!GB10+SQRT(Parameters!$B$9)*NORM.S.INV(RAND())</f>
        <v/>
      </c>
      <c r="GC14" s="19">
        <f>SQRT(Parameters!$B$5)*Factors!GC4+SQRT(Parameters!$B$6)*Factors!GC8+SQRT(Parameters!$B$7)*Factors!GC10+SQRT(Parameters!$B$9)*NORM.S.INV(RAND())</f>
        <v/>
      </c>
      <c r="GD14" s="19">
        <f>SQRT(Parameters!$B$5)*Factors!GD4+SQRT(Parameters!$B$6)*Factors!GD8+SQRT(Parameters!$B$7)*Factors!GD10+SQRT(Parameters!$B$9)*NORM.S.INV(RAND())</f>
        <v/>
      </c>
      <c r="GE14" s="19">
        <f>SQRT(Parameters!$B$5)*Factors!GE4+SQRT(Parameters!$B$6)*Factors!GE8+SQRT(Parameters!$B$7)*Factors!GE10+SQRT(Parameters!$B$9)*NORM.S.INV(RAND())</f>
        <v/>
      </c>
      <c r="GF14" s="19">
        <f>SQRT(Parameters!$B$5)*Factors!GF4+SQRT(Parameters!$B$6)*Factors!GF8+SQRT(Parameters!$B$7)*Factors!GF10+SQRT(Parameters!$B$9)*NORM.S.INV(RAND())</f>
        <v/>
      </c>
      <c r="GG14" s="19">
        <f>SQRT(Parameters!$B$5)*Factors!GG4+SQRT(Parameters!$B$6)*Factors!GG8+SQRT(Parameters!$B$7)*Factors!GG10+SQRT(Parameters!$B$9)*NORM.S.INV(RAND())</f>
        <v/>
      </c>
      <c r="GH14" s="19">
        <f>SQRT(Parameters!$B$5)*Factors!GH4+SQRT(Parameters!$B$6)*Factors!GH8+SQRT(Parameters!$B$7)*Factors!GH10+SQRT(Parameters!$B$9)*NORM.S.INV(RAND())</f>
        <v/>
      </c>
      <c r="GI14" s="19">
        <f>SQRT(Parameters!$B$5)*Factors!GI4+SQRT(Parameters!$B$6)*Factors!GI8+SQRT(Parameters!$B$7)*Factors!GI10+SQRT(Parameters!$B$9)*NORM.S.INV(RAND())</f>
        <v/>
      </c>
      <c r="GJ14" s="19">
        <f>SQRT(Parameters!$B$5)*Factors!GJ4+SQRT(Parameters!$B$6)*Factors!GJ8+SQRT(Parameters!$B$7)*Factors!GJ10+SQRT(Parameters!$B$9)*NORM.S.INV(RAND())</f>
        <v/>
      </c>
      <c r="GK14" s="19">
        <f>SQRT(Parameters!$B$5)*Factors!GK4+SQRT(Parameters!$B$6)*Factors!GK8+SQRT(Parameters!$B$7)*Factors!GK10+SQRT(Parameters!$B$9)*NORM.S.INV(RAND())</f>
        <v/>
      </c>
      <c r="GL14" s="19">
        <f>SQRT(Parameters!$B$5)*Factors!GL4+SQRT(Parameters!$B$6)*Factors!GL8+SQRT(Parameters!$B$7)*Factors!GL10+SQRT(Parameters!$B$9)*NORM.S.INV(RAND())</f>
        <v/>
      </c>
      <c r="GM14" s="19">
        <f>SQRT(Parameters!$B$5)*Factors!GM4+SQRT(Parameters!$B$6)*Factors!GM8+SQRT(Parameters!$B$7)*Factors!GM10+SQRT(Parameters!$B$9)*NORM.S.INV(RAND())</f>
        <v/>
      </c>
      <c r="GN14" s="19">
        <f>SQRT(Parameters!$B$5)*Factors!GN4+SQRT(Parameters!$B$6)*Factors!GN8+SQRT(Parameters!$B$7)*Factors!GN10+SQRT(Parameters!$B$9)*NORM.S.INV(RAND())</f>
        <v/>
      </c>
      <c r="GO14" s="19">
        <f>SQRT(Parameters!$B$5)*Factors!GO4+SQRT(Parameters!$B$6)*Factors!GO8+SQRT(Parameters!$B$7)*Factors!GO10+SQRT(Parameters!$B$9)*NORM.S.INV(RAND())</f>
        <v/>
      </c>
      <c r="GP14" s="19">
        <f>SQRT(Parameters!$B$5)*Factors!GP4+SQRT(Parameters!$B$6)*Factors!GP8+SQRT(Parameters!$B$7)*Factors!GP10+SQRT(Parameters!$B$9)*NORM.S.INV(RAND())</f>
        <v/>
      </c>
      <c r="GQ14" s="19">
        <f>SQRT(Parameters!$B$5)*Factors!GQ4+SQRT(Parameters!$B$6)*Factors!GQ8+SQRT(Parameters!$B$7)*Factors!GQ10+SQRT(Parameters!$B$9)*NORM.S.INV(RAND())</f>
        <v/>
      </c>
      <c r="GR14" s="19">
        <f>SQRT(Parameters!$B$5)*Factors!GR4+SQRT(Parameters!$B$6)*Factors!GR8+SQRT(Parameters!$B$7)*Factors!GR10+SQRT(Parameters!$B$9)*NORM.S.INV(RAND())</f>
        <v/>
      </c>
      <c r="GS14" s="19">
        <f>SQRT(Parameters!$B$5)*Factors!GS4+SQRT(Parameters!$B$6)*Factors!GS8+SQRT(Parameters!$B$7)*Factors!GS10+SQRT(Parameters!$B$9)*NORM.S.INV(RAND())</f>
        <v/>
      </c>
      <c r="GT14" s="19">
        <f>SQRT(Parameters!$B$5)*Factors!GT4+SQRT(Parameters!$B$6)*Factors!GT8+SQRT(Parameters!$B$7)*Factors!GT10+SQRT(Parameters!$B$9)*NORM.S.INV(RAND())</f>
        <v/>
      </c>
      <c r="GU14" s="19">
        <f>SQRT(Parameters!$B$5)*Factors!GU4+SQRT(Parameters!$B$6)*Factors!GU8+SQRT(Parameters!$B$7)*Factors!GU10+SQRT(Parameters!$B$9)*NORM.S.INV(RAND())</f>
        <v/>
      </c>
      <c r="GV14" s="19">
        <f>SQRT(Parameters!$B$5)*Factors!GV4+SQRT(Parameters!$B$6)*Factors!GV8+SQRT(Parameters!$B$7)*Factors!GV10+SQRT(Parameters!$B$9)*NORM.S.INV(RAND())</f>
        <v/>
      </c>
      <c r="GW14" s="19">
        <f>SQRT(Parameters!$B$5)*Factors!GW4+SQRT(Parameters!$B$6)*Factors!GW8+SQRT(Parameters!$B$7)*Factors!GW10+SQRT(Parameters!$B$9)*NORM.S.INV(RAND())</f>
        <v/>
      </c>
      <c r="GX14" s="19">
        <f>SQRT(Parameters!$B$5)*Factors!GX4+SQRT(Parameters!$B$6)*Factors!GX8+SQRT(Parameters!$B$7)*Factors!GX10+SQRT(Parameters!$B$9)*NORM.S.INV(RAND())</f>
        <v/>
      </c>
      <c r="GY14" s="19">
        <f>SQRT(Parameters!$B$5)*Factors!GY4+SQRT(Parameters!$B$6)*Factors!GY8+SQRT(Parameters!$B$7)*Factors!GY10+SQRT(Parameters!$B$9)*NORM.S.INV(RAND())</f>
        <v/>
      </c>
      <c r="GZ14" s="19">
        <f>SQRT(Parameters!$B$5)*Factors!GZ4+SQRT(Parameters!$B$6)*Factors!GZ8+SQRT(Parameters!$B$7)*Factors!GZ10+SQRT(Parameters!$B$9)*NORM.S.INV(RAND())</f>
        <v/>
      </c>
      <c r="HA14" s="19">
        <f>SQRT(Parameters!$B$5)*Factors!HA4+SQRT(Parameters!$B$6)*Factors!HA8+SQRT(Parameters!$B$7)*Factors!HA10+SQRT(Parameters!$B$9)*NORM.S.INV(RAND())</f>
        <v/>
      </c>
      <c r="HB14" s="19">
        <f>SQRT(Parameters!$B$5)*Factors!HB4+SQRT(Parameters!$B$6)*Factors!HB8+SQRT(Parameters!$B$7)*Factors!HB10+SQRT(Parameters!$B$9)*NORM.S.INV(RAND())</f>
        <v/>
      </c>
      <c r="HC14" s="19">
        <f>SQRT(Parameters!$B$5)*Factors!HC4+SQRT(Parameters!$B$6)*Factors!HC8+SQRT(Parameters!$B$7)*Factors!HC10+SQRT(Parameters!$B$9)*NORM.S.INV(RAND())</f>
        <v/>
      </c>
      <c r="HD14" s="19">
        <f>SQRT(Parameters!$B$5)*Factors!HD4+SQRT(Parameters!$B$6)*Factors!HD8+SQRT(Parameters!$B$7)*Factors!HD10+SQRT(Parameters!$B$9)*NORM.S.INV(RAND())</f>
        <v/>
      </c>
      <c r="HE14" s="19">
        <f>SQRT(Parameters!$B$5)*Factors!HE4+SQRT(Parameters!$B$6)*Factors!HE8+SQRT(Parameters!$B$7)*Factors!HE10+SQRT(Parameters!$B$9)*NORM.S.INV(RAND())</f>
        <v/>
      </c>
      <c r="HF14" s="19">
        <f>SQRT(Parameters!$B$5)*Factors!HF4+SQRT(Parameters!$B$6)*Factors!HF8+SQRT(Parameters!$B$7)*Factors!HF10+SQRT(Parameters!$B$9)*NORM.S.INV(RAND())</f>
        <v/>
      </c>
      <c r="HG14" s="19">
        <f>SQRT(Parameters!$B$5)*Factors!HG4+SQRT(Parameters!$B$6)*Factors!HG8+SQRT(Parameters!$B$7)*Factors!HG10+SQRT(Parameters!$B$9)*NORM.S.INV(RAND())</f>
        <v/>
      </c>
      <c r="HH14" s="19">
        <f>SQRT(Parameters!$B$5)*Factors!HH4+SQRT(Parameters!$B$6)*Factors!HH8+SQRT(Parameters!$B$7)*Factors!HH10+SQRT(Parameters!$B$9)*NORM.S.INV(RAND())</f>
        <v/>
      </c>
      <c r="HI14" s="19">
        <f>SQRT(Parameters!$B$5)*Factors!HI4+SQRT(Parameters!$B$6)*Factors!HI8+SQRT(Parameters!$B$7)*Factors!HI10+SQRT(Parameters!$B$9)*NORM.S.INV(RAND())</f>
        <v/>
      </c>
      <c r="HJ14" s="19">
        <f>SQRT(Parameters!$B$5)*Factors!HJ4+SQRT(Parameters!$B$6)*Factors!HJ8+SQRT(Parameters!$B$7)*Factors!HJ10+SQRT(Parameters!$B$9)*NORM.S.INV(RAND())</f>
        <v/>
      </c>
      <c r="HK14" s="19">
        <f>SQRT(Parameters!$B$5)*Factors!HK4+SQRT(Parameters!$B$6)*Factors!HK8+SQRT(Parameters!$B$7)*Factors!HK10+SQRT(Parameters!$B$9)*NORM.S.INV(RAND())</f>
        <v/>
      </c>
      <c r="HL14" s="19">
        <f>SQRT(Parameters!$B$5)*Factors!HL4+SQRT(Parameters!$B$6)*Factors!HL8+SQRT(Parameters!$B$7)*Factors!HL10+SQRT(Parameters!$B$9)*NORM.S.INV(RAND())</f>
        <v/>
      </c>
      <c r="HM14" s="19">
        <f>SQRT(Parameters!$B$5)*Factors!HM4+SQRT(Parameters!$B$6)*Factors!HM8+SQRT(Parameters!$B$7)*Factors!HM10+SQRT(Parameters!$B$9)*NORM.S.INV(RAND())</f>
        <v/>
      </c>
      <c r="HN14" s="19">
        <f>SQRT(Parameters!$B$5)*Factors!HN4+SQRT(Parameters!$B$6)*Factors!HN8+SQRT(Parameters!$B$7)*Factors!HN10+SQRT(Parameters!$B$9)*NORM.S.INV(RAND())</f>
        <v/>
      </c>
      <c r="HO14" s="19">
        <f>SQRT(Parameters!$B$5)*Factors!HO4+SQRT(Parameters!$B$6)*Factors!HO8+SQRT(Parameters!$B$7)*Factors!HO10+SQRT(Parameters!$B$9)*NORM.S.INV(RAND())</f>
        <v/>
      </c>
      <c r="HP14" s="19">
        <f>SQRT(Parameters!$B$5)*Factors!HP4+SQRT(Parameters!$B$6)*Factors!HP8+SQRT(Parameters!$B$7)*Factors!HP10+SQRT(Parameters!$B$9)*NORM.S.INV(RAND())</f>
        <v/>
      </c>
      <c r="HQ14" s="19">
        <f>SQRT(Parameters!$B$5)*Factors!HQ4+SQRT(Parameters!$B$6)*Factors!HQ8+SQRT(Parameters!$B$7)*Factors!HQ10+SQRT(Parameters!$B$9)*NORM.S.INV(RAND())</f>
        <v/>
      </c>
      <c r="HR14" s="19">
        <f>SQRT(Parameters!$B$5)*Factors!HR4+SQRT(Parameters!$B$6)*Factors!HR8+SQRT(Parameters!$B$7)*Factors!HR10+SQRT(Parameters!$B$9)*NORM.S.INV(RAND())</f>
        <v/>
      </c>
      <c r="HS14" s="19">
        <f>SQRT(Parameters!$B$5)*Factors!HS4+SQRT(Parameters!$B$6)*Factors!HS8+SQRT(Parameters!$B$7)*Factors!HS10+SQRT(Parameters!$B$9)*NORM.S.INV(RAND())</f>
        <v/>
      </c>
      <c r="HT14" s="19">
        <f>SQRT(Parameters!$B$5)*Factors!HT4+SQRT(Parameters!$B$6)*Factors!HT8+SQRT(Parameters!$B$7)*Factors!HT10+SQRT(Parameters!$B$9)*NORM.S.INV(RAND())</f>
        <v/>
      </c>
      <c r="HU14" s="19">
        <f>SQRT(Parameters!$B$5)*Factors!HU4+SQRT(Parameters!$B$6)*Factors!HU8+SQRT(Parameters!$B$7)*Factors!HU10+SQRT(Parameters!$B$9)*NORM.S.INV(RAND())</f>
        <v/>
      </c>
      <c r="HV14" s="19">
        <f>SQRT(Parameters!$B$5)*Factors!HV4+SQRT(Parameters!$B$6)*Factors!HV8+SQRT(Parameters!$B$7)*Factors!HV10+SQRT(Parameters!$B$9)*NORM.S.INV(RAND())</f>
        <v/>
      </c>
      <c r="HW14" s="19">
        <f>SQRT(Parameters!$B$5)*Factors!HW4+SQRT(Parameters!$B$6)*Factors!HW8+SQRT(Parameters!$B$7)*Factors!HW10+SQRT(Parameters!$B$9)*NORM.S.INV(RAND())</f>
        <v/>
      </c>
      <c r="HX14" s="19">
        <f>SQRT(Parameters!$B$5)*Factors!HX4+SQRT(Parameters!$B$6)*Factors!HX8+SQRT(Parameters!$B$7)*Factors!HX10+SQRT(Parameters!$B$9)*NORM.S.INV(RAND())</f>
        <v/>
      </c>
      <c r="HY14" s="19">
        <f>SQRT(Parameters!$B$5)*Factors!HY4+SQRT(Parameters!$B$6)*Factors!HY8+SQRT(Parameters!$B$7)*Factors!HY10+SQRT(Parameters!$B$9)*NORM.S.INV(RAND())</f>
        <v/>
      </c>
      <c r="HZ14" s="19">
        <f>SQRT(Parameters!$B$5)*Factors!HZ4+SQRT(Parameters!$B$6)*Factors!HZ8+SQRT(Parameters!$B$7)*Factors!HZ10+SQRT(Parameters!$B$9)*NORM.S.INV(RAND())</f>
        <v/>
      </c>
      <c r="IA14" s="19">
        <f>SQRT(Parameters!$B$5)*Factors!IA4+SQRT(Parameters!$B$6)*Factors!IA8+SQRT(Parameters!$B$7)*Factors!IA10+SQRT(Parameters!$B$9)*NORM.S.INV(RAND())</f>
        <v/>
      </c>
      <c r="IB14" s="19">
        <f>SQRT(Parameters!$B$5)*Factors!IB4+SQRT(Parameters!$B$6)*Factors!IB8+SQRT(Parameters!$B$7)*Factors!IB10+SQRT(Parameters!$B$9)*NORM.S.INV(RAND())</f>
        <v/>
      </c>
      <c r="IC14" s="19">
        <f>SQRT(Parameters!$B$5)*Factors!IC4+SQRT(Parameters!$B$6)*Factors!IC8+SQRT(Parameters!$B$7)*Factors!IC10+SQRT(Parameters!$B$9)*NORM.S.INV(RAND())</f>
        <v/>
      </c>
      <c r="ID14" s="19">
        <f>SQRT(Parameters!$B$5)*Factors!ID4+SQRT(Parameters!$B$6)*Factors!ID8+SQRT(Parameters!$B$7)*Factors!ID10+SQRT(Parameters!$B$9)*NORM.S.INV(RAND())</f>
        <v/>
      </c>
      <c r="IE14" s="19">
        <f>SQRT(Parameters!$B$5)*Factors!IE4+SQRT(Parameters!$B$6)*Factors!IE8+SQRT(Parameters!$B$7)*Factors!IE10+SQRT(Parameters!$B$9)*NORM.S.INV(RAND())</f>
        <v/>
      </c>
      <c r="IF14" s="19">
        <f>SQRT(Parameters!$B$5)*Factors!IF4+SQRT(Parameters!$B$6)*Factors!IF8+SQRT(Parameters!$B$7)*Factors!IF10+SQRT(Parameters!$B$9)*NORM.S.INV(RAND())</f>
        <v/>
      </c>
      <c r="IG14" s="19">
        <f>SQRT(Parameters!$B$5)*Factors!IG4+SQRT(Parameters!$B$6)*Factors!IG8+SQRT(Parameters!$B$7)*Factors!IG10+SQRT(Parameters!$B$9)*NORM.S.INV(RAND())</f>
        <v/>
      </c>
      <c r="IH14" s="19">
        <f>SQRT(Parameters!$B$5)*Factors!IH4+SQRT(Parameters!$B$6)*Factors!IH8+SQRT(Parameters!$B$7)*Factors!IH10+SQRT(Parameters!$B$9)*NORM.S.INV(RAND())</f>
        <v/>
      </c>
      <c r="II14" s="19">
        <f>SQRT(Parameters!$B$5)*Factors!II4+SQRT(Parameters!$B$6)*Factors!II8+SQRT(Parameters!$B$7)*Factors!II10+SQRT(Parameters!$B$9)*NORM.S.INV(RAND())</f>
        <v/>
      </c>
      <c r="IJ14" s="19">
        <f>SQRT(Parameters!$B$5)*Factors!IJ4+SQRT(Parameters!$B$6)*Factors!IJ8+SQRT(Parameters!$B$7)*Factors!IJ10+SQRT(Parameters!$B$9)*NORM.S.INV(RAND())</f>
        <v/>
      </c>
      <c r="IK14" s="19">
        <f>SQRT(Parameters!$B$5)*Factors!IK4+SQRT(Parameters!$B$6)*Factors!IK8+SQRT(Parameters!$B$7)*Factors!IK10+SQRT(Parameters!$B$9)*NORM.S.INV(RAND())</f>
        <v/>
      </c>
      <c r="IL14" s="19">
        <f>SQRT(Parameters!$B$5)*Factors!IL4+SQRT(Parameters!$B$6)*Factors!IL8+SQRT(Parameters!$B$7)*Factors!IL10+SQRT(Parameters!$B$9)*NORM.S.INV(RAND())</f>
        <v/>
      </c>
      <c r="IM14" s="19">
        <f>SQRT(Parameters!$B$5)*Factors!IM4+SQRT(Parameters!$B$6)*Factors!IM8+SQRT(Parameters!$B$7)*Factors!IM10+SQRT(Parameters!$B$9)*NORM.S.INV(RAND())</f>
        <v/>
      </c>
      <c r="IN14" s="19">
        <f>SQRT(Parameters!$B$5)*Factors!IN4+SQRT(Parameters!$B$6)*Factors!IN8+SQRT(Parameters!$B$7)*Factors!IN10+SQRT(Parameters!$B$9)*NORM.S.INV(RAND())</f>
        <v/>
      </c>
      <c r="IO14" s="19">
        <f>SQRT(Parameters!$B$5)*Factors!IO4+SQRT(Parameters!$B$6)*Factors!IO8+SQRT(Parameters!$B$7)*Factors!IO10+SQRT(Parameters!$B$9)*NORM.S.INV(RAND())</f>
        <v/>
      </c>
      <c r="IP14" s="19">
        <f>SQRT(Parameters!$B$5)*Factors!IP4+SQRT(Parameters!$B$6)*Factors!IP8+SQRT(Parameters!$B$7)*Factors!IP10+SQRT(Parameters!$B$9)*NORM.S.INV(RAND())</f>
        <v/>
      </c>
      <c r="IQ14" s="19">
        <f>SQRT(Parameters!$B$5)*Factors!IQ4+SQRT(Parameters!$B$6)*Factors!IQ8+SQRT(Parameters!$B$7)*Factors!IQ10+SQRT(Parameters!$B$9)*NORM.S.INV(RAND())</f>
        <v/>
      </c>
      <c r="IR14" s="19">
        <f>SQRT(Parameters!$B$5)*Factors!IR4+SQRT(Parameters!$B$6)*Factors!IR8+SQRT(Parameters!$B$7)*Factors!IR10+SQRT(Parameters!$B$9)*NORM.S.INV(RAND())</f>
        <v/>
      </c>
      <c r="IS14" s="19">
        <f>SQRT(Parameters!$B$5)*Factors!IS4+SQRT(Parameters!$B$6)*Factors!IS8+SQRT(Parameters!$B$7)*Factors!IS10+SQRT(Parameters!$B$9)*NORM.S.INV(RAND())</f>
        <v/>
      </c>
      <c r="IT14" s="19">
        <f>SQRT(Parameters!$B$5)*Factors!IT4+SQRT(Parameters!$B$6)*Factors!IT8+SQRT(Parameters!$B$7)*Factors!IT10+SQRT(Parameters!$B$9)*NORM.S.INV(RAND())</f>
        <v/>
      </c>
      <c r="IU14" s="19">
        <f>SQRT(Parameters!$B$5)*Factors!IU4+SQRT(Parameters!$B$6)*Factors!IU8+SQRT(Parameters!$B$7)*Factors!IU10+SQRT(Parameters!$B$9)*NORM.S.INV(RAND())</f>
        <v/>
      </c>
      <c r="IV14" s="19">
        <f>SQRT(Parameters!$B$5)*Factors!IV4+SQRT(Parameters!$B$6)*Factors!IV8+SQRT(Parameters!$B$7)*Factors!IV10+SQRT(Parameters!$B$9)*NORM.S.INV(RAND())</f>
        <v/>
      </c>
      <c r="IW14" s="19">
        <f>SQRT(Parameters!$B$5)*Factors!IW4+SQRT(Parameters!$B$6)*Factors!IW8+SQRT(Parameters!$B$7)*Factors!IW10+SQRT(Parameters!$B$9)*NORM.S.INV(RAND())</f>
        <v/>
      </c>
      <c r="IX14" s="19">
        <f>SQRT(Parameters!$B$5)*Factors!IX4+SQRT(Parameters!$B$6)*Factors!IX8+SQRT(Parameters!$B$7)*Factors!IX10+SQRT(Parameters!$B$9)*NORM.S.INV(RAND())</f>
        <v/>
      </c>
      <c r="IY14" s="19">
        <f>SQRT(Parameters!$B$5)*Factors!IY4+SQRT(Parameters!$B$6)*Factors!IY8+SQRT(Parameters!$B$7)*Factors!IY10+SQRT(Parameters!$B$9)*NORM.S.INV(RAND())</f>
        <v/>
      </c>
      <c r="IZ14" s="19">
        <f>SQRT(Parameters!$B$5)*Factors!IZ4+SQRT(Parameters!$B$6)*Factors!IZ8+SQRT(Parameters!$B$7)*Factors!IZ10+SQRT(Parameters!$B$9)*NORM.S.INV(RAND())</f>
        <v/>
      </c>
      <c r="JA14" s="19">
        <f>SQRT(Parameters!$B$5)*Factors!JA4+SQRT(Parameters!$B$6)*Factors!JA8+SQRT(Parameters!$B$7)*Factors!JA10+SQRT(Parameters!$B$9)*NORM.S.INV(RAND())</f>
        <v/>
      </c>
      <c r="JB14" s="19">
        <f>SQRT(Parameters!$B$5)*Factors!JB4+SQRT(Parameters!$B$6)*Factors!JB8+SQRT(Parameters!$B$7)*Factors!JB10+SQRT(Parameters!$B$9)*NORM.S.INV(RAND())</f>
        <v/>
      </c>
      <c r="JC14" s="19">
        <f>SQRT(Parameters!$B$5)*Factors!JC4+SQRT(Parameters!$B$6)*Factors!JC8+SQRT(Parameters!$B$7)*Factors!JC10+SQRT(Parameters!$B$9)*NORM.S.INV(RAND())</f>
        <v/>
      </c>
      <c r="JD14" s="19">
        <f>SQRT(Parameters!$B$5)*Factors!JD4+SQRT(Parameters!$B$6)*Factors!JD8+SQRT(Parameters!$B$7)*Factors!JD10+SQRT(Parameters!$B$9)*NORM.S.INV(RAND())</f>
        <v/>
      </c>
      <c r="JE14" s="19">
        <f>SQRT(Parameters!$B$5)*Factors!JE4+SQRT(Parameters!$B$6)*Factors!JE8+SQRT(Parameters!$B$7)*Factors!JE10+SQRT(Parameters!$B$9)*NORM.S.INV(RAND())</f>
        <v/>
      </c>
      <c r="JF14" s="19">
        <f>SQRT(Parameters!$B$5)*Factors!JF4+SQRT(Parameters!$B$6)*Factors!JF8+SQRT(Parameters!$B$7)*Factors!JF10+SQRT(Parameters!$B$9)*NORM.S.INV(RAND())</f>
        <v/>
      </c>
      <c r="JG14" s="19">
        <f>SQRT(Parameters!$B$5)*Factors!JG4+SQRT(Parameters!$B$6)*Factors!JG8+SQRT(Parameters!$B$7)*Factors!JG10+SQRT(Parameters!$B$9)*NORM.S.INV(RAND())</f>
        <v/>
      </c>
      <c r="JH14" s="19">
        <f>SQRT(Parameters!$B$5)*Factors!JH4+SQRT(Parameters!$B$6)*Factors!JH8+SQRT(Parameters!$B$7)*Factors!JH10+SQRT(Parameters!$B$9)*NORM.S.INV(RAND())</f>
        <v/>
      </c>
      <c r="JI14" s="19">
        <f>SQRT(Parameters!$B$5)*Factors!JI4+SQRT(Parameters!$B$6)*Factors!JI8+SQRT(Parameters!$B$7)*Factors!JI10+SQRT(Parameters!$B$9)*NORM.S.INV(RAND())</f>
        <v/>
      </c>
      <c r="JJ14" s="19">
        <f>SQRT(Parameters!$B$5)*Factors!JJ4+SQRT(Parameters!$B$6)*Factors!JJ8+SQRT(Parameters!$B$7)*Factors!JJ10+SQRT(Parameters!$B$9)*NORM.S.INV(RAND())</f>
        <v/>
      </c>
      <c r="JK14" s="19">
        <f>SQRT(Parameters!$B$5)*Factors!JK4+SQRT(Parameters!$B$6)*Factors!JK8+SQRT(Parameters!$B$7)*Factors!JK10+SQRT(Parameters!$B$9)*NORM.S.INV(RAND())</f>
        <v/>
      </c>
      <c r="JL14" s="19">
        <f>SQRT(Parameters!$B$5)*Factors!JL4+SQRT(Parameters!$B$6)*Factors!JL8+SQRT(Parameters!$B$7)*Factors!JL10+SQRT(Parameters!$B$9)*NORM.S.INV(RAND())</f>
        <v/>
      </c>
      <c r="JM14" s="19">
        <f>SQRT(Parameters!$B$5)*Factors!JM4+SQRT(Parameters!$B$6)*Factors!JM8+SQRT(Parameters!$B$7)*Factors!JM10+SQRT(Parameters!$B$9)*NORM.S.INV(RAND())</f>
        <v/>
      </c>
      <c r="JN14" s="19">
        <f>SQRT(Parameters!$B$5)*Factors!JN4+SQRT(Parameters!$B$6)*Factors!JN8+SQRT(Parameters!$B$7)*Factors!JN10+SQRT(Parameters!$B$9)*NORM.S.INV(RAND())</f>
        <v/>
      </c>
      <c r="JO14" s="19">
        <f>SQRT(Parameters!$B$5)*Factors!JO4+SQRT(Parameters!$B$6)*Factors!JO8+SQRT(Parameters!$B$7)*Factors!JO10+SQRT(Parameters!$B$9)*NORM.S.INV(RAND())</f>
        <v/>
      </c>
      <c r="JP14" s="19">
        <f>SQRT(Parameters!$B$5)*Factors!JP4+SQRT(Parameters!$B$6)*Factors!JP8+SQRT(Parameters!$B$7)*Factors!JP10+SQRT(Parameters!$B$9)*NORM.S.INV(RAND())</f>
        <v/>
      </c>
      <c r="JQ14" s="19">
        <f>SQRT(Parameters!$B$5)*Factors!JQ4+SQRT(Parameters!$B$6)*Factors!JQ8+SQRT(Parameters!$B$7)*Factors!JQ10+SQRT(Parameters!$B$9)*NORM.S.INV(RAND())</f>
        <v/>
      </c>
      <c r="JR14" s="19">
        <f>SQRT(Parameters!$B$5)*Factors!JR4+SQRT(Parameters!$B$6)*Factors!JR8+SQRT(Parameters!$B$7)*Factors!JR10+SQRT(Parameters!$B$9)*NORM.S.INV(RAND())</f>
        <v/>
      </c>
      <c r="JS14" s="19">
        <f>SQRT(Parameters!$B$5)*Factors!JS4+SQRT(Parameters!$B$6)*Factors!JS8+SQRT(Parameters!$B$7)*Factors!JS10+SQRT(Parameters!$B$9)*NORM.S.INV(RAND())</f>
        <v/>
      </c>
      <c r="JT14" s="19">
        <f>SQRT(Parameters!$B$5)*Factors!JT4+SQRT(Parameters!$B$6)*Factors!JT8+SQRT(Parameters!$B$7)*Factors!JT10+SQRT(Parameters!$B$9)*NORM.S.INV(RAND())</f>
        <v/>
      </c>
      <c r="JU14" s="19">
        <f>SQRT(Parameters!$B$5)*Factors!JU4+SQRT(Parameters!$B$6)*Factors!JU8+SQRT(Parameters!$B$7)*Factors!JU10+SQRT(Parameters!$B$9)*NORM.S.INV(RAND())</f>
        <v/>
      </c>
      <c r="JV14" s="19">
        <f>SQRT(Parameters!$B$5)*Factors!JV4+SQRT(Parameters!$B$6)*Factors!JV8+SQRT(Parameters!$B$7)*Factors!JV10+SQRT(Parameters!$B$9)*NORM.S.INV(RAND())</f>
        <v/>
      </c>
      <c r="JW14" s="19">
        <f>SQRT(Parameters!$B$5)*Factors!JW4+SQRT(Parameters!$B$6)*Factors!JW8+SQRT(Parameters!$B$7)*Factors!JW10+SQRT(Parameters!$B$9)*NORM.S.INV(RAND())</f>
        <v/>
      </c>
      <c r="JX14" s="19">
        <f>SQRT(Parameters!$B$5)*Factors!JX4+SQRT(Parameters!$B$6)*Factors!JX8+SQRT(Parameters!$B$7)*Factors!JX10+SQRT(Parameters!$B$9)*NORM.S.INV(RAND())</f>
        <v/>
      </c>
      <c r="JY14" s="19">
        <f>SQRT(Parameters!$B$5)*Factors!JY4+SQRT(Parameters!$B$6)*Factors!JY8+SQRT(Parameters!$B$7)*Factors!JY10+SQRT(Parameters!$B$9)*NORM.S.INV(RAND())</f>
        <v/>
      </c>
      <c r="JZ14" s="19">
        <f>SQRT(Parameters!$B$5)*Factors!JZ4+SQRT(Parameters!$B$6)*Factors!JZ8+SQRT(Parameters!$B$7)*Factors!JZ10+SQRT(Parameters!$B$9)*NORM.S.INV(RAND())</f>
        <v/>
      </c>
      <c r="KA14" s="19">
        <f>SQRT(Parameters!$B$5)*Factors!KA4+SQRT(Parameters!$B$6)*Factors!KA8+SQRT(Parameters!$B$7)*Factors!KA10+SQRT(Parameters!$B$9)*NORM.S.INV(RAND())</f>
        <v/>
      </c>
      <c r="KB14" s="19">
        <f>SQRT(Parameters!$B$5)*Factors!KB4+SQRT(Parameters!$B$6)*Factors!KB8+SQRT(Parameters!$B$7)*Factors!KB10+SQRT(Parameters!$B$9)*NORM.S.INV(RAND())</f>
        <v/>
      </c>
      <c r="KC14" s="19">
        <f>SQRT(Parameters!$B$5)*Factors!KC4+SQRT(Parameters!$B$6)*Factors!KC8+SQRT(Parameters!$B$7)*Factors!KC10+SQRT(Parameters!$B$9)*NORM.S.INV(RAND())</f>
        <v/>
      </c>
      <c r="KD14" s="19">
        <f>SQRT(Parameters!$B$5)*Factors!KD4+SQRT(Parameters!$B$6)*Factors!KD8+SQRT(Parameters!$B$7)*Factors!KD10+SQRT(Parameters!$B$9)*NORM.S.INV(RAND())</f>
        <v/>
      </c>
      <c r="KE14" s="19">
        <f>SQRT(Parameters!$B$5)*Factors!KE4+SQRT(Parameters!$B$6)*Factors!KE8+SQRT(Parameters!$B$7)*Factors!KE10+SQRT(Parameters!$B$9)*NORM.S.INV(RAND())</f>
        <v/>
      </c>
      <c r="KF14" s="19">
        <f>SQRT(Parameters!$B$5)*Factors!KF4+SQRT(Parameters!$B$6)*Factors!KF8+SQRT(Parameters!$B$7)*Factors!KF10+SQRT(Parameters!$B$9)*NORM.S.INV(RAND())</f>
        <v/>
      </c>
      <c r="KG14" s="19">
        <f>SQRT(Parameters!$B$5)*Factors!KG4+SQRT(Parameters!$B$6)*Factors!KG8+SQRT(Parameters!$B$7)*Factors!KG10+SQRT(Parameters!$B$9)*NORM.S.INV(RAND())</f>
        <v/>
      </c>
      <c r="KH14" s="19">
        <f>SQRT(Parameters!$B$5)*Factors!KH4+SQRT(Parameters!$B$6)*Factors!KH8+SQRT(Parameters!$B$7)*Factors!KH10+SQRT(Parameters!$B$9)*NORM.S.INV(RAND())</f>
        <v/>
      </c>
      <c r="KI14" s="19">
        <f>SQRT(Parameters!$B$5)*Factors!KI4+SQRT(Parameters!$B$6)*Factors!KI8+SQRT(Parameters!$B$7)*Factors!KI10+SQRT(Parameters!$B$9)*NORM.S.INV(RAND())</f>
        <v/>
      </c>
      <c r="KJ14" s="19">
        <f>SQRT(Parameters!$B$5)*Factors!KJ4+SQRT(Parameters!$B$6)*Factors!KJ8+SQRT(Parameters!$B$7)*Factors!KJ10+SQRT(Parameters!$B$9)*NORM.S.INV(RAND())</f>
        <v/>
      </c>
      <c r="KK14" s="19">
        <f>SQRT(Parameters!$B$5)*Factors!KK4+SQRT(Parameters!$B$6)*Factors!KK8+SQRT(Parameters!$B$7)*Factors!KK10+SQRT(Parameters!$B$9)*NORM.S.INV(RAND())</f>
        <v/>
      </c>
      <c r="KL14" s="19">
        <f>SQRT(Parameters!$B$5)*Factors!KL4+SQRT(Parameters!$B$6)*Factors!KL8+SQRT(Parameters!$B$7)*Factors!KL10+SQRT(Parameters!$B$9)*NORM.S.INV(RAND())</f>
        <v/>
      </c>
      <c r="KM14" s="19">
        <f>SQRT(Parameters!$B$5)*Factors!KM4+SQRT(Parameters!$B$6)*Factors!KM8+SQRT(Parameters!$B$7)*Factors!KM10+SQRT(Parameters!$B$9)*NORM.S.INV(RAND())</f>
        <v/>
      </c>
      <c r="KN14" s="19">
        <f>SQRT(Parameters!$B$5)*Factors!KN4+SQRT(Parameters!$B$6)*Factors!KN8+SQRT(Parameters!$B$7)*Factors!KN10+SQRT(Parameters!$B$9)*NORM.S.INV(RAND())</f>
        <v/>
      </c>
      <c r="KO14" s="19">
        <f>SQRT(Parameters!$B$5)*Factors!KO4+SQRT(Parameters!$B$6)*Factors!KO8+SQRT(Parameters!$B$7)*Factors!KO10+SQRT(Parameters!$B$9)*NORM.S.INV(RAND())</f>
        <v/>
      </c>
      <c r="KP14" s="19">
        <f>SQRT(Parameters!$B$5)*Factors!KP4+SQRT(Parameters!$B$6)*Factors!KP8+SQRT(Parameters!$B$7)*Factors!KP10+SQRT(Parameters!$B$9)*NORM.S.INV(RAND())</f>
        <v/>
      </c>
      <c r="KQ14" s="19">
        <f>SQRT(Parameters!$B$5)*Factors!KQ4+SQRT(Parameters!$B$6)*Factors!KQ8+SQRT(Parameters!$B$7)*Factors!KQ10+SQRT(Parameters!$B$9)*NORM.S.INV(RAND())</f>
        <v/>
      </c>
      <c r="KR14" s="19">
        <f>SQRT(Parameters!$B$5)*Factors!KR4+SQRT(Parameters!$B$6)*Factors!KR8+SQRT(Parameters!$B$7)*Factors!KR10+SQRT(Parameters!$B$9)*NORM.S.INV(RAND())</f>
        <v/>
      </c>
      <c r="KS14" s="19">
        <f>SQRT(Parameters!$B$5)*Factors!KS4+SQRT(Parameters!$B$6)*Factors!KS8+SQRT(Parameters!$B$7)*Factors!KS10+SQRT(Parameters!$B$9)*NORM.S.INV(RAND())</f>
        <v/>
      </c>
      <c r="KT14" s="19">
        <f>SQRT(Parameters!$B$5)*Factors!KT4+SQRT(Parameters!$B$6)*Factors!KT8+SQRT(Parameters!$B$7)*Factors!KT10+SQRT(Parameters!$B$9)*NORM.S.INV(RAND())</f>
        <v/>
      </c>
      <c r="KU14" s="19">
        <f>SQRT(Parameters!$B$5)*Factors!KU4+SQRT(Parameters!$B$6)*Factors!KU8+SQRT(Parameters!$B$7)*Factors!KU10+SQRT(Parameters!$B$9)*NORM.S.INV(RAND())</f>
        <v/>
      </c>
      <c r="KV14" s="19">
        <f>SQRT(Parameters!$B$5)*Factors!KV4+SQRT(Parameters!$B$6)*Factors!KV8+SQRT(Parameters!$B$7)*Factors!KV10+SQRT(Parameters!$B$9)*NORM.S.INV(RAND())</f>
        <v/>
      </c>
      <c r="KW14" s="19">
        <f>SQRT(Parameters!$B$5)*Factors!KW4+SQRT(Parameters!$B$6)*Factors!KW8+SQRT(Parameters!$B$7)*Factors!KW10+SQRT(Parameters!$B$9)*NORM.S.INV(RAND())</f>
        <v/>
      </c>
      <c r="KX14" s="19">
        <f>SQRT(Parameters!$B$5)*Factors!KX4+SQRT(Parameters!$B$6)*Factors!KX8+SQRT(Parameters!$B$7)*Factors!KX10+SQRT(Parameters!$B$9)*NORM.S.INV(RAND())</f>
        <v/>
      </c>
      <c r="KY14" s="19">
        <f>SQRT(Parameters!$B$5)*Factors!KY4+SQRT(Parameters!$B$6)*Factors!KY8+SQRT(Parameters!$B$7)*Factors!KY10+SQRT(Parameters!$B$9)*NORM.S.INV(RAND())</f>
        <v/>
      </c>
      <c r="KZ14" s="19">
        <f>SQRT(Parameters!$B$5)*Factors!KZ4+SQRT(Parameters!$B$6)*Factors!KZ8+SQRT(Parameters!$B$7)*Factors!KZ10+SQRT(Parameters!$B$9)*NORM.S.INV(RAND())</f>
        <v/>
      </c>
      <c r="LA14" s="19">
        <f>SQRT(Parameters!$B$5)*Factors!LA4+SQRT(Parameters!$B$6)*Factors!LA8+SQRT(Parameters!$B$7)*Factors!LA10+SQRT(Parameters!$B$9)*NORM.S.INV(RAND())</f>
        <v/>
      </c>
      <c r="LB14" s="19">
        <f>SQRT(Parameters!$B$5)*Factors!LB4+SQRT(Parameters!$B$6)*Factors!LB8+SQRT(Parameters!$B$7)*Factors!LB10+SQRT(Parameters!$B$9)*NORM.S.INV(RAND())</f>
        <v/>
      </c>
      <c r="LC14" s="19">
        <f>SQRT(Parameters!$B$5)*Factors!LC4+SQRT(Parameters!$B$6)*Factors!LC8+SQRT(Parameters!$B$7)*Factors!LC10+SQRT(Parameters!$B$9)*NORM.S.INV(RAND())</f>
        <v/>
      </c>
      <c r="LD14" s="19">
        <f>SQRT(Parameters!$B$5)*Factors!LD4+SQRT(Parameters!$B$6)*Factors!LD8+SQRT(Parameters!$B$7)*Factors!LD10+SQRT(Parameters!$B$9)*NORM.S.INV(RAND())</f>
        <v/>
      </c>
      <c r="LE14" s="19">
        <f>SQRT(Parameters!$B$5)*Factors!LE4+SQRT(Parameters!$B$6)*Factors!LE8+SQRT(Parameters!$B$7)*Factors!LE10+SQRT(Parameters!$B$9)*NORM.S.INV(RAND())</f>
        <v/>
      </c>
      <c r="LF14" s="19">
        <f>SQRT(Parameters!$B$5)*Factors!LF4+SQRT(Parameters!$B$6)*Factors!LF8+SQRT(Parameters!$B$7)*Factors!LF10+SQRT(Parameters!$B$9)*NORM.S.INV(RAND())</f>
        <v/>
      </c>
      <c r="LG14" s="19">
        <f>SQRT(Parameters!$B$5)*Factors!LG4+SQRT(Parameters!$B$6)*Factors!LG8+SQRT(Parameters!$B$7)*Factors!LG10+SQRT(Parameters!$B$9)*NORM.S.INV(RAND())</f>
        <v/>
      </c>
      <c r="LH14" s="19">
        <f>SQRT(Parameters!$B$5)*Factors!LH4+SQRT(Parameters!$B$6)*Factors!LH8+SQRT(Parameters!$B$7)*Factors!LH10+SQRT(Parameters!$B$9)*NORM.S.INV(RAND())</f>
        <v/>
      </c>
      <c r="LI14" s="19">
        <f>SQRT(Parameters!$B$5)*Factors!LI4+SQRT(Parameters!$B$6)*Factors!LI8+SQRT(Parameters!$B$7)*Factors!LI10+SQRT(Parameters!$B$9)*NORM.S.INV(RAND())</f>
        <v/>
      </c>
      <c r="LJ14" s="19">
        <f>SQRT(Parameters!$B$5)*Factors!LJ4+SQRT(Parameters!$B$6)*Factors!LJ8+SQRT(Parameters!$B$7)*Factors!LJ10+SQRT(Parameters!$B$9)*NORM.S.INV(RAND())</f>
        <v/>
      </c>
      <c r="LK14" s="19">
        <f>SQRT(Parameters!$B$5)*Factors!LK4+SQRT(Parameters!$B$6)*Factors!LK8+SQRT(Parameters!$B$7)*Factors!LK10+SQRT(Parameters!$B$9)*NORM.S.INV(RAND())</f>
        <v/>
      </c>
      <c r="LL14" s="19">
        <f>SQRT(Parameters!$B$5)*Factors!LL4+SQRT(Parameters!$B$6)*Factors!LL8+SQRT(Parameters!$B$7)*Factors!LL10+SQRT(Parameters!$B$9)*NORM.S.INV(RAND())</f>
        <v/>
      </c>
      <c r="LM14" s="19">
        <f>SQRT(Parameters!$B$5)*Factors!LM4+SQRT(Parameters!$B$6)*Factors!LM8+SQRT(Parameters!$B$7)*Factors!LM10+SQRT(Parameters!$B$9)*NORM.S.INV(RAND())</f>
        <v/>
      </c>
      <c r="LN14" s="19">
        <f>SQRT(Parameters!$B$5)*Factors!LN4+SQRT(Parameters!$B$6)*Factors!LN8+SQRT(Parameters!$B$7)*Factors!LN10+SQRT(Parameters!$B$9)*NORM.S.INV(RAND())</f>
        <v/>
      </c>
      <c r="LO14" s="19">
        <f>SQRT(Parameters!$B$5)*Factors!LO4+SQRT(Parameters!$B$6)*Factors!LO8+SQRT(Parameters!$B$7)*Factors!LO10+SQRT(Parameters!$B$9)*NORM.S.INV(RAND())</f>
        <v/>
      </c>
      <c r="LP14" s="19">
        <f>SQRT(Parameters!$B$5)*Factors!LP4+SQRT(Parameters!$B$6)*Factors!LP8+SQRT(Parameters!$B$7)*Factors!LP10+SQRT(Parameters!$B$9)*NORM.S.INV(RAND())</f>
        <v/>
      </c>
      <c r="LQ14" s="19">
        <f>SQRT(Parameters!$B$5)*Factors!LQ4+SQRT(Parameters!$B$6)*Factors!LQ8+SQRT(Parameters!$B$7)*Factors!LQ10+SQRT(Parameters!$B$9)*NORM.S.INV(RAND())</f>
        <v/>
      </c>
      <c r="LR14" s="19">
        <f>SQRT(Parameters!$B$5)*Factors!LR4+SQRT(Parameters!$B$6)*Factors!LR8+SQRT(Parameters!$B$7)*Factors!LR10+SQRT(Parameters!$B$9)*NORM.S.INV(RAND())</f>
        <v/>
      </c>
      <c r="LS14" s="19">
        <f>SQRT(Parameters!$B$5)*Factors!LS4+SQRT(Parameters!$B$6)*Factors!LS8+SQRT(Parameters!$B$7)*Factors!LS10+SQRT(Parameters!$B$9)*NORM.S.INV(RAND())</f>
        <v/>
      </c>
      <c r="LT14" s="19">
        <f>SQRT(Parameters!$B$5)*Factors!LT4+SQRT(Parameters!$B$6)*Factors!LT8+SQRT(Parameters!$B$7)*Factors!LT10+SQRT(Parameters!$B$9)*NORM.S.INV(RAND())</f>
        <v/>
      </c>
      <c r="LU14" s="19">
        <f>SQRT(Parameters!$B$5)*Factors!LU4+SQRT(Parameters!$B$6)*Factors!LU8+SQRT(Parameters!$B$7)*Factors!LU10+SQRT(Parameters!$B$9)*NORM.S.INV(RAND())</f>
        <v/>
      </c>
      <c r="LV14" s="19">
        <f>SQRT(Parameters!$B$5)*Factors!LV4+SQRT(Parameters!$B$6)*Factors!LV8+SQRT(Parameters!$B$7)*Factors!LV10+SQRT(Parameters!$B$9)*NORM.S.INV(RAND())</f>
        <v/>
      </c>
      <c r="LW14" s="19">
        <f>SQRT(Parameters!$B$5)*Factors!LW4+SQRT(Parameters!$B$6)*Factors!LW8+SQRT(Parameters!$B$7)*Factors!LW10+SQRT(Parameters!$B$9)*NORM.S.INV(RAND())</f>
        <v/>
      </c>
      <c r="LX14" s="19">
        <f>SQRT(Parameters!$B$5)*Factors!LX4+SQRT(Parameters!$B$6)*Factors!LX8+SQRT(Parameters!$B$7)*Factors!LX10+SQRT(Parameters!$B$9)*NORM.S.INV(RAND())</f>
        <v/>
      </c>
      <c r="LY14" s="19">
        <f>SQRT(Parameters!$B$5)*Factors!LY4+SQRT(Parameters!$B$6)*Factors!LY8+SQRT(Parameters!$B$7)*Factors!LY10+SQRT(Parameters!$B$9)*NORM.S.INV(RAND())</f>
        <v/>
      </c>
      <c r="LZ14" s="19">
        <f>SQRT(Parameters!$B$5)*Factors!LZ4+SQRT(Parameters!$B$6)*Factors!LZ8+SQRT(Parameters!$B$7)*Factors!LZ10+SQRT(Parameters!$B$9)*NORM.S.INV(RAND())</f>
        <v/>
      </c>
      <c r="MA14" s="19">
        <f>SQRT(Parameters!$B$5)*Factors!MA4+SQRT(Parameters!$B$6)*Factors!MA8+SQRT(Parameters!$B$7)*Factors!MA10+SQRT(Parameters!$B$9)*NORM.S.INV(RAND())</f>
        <v/>
      </c>
      <c r="MB14" s="19">
        <f>SQRT(Parameters!$B$5)*Factors!MB4+SQRT(Parameters!$B$6)*Factors!MB8+SQRT(Parameters!$B$7)*Factors!MB10+SQRT(Parameters!$B$9)*NORM.S.INV(RAND())</f>
        <v/>
      </c>
      <c r="MC14" s="19">
        <f>SQRT(Parameters!$B$5)*Factors!MC4+SQRT(Parameters!$B$6)*Factors!MC8+SQRT(Parameters!$B$7)*Factors!MC10+SQRT(Parameters!$B$9)*NORM.S.INV(RAND())</f>
        <v/>
      </c>
      <c r="MD14" s="19">
        <f>SQRT(Parameters!$B$5)*Factors!MD4+SQRT(Parameters!$B$6)*Factors!MD8+SQRT(Parameters!$B$7)*Factors!MD10+SQRT(Parameters!$B$9)*NORM.S.INV(RAND())</f>
        <v/>
      </c>
      <c r="ME14" s="19">
        <f>SQRT(Parameters!$B$5)*Factors!ME4+SQRT(Parameters!$B$6)*Factors!ME8+SQRT(Parameters!$B$7)*Factors!ME10+SQRT(Parameters!$B$9)*NORM.S.INV(RAND())</f>
        <v/>
      </c>
      <c r="MF14" s="19">
        <f>SQRT(Parameters!$B$5)*Factors!MF4+SQRT(Parameters!$B$6)*Factors!MF8+SQRT(Parameters!$B$7)*Factors!MF10+SQRT(Parameters!$B$9)*NORM.S.INV(RAND())</f>
        <v/>
      </c>
      <c r="MG14" s="19">
        <f>SQRT(Parameters!$B$5)*Factors!MG4+SQRT(Parameters!$B$6)*Factors!MG8+SQRT(Parameters!$B$7)*Factors!MG10+SQRT(Parameters!$B$9)*NORM.S.INV(RAND())</f>
        <v/>
      </c>
      <c r="MH14" s="19">
        <f>SQRT(Parameters!$B$5)*Factors!MH4+SQRT(Parameters!$B$6)*Factors!MH8+SQRT(Parameters!$B$7)*Factors!MH10+SQRT(Parameters!$B$9)*NORM.S.INV(RAND())</f>
        <v/>
      </c>
      <c r="MI14" s="19">
        <f>SQRT(Parameters!$B$5)*Factors!MI4+SQRT(Parameters!$B$6)*Factors!MI8+SQRT(Parameters!$B$7)*Factors!MI10+SQRT(Parameters!$B$9)*NORM.S.INV(RAND())</f>
        <v/>
      </c>
      <c r="MJ14" s="19">
        <f>SQRT(Parameters!$B$5)*Factors!MJ4+SQRT(Parameters!$B$6)*Factors!MJ8+SQRT(Parameters!$B$7)*Factors!MJ10+SQRT(Parameters!$B$9)*NORM.S.INV(RAND())</f>
        <v/>
      </c>
      <c r="MK14" s="19">
        <f>SQRT(Parameters!$B$5)*Factors!MK4+SQRT(Parameters!$B$6)*Factors!MK8+SQRT(Parameters!$B$7)*Factors!MK10+SQRT(Parameters!$B$9)*NORM.S.INV(RAND())</f>
        <v/>
      </c>
      <c r="ML14" s="19">
        <f>SQRT(Parameters!$B$5)*Factors!ML4+SQRT(Parameters!$B$6)*Factors!ML8+SQRT(Parameters!$B$7)*Factors!ML10+SQRT(Parameters!$B$9)*NORM.S.INV(RAND())</f>
        <v/>
      </c>
      <c r="MM14" s="19">
        <f>SQRT(Parameters!$B$5)*Factors!MM4+SQRT(Parameters!$B$6)*Factors!MM8+SQRT(Parameters!$B$7)*Factors!MM10+SQRT(Parameters!$B$9)*NORM.S.INV(RAND())</f>
        <v/>
      </c>
      <c r="MN14" s="19">
        <f>SQRT(Parameters!$B$5)*Factors!MN4+SQRT(Parameters!$B$6)*Factors!MN8+SQRT(Parameters!$B$7)*Factors!MN10+SQRT(Parameters!$B$9)*NORM.S.INV(RAND())</f>
        <v/>
      </c>
      <c r="MO14" s="19">
        <f>SQRT(Parameters!$B$5)*Factors!MO4+SQRT(Parameters!$B$6)*Factors!MO8+SQRT(Parameters!$B$7)*Factors!MO10+SQRT(Parameters!$B$9)*NORM.S.INV(RAND())</f>
        <v/>
      </c>
      <c r="MP14" s="19">
        <f>SQRT(Parameters!$B$5)*Factors!MP4+SQRT(Parameters!$B$6)*Factors!MP8+SQRT(Parameters!$B$7)*Factors!MP10+SQRT(Parameters!$B$9)*NORM.S.INV(RAND())</f>
        <v/>
      </c>
      <c r="MQ14" s="19">
        <f>SQRT(Parameters!$B$5)*Factors!MQ4+SQRT(Parameters!$B$6)*Factors!MQ8+SQRT(Parameters!$B$7)*Factors!MQ10+SQRT(Parameters!$B$9)*NORM.S.INV(RAND())</f>
        <v/>
      </c>
      <c r="MR14" s="19">
        <f>SQRT(Parameters!$B$5)*Factors!MR4+SQRT(Parameters!$B$6)*Factors!MR8+SQRT(Parameters!$B$7)*Factors!MR10+SQRT(Parameters!$B$9)*NORM.S.INV(RAND())</f>
        <v/>
      </c>
      <c r="MS14" s="19">
        <f>SQRT(Parameters!$B$5)*Factors!MS4+SQRT(Parameters!$B$6)*Factors!MS8+SQRT(Parameters!$B$7)*Factors!MS10+SQRT(Parameters!$B$9)*NORM.S.INV(RAND())</f>
        <v/>
      </c>
      <c r="MT14" s="19">
        <f>SQRT(Parameters!$B$5)*Factors!MT4+SQRT(Parameters!$B$6)*Factors!MT8+SQRT(Parameters!$B$7)*Factors!MT10+SQRT(Parameters!$B$9)*NORM.S.INV(RAND())</f>
        <v/>
      </c>
      <c r="MU14" s="19">
        <f>SQRT(Parameters!$B$5)*Factors!MU4+SQRT(Parameters!$B$6)*Factors!MU8+SQRT(Parameters!$B$7)*Factors!MU10+SQRT(Parameters!$B$9)*NORM.S.INV(RAND())</f>
        <v/>
      </c>
      <c r="MV14" s="19">
        <f>SQRT(Parameters!$B$5)*Factors!MV4+SQRT(Parameters!$B$6)*Factors!MV8+SQRT(Parameters!$B$7)*Factors!MV10+SQRT(Parameters!$B$9)*NORM.S.INV(RAND())</f>
        <v/>
      </c>
      <c r="MW14" s="19">
        <f>SQRT(Parameters!$B$5)*Factors!MW4+SQRT(Parameters!$B$6)*Factors!MW8+SQRT(Parameters!$B$7)*Factors!MW10+SQRT(Parameters!$B$9)*NORM.S.INV(RAND())</f>
        <v/>
      </c>
      <c r="MX14" s="19">
        <f>SQRT(Parameters!$B$5)*Factors!MX4+SQRT(Parameters!$B$6)*Factors!MX8+SQRT(Parameters!$B$7)*Factors!MX10+SQRT(Parameters!$B$9)*NORM.S.INV(RAND())</f>
        <v/>
      </c>
      <c r="MY14" s="19">
        <f>SQRT(Parameters!$B$5)*Factors!MY4+SQRT(Parameters!$B$6)*Factors!MY8+SQRT(Parameters!$B$7)*Factors!MY10+SQRT(Parameters!$B$9)*NORM.S.INV(RAND())</f>
        <v/>
      </c>
      <c r="MZ14" s="19">
        <f>SQRT(Parameters!$B$5)*Factors!MZ4+SQRT(Parameters!$B$6)*Factors!MZ8+SQRT(Parameters!$B$7)*Factors!MZ10+SQRT(Parameters!$B$9)*NORM.S.INV(RAND())</f>
        <v/>
      </c>
      <c r="NA14" s="19">
        <f>SQRT(Parameters!$B$5)*Factors!NA4+SQRT(Parameters!$B$6)*Factors!NA8+SQRT(Parameters!$B$7)*Factors!NA10+SQRT(Parameters!$B$9)*NORM.S.INV(RAND())</f>
        <v/>
      </c>
      <c r="NB14" s="19">
        <f>SQRT(Parameters!$B$5)*Factors!NB4+SQRT(Parameters!$B$6)*Factors!NB8+SQRT(Parameters!$B$7)*Factors!NB10+SQRT(Parameters!$B$9)*NORM.S.INV(RAND())</f>
        <v/>
      </c>
      <c r="NC14" s="19">
        <f>SQRT(Parameters!$B$5)*Factors!NC4+SQRT(Parameters!$B$6)*Factors!NC8+SQRT(Parameters!$B$7)*Factors!NC10+SQRT(Parameters!$B$9)*NORM.S.INV(RAND())</f>
        <v/>
      </c>
      <c r="ND14" s="19">
        <f>SQRT(Parameters!$B$5)*Factors!ND4+SQRT(Parameters!$B$6)*Factors!ND8+SQRT(Parameters!$B$7)*Factors!ND10+SQRT(Parameters!$B$9)*NORM.S.INV(RAND())</f>
        <v/>
      </c>
      <c r="NE14" s="19">
        <f>SQRT(Parameters!$B$5)*Factors!NE4+SQRT(Parameters!$B$6)*Factors!NE8+SQRT(Parameters!$B$7)*Factors!NE10+SQRT(Parameters!$B$9)*NORM.S.INV(RAND())</f>
        <v/>
      </c>
      <c r="NF14" s="19">
        <f>SQRT(Parameters!$B$5)*Factors!NF4+SQRT(Parameters!$B$6)*Factors!NF8+SQRT(Parameters!$B$7)*Factors!NF10+SQRT(Parameters!$B$9)*NORM.S.INV(RAND())</f>
        <v/>
      </c>
      <c r="NG14" s="19">
        <f>SQRT(Parameters!$B$5)*Factors!NG4+SQRT(Parameters!$B$6)*Factors!NG8+SQRT(Parameters!$B$7)*Factors!NG10+SQRT(Parameters!$B$9)*NORM.S.INV(RAND())</f>
        <v/>
      </c>
      <c r="NH14" s="19">
        <f>SQRT(Parameters!$B$5)*Factors!NH4+SQRT(Parameters!$B$6)*Factors!NH8+SQRT(Parameters!$B$7)*Factors!NH10+SQRT(Parameters!$B$9)*NORM.S.INV(RAND())</f>
        <v/>
      </c>
      <c r="NI14" s="19">
        <f>SQRT(Parameters!$B$5)*Factors!NI4+SQRT(Parameters!$B$6)*Factors!NI8+SQRT(Parameters!$B$7)*Factors!NI10+SQRT(Parameters!$B$9)*NORM.S.INV(RAND())</f>
        <v/>
      </c>
      <c r="NJ14" s="19">
        <f>SQRT(Parameters!$B$5)*Factors!NJ4+SQRT(Parameters!$B$6)*Factors!NJ8+SQRT(Parameters!$B$7)*Factors!NJ10+SQRT(Parameters!$B$9)*NORM.S.INV(RAND())</f>
        <v/>
      </c>
      <c r="NK14" s="19">
        <f>SQRT(Parameters!$B$5)*Factors!NK4+SQRT(Parameters!$B$6)*Factors!NK8+SQRT(Parameters!$B$7)*Factors!NK10+SQRT(Parameters!$B$9)*NORM.S.INV(RAND())</f>
        <v/>
      </c>
      <c r="NL14" s="19">
        <f>SQRT(Parameters!$B$5)*Factors!NL4+SQRT(Parameters!$B$6)*Factors!NL8+SQRT(Parameters!$B$7)*Factors!NL10+SQRT(Parameters!$B$9)*NORM.S.INV(RAND())</f>
        <v/>
      </c>
      <c r="NM14" s="19">
        <f>SQRT(Parameters!$B$5)*Factors!NM4+SQRT(Parameters!$B$6)*Factors!NM8+SQRT(Parameters!$B$7)*Factors!NM10+SQRT(Parameters!$B$9)*NORM.S.INV(RAND())</f>
        <v/>
      </c>
      <c r="NN14" s="19">
        <f>SQRT(Parameters!$B$5)*Factors!NN4+SQRT(Parameters!$B$6)*Factors!NN8+SQRT(Parameters!$B$7)*Factors!NN10+SQRT(Parameters!$B$9)*NORM.S.INV(RAND())</f>
        <v/>
      </c>
      <c r="NO14" s="19">
        <f>SQRT(Parameters!$B$5)*Factors!NO4+SQRT(Parameters!$B$6)*Factors!NO8+SQRT(Parameters!$B$7)*Factors!NO10+SQRT(Parameters!$B$9)*NORM.S.INV(RAND())</f>
        <v/>
      </c>
      <c r="NP14" s="19">
        <f>SQRT(Parameters!$B$5)*Factors!NP4+SQRT(Parameters!$B$6)*Factors!NP8+SQRT(Parameters!$B$7)*Factors!NP10+SQRT(Parameters!$B$9)*NORM.S.INV(RAND())</f>
        <v/>
      </c>
      <c r="NQ14" s="19">
        <f>SQRT(Parameters!$B$5)*Factors!NQ4+SQRT(Parameters!$B$6)*Factors!NQ8+SQRT(Parameters!$B$7)*Factors!NQ10+SQRT(Parameters!$B$9)*NORM.S.INV(RAND())</f>
        <v/>
      </c>
      <c r="NR14" s="19">
        <f>SQRT(Parameters!$B$5)*Factors!NR4+SQRT(Parameters!$B$6)*Factors!NR8+SQRT(Parameters!$B$7)*Factors!NR10+SQRT(Parameters!$B$9)*NORM.S.INV(RAND())</f>
        <v/>
      </c>
      <c r="NS14" s="19">
        <f>SQRT(Parameters!$B$5)*Factors!NS4+SQRT(Parameters!$B$6)*Factors!NS8+SQRT(Parameters!$B$7)*Factors!NS10+SQRT(Parameters!$B$9)*NORM.S.INV(RAND())</f>
        <v/>
      </c>
      <c r="NT14" s="19">
        <f>SQRT(Parameters!$B$5)*Factors!NT4+SQRT(Parameters!$B$6)*Factors!NT8+SQRT(Parameters!$B$7)*Factors!NT10+SQRT(Parameters!$B$9)*NORM.S.INV(RAND())</f>
        <v/>
      </c>
      <c r="NU14" s="19">
        <f>SQRT(Parameters!$B$5)*Factors!NU4+SQRT(Parameters!$B$6)*Factors!NU8+SQRT(Parameters!$B$7)*Factors!NU10+SQRT(Parameters!$B$9)*NORM.S.INV(RAND())</f>
        <v/>
      </c>
      <c r="NV14" s="19">
        <f>SQRT(Parameters!$B$5)*Factors!NV4+SQRT(Parameters!$B$6)*Factors!NV8+SQRT(Parameters!$B$7)*Factors!NV10+SQRT(Parameters!$B$9)*NORM.S.INV(RAND())</f>
        <v/>
      </c>
      <c r="NW14" s="19">
        <f>SQRT(Parameters!$B$5)*Factors!NW4+SQRT(Parameters!$B$6)*Factors!NW8+SQRT(Parameters!$B$7)*Factors!NW10+SQRT(Parameters!$B$9)*NORM.S.INV(RAND())</f>
        <v/>
      </c>
      <c r="NX14" s="19">
        <f>SQRT(Parameters!$B$5)*Factors!NX4+SQRT(Parameters!$B$6)*Factors!NX8+SQRT(Parameters!$B$7)*Factors!NX10+SQRT(Parameters!$B$9)*NORM.S.INV(RAND())</f>
        <v/>
      </c>
      <c r="NY14" s="19">
        <f>SQRT(Parameters!$B$5)*Factors!NY4+SQRT(Parameters!$B$6)*Factors!NY8+SQRT(Parameters!$B$7)*Factors!NY10+SQRT(Parameters!$B$9)*NORM.S.INV(RAND())</f>
        <v/>
      </c>
      <c r="NZ14" s="19">
        <f>SQRT(Parameters!$B$5)*Factors!NZ4+SQRT(Parameters!$B$6)*Factors!NZ8+SQRT(Parameters!$B$7)*Factors!NZ10+SQRT(Parameters!$B$9)*NORM.S.INV(RAND())</f>
        <v/>
      </c>
      <c r="OA14" s="19">
        <f>SQRT(Parameters!$B$5)*Factors!OA4+SQRT(Parameters!$B$6)*Factors!OA8+SQRT(Parameters!$B$7)*Factors!OA10+SQRT(Parameters!$B$9)*NORM.S.INV(RAND())</f>
        <v/>
      </c>
      <c r="OB14" s="19">
        <f>SQRT(Parameters!$B$5)*Factors!OB4+SQRT(Parameters!$B$6)*Factors!OB8+SQRT(Parameters!$B$7)*Factors!OB10+SQRT(Parameters!$B$9)*NORM.S.INV(RAND())</f>
        <v/>
      </c>
      <c r="OC14" s="19">
        <f>SQRT(Parameters!$B$5)*Factors!OC4+SQRT(Parameters!$B$6)*Factors!OC8+SQRT(Parameters!$B$7)*Factors!OC10+SQRT(Parameters!$B$9)*NORM.S.INV(RAND())</f>
        <v/>
      </c>
      <c r="OD14" s="19">
        <f>SQRT(Parameters!$B$5)*Factors!OD4+SQRT(Parameters!$B$6)*Factors!OD8+SQRT(Parameters!$B$7)*Factors!OD10+SQRT(Parameters!$B$9)*NORM.S.INV(RAND())</f>
        <v/>
      </c>
      <c r="OE14" s="19">
        <f>SQRT(Parameters!$B$5)*Factors!OE4+SQRT(Parameters!$B$6)*Factors!OE8+SQRT(Parameters!$B$7)*Factors!OE10+SQRT(Parameters!$B$9)*NORM.S.INV(RAND())</f>
        <v/>
      </c>
      <c r="OF14" s="19">
        <f>SQRT(Parameters!$B$5)*Factors!OF4+SQRT(Parameters!$B$6)*Factors!OF8+SQRT(Parameters!$B$7)*Factors!OF10+SQRT(Parameters!$B$9)*NORM.S.INV(RAND())</f>
        <v/>
      </c>
      <c r="OG14" s="19">
        <f>SQRT(Parameters!$B$5)*Factors!OG4+SQRT(Parameters!$B$6)*Factors!OG8+SQRT(Parameters!$B$7)*Factors!OG10+SQRT(Parameters!$B$9)*NORM.S.INV(RAND())</f>
        <v/>
      </c>
      <c r="OH14" s="19">
        <f>SQRT(Parameters!$B$5)*Factors!OH4+SQRT(Parameters!$B$6)*Factors!OH8+SQRT(Parameters!$B$7)*Factors!OH10+SQRT(Parameters!$B$9)*NORM.S.INV(RAND())</f>
        <v/>
      </c>
      <c r="OI14" s="19">
        <f>SQRT(Parameters!$B$5)*Factors!OI4+SQRT(Parameters!$B$6)*Factors!OI8+SQRT(Parameters!$B$7)*Factors!OI10+SQRT(Parameters!$B$9)*NORM.S.INV(RAND())</f>
        <v/>
      </c>
      <c r="OJ14" s="19">
        <f>SQRT(Parameters!$B$5)*Factors!OJ4+SQRT(Parameters!$B$6)*Factors!OJ8+SQRT(Parameters!$B$7)*Factors!OJ10+SQRT(Parameters!$B$9)*NORM.S.INV(RAND())</f>
        <v/>
      </c>
      <c r="OK14" s="19">
        <f>SQRT(Parameters!$B$5)*Factors!OK4+SQRT(Parameters!$B$6)*Factors!OK8+SQRT(Parameters!$B$7)*Factors!OK10+SQRT(Parameters!$B$9)*NORM.S.INV(RAND())</f>
        <v/>
      </c>
      <c r="OL14" s="19">
        <f>SQRT(Parameters!$B$5)*Factors!OL4+SQRT(Parameters!$B$6)*Factors!OL8+SQRT(Parameters!$B$7)*Factors!OL10+SQRT(Parameters!$B$9)*NORM.S.INV(RAND())</f>
        <v/>
      </c>
      <c r="OM14" s="19">
        <f>SQRT(Parameters!$B$5)*Factors!OM4+SQRT(Parameters!$B$6)*Factors!OM8+SQRT(Parameters!$B$7)*Factors!OM10+SQRT(Parameters!$B$9)*NORM.S.INV(RAND())</f>
        <v/>
      </c>
      <c r="ON14" s="19">
        <f>SQRT(Parameters!$B$5)*Factors!ON4+SQRT(Parameters!$B$6)*Factors!ON8+SQRT(Parameters!$B$7)*Factors!ON10+SQRT(Parameters!$B$9)*NORM.S.INV(RAND())</f>
        <v/>
      </c>
      <c r="OO14" s="19">
        <f>SQRT(Parameters!$B$5)*Factors!OO4+SQRT(Parameters!$B$6)*Factors!OO8+SQRT(Parameters!$B$7)*Factors!OO10+SQRT(Parameters!$B$9)*NORM.S.INV(RAND())</f>
        <v/>
      </c>
      <c r="OP14" s="19">
        <f>SQRT(Parameters!$B$5)*Factors!OP4+SQRT(Parameters!$B$6)*Factors!OP8+SQRT(Parameters!$B$7)*Factors!OP10+SQRT(Parameters!$B$9)*NORM.S.INV(RAND())</f>
        <v/>
      </c>
      <c r="OQ14" s="19">
        <f>SQRT(Parameters!$B$5)*Factors!OQ4+SQRT(Parameters!$B$6)*Factors!OQ8+SQRT(Parameters!$B$7)*Factors!OQ10+SQRT(Parameters!$B$9)*NORM.S.INV(RAND())</f>
        <v/>
      </c>
      <c r="OR14" s="19">
        <f>SQRT(Parameters!$B$5)*Factors!OR4+SQRT(Parameters!$B$6)*Factors!OR8+SQRT(Parameters!$B$7)*Factors!OR10+SQRT(Parameters!$B$9)*NORM.S.INV(RAND())</f>
        <v/>
      </c>
      <c r="OS14" s="19">
        <f>SQRT(Parameters!$B$5)*Factors!OS4+SQRT(Parameters!$B$6)*Factors!OS8+SQRT(Parameters!$B$7)*Factors!OS10+SQRT(Parameters!$B$9)*NORM.S.INV(RAND())</f>
        <v/>
      </c>
      <c r="OT14" s="19">
        <f>SQRT(Parameters!$B$5)*Factors!OT4+SQRT(Parameters!$B$6)*Factors!OT8+SQRT(Parameters!$B$7)*Factors!OT10+SQRT(Parameters!$B$9)*NORM.S.INV(RAND())</f>
        <v/>
      </c>
      <c r="OU14" s="19">
        <f>SQRT(Parameters!$B$5)*Factors!OU4+SQRT(Parameters!$B$6)*Factors!OU8+SQRT(Parameters!$B$7)*Factors!OU10+SQRT(Parameters!$B$9)*NORM.S.INV(RAND())</f>
        <v/>
      </c>
      <c r="OV14" s="19">
        <f>SQRT(Parameters!$B$5)*Factors!OV4+SQRT(Parameters!$B$6)*Factors!OV8+SQRT(Parameters!$B$7)*Factors!OV10+SQRT(Parameters!$B$9)*NORM.S.INV(RAND())</f>
        <v/>
      </c>
      <c r="OW14" s="19">
        <f>SQRT(Parameters!$B$5)*Factors!OW4+SQRT(Parameters!$B$6)*Factors!OW8+SQRT(Parameters!$B$7)*Factors!OW10+SQRT(Parameters!$B$9)*NORM.S.INV(RAND())</f>
        <v/>
      </c>
      <c r="OX14" s="19">
        <f>SQRT(Parameters!$B$5)*Factors!OX4+SQRT(Parameters!$B$6)*Factors!OX8+SQRT(Parameters!$B$7)*Factors!OX10+SQRT(Parameters!$B$9)*NORM.S.INV(RAND())</f>
        <v/>
      </c>
      <c r="OY14" s="19">
        <f>SQRT(Parameters!$B$5)*Factors!OY4+SQRT(Parameters!$B$6)*Factors!OY8+SQRT(Parameters!$B$7)*Factors!OY10+SQRT(Parameters!$B$9)*NORM.S.INV(RAND())</f>
        <v/>
      </c>
      <c r="OZ14" s="19">
        <f>SQRT(Parameters!$B$5)*Factors!OZ4+SQRT(Parameters!$B$6)*Factors!OZ8+SQRT(Parameters!$B$7)*Factors!OZ10+SQRT(Parameters!$B$9)*NORM.S.INV(RAND())</f>
        <v/>
      </c>
      <c r="PA14" s="19">
        <f>SQRT(Parameters!$B$5)*Factors!PA4+SQRT(Parameters!$B$6)*Factors!PA8+SQRT(Parameters!$B$7)*Factors!PA10+SQRT(Parameters!$B$9)*NORM.S.INV(RAND())</f>
        <v/>
      </c>
      <c r="PB14" s="19">
        <f>SQRT(Parameters!$B$5)*Factors!PB4+SQRT(Parameters!$B$6)*Factors!PB8+SQRT(Parameters!$B$7)*Factors!PB10+SQRT(Parameters!$B$9)*NORM.S.INV(RAND())</f>
        <v/>
      </c>
      <c r="PC14" s="19">
        <f>SQRT(Parameters!$B$5)*Factors!PC4+SQRT(Parameters!$B$6)*Factors!PC8+SQRT(Parameters!$B$7)*Factors!PC10+SQRT(Parameters!$B$9)*NORM.S.INV(RAND())</f>
        <v/>
      </c>
      <c r="PD14" s="19">
        <f>SQRT(Parameters!$B$5)*Factors!PD4+SQRT(Parameters!$B$6)*Factors!PD8+SQRT(Parameters!$B$7)*Factors!PD10+SQRT(Parameters!$B$9)*NORM.S.INV(RAND())</f>
        <v/>
      </c>
      <c r="PE14" s="19">
        <f>SQRT(Parameters!$B$5)*Factors!PE4+SQRT(Parameters!$B$6)*Factors!PE8+SQRT(Parameters!$B$7)*Factors!PE10+SQRT(Parameters!$B$9)*NORM.S.INV(RAND())</f>
        <v/>
      </c>
      <c r="PF14" s="19">
        <f>SQRT(Parameters!$B$5)*Factors!PF4+SQRT(Parameters!$B$6)*Factors!PF8+SQRT(Parameters!$B$7)*Factors!PF10+SQRT(Parameters!$B$9)*NORM.S.INV(RAND())</f>
        <v/>
      </c>
      <c r="PG14" s="19">
        <f>SQRT(Parameters!$B$5)*Factors!PG4+SQRT(Parameters!$B$6)*Factors!PG8+SQRT(Parameters!$B$7)*Factors!PG10+SQRT(Parameters!$B$9)*NORM.S.INV(RAND())</f>
        <v/>
      </c>
      <c r="PH14" s="19">
        <f>SQRT(Parameters!$B$5)*Factors!PH4+SQRT(Parameters!$B$6)*Factors!PH8+SQRT(Parameters!$B$7)*Factors!PH10+SQRT(Parameters!$B$9)*NORM.S.INV(RAND())</f>
        <v/>
      </c>
      <c r="PI14" s="19">
        <f>SQRT(Parameters!$B$5)*Factors!PI4+SQRT(Parameters!$B$6)*Factors!PI8+SQRT(Parameters!$B$7)*Factors!PI10+SQRT(Parameters!$B$9)*NORM.S.INV(RAND())</f>
        <v/>
      </c>
      <c r="PJ14" s="19">
        <f>SQRT(Parameters!$B$5)*Factors!PJ4+SQRT(Parameters!$B$6)*Factors!PJ8+SQRT(Parameters!$B$7)*Factors!PJ10+SQRT(Parameters!$B$9)*NORM.S.INV(RAND())</f>
        <v/>
      </c>
      <c r="PK14" s="19">
        <f>SQRT(Parameters!$B$5)*Factors!PK4+SQRT(Parameters!$B$6)*Factors!PK8+SQRT(Parameters!$B$7)*Factors!PK10+SQRT(Parameters!$B$9)*NORM.S.INV(RAND())</f>
        <v/>
      </c>
      <c r="PL14" s="19">
        <f>SQRT(Parameters!$B$5)*Factors!PL4+SQRT(Parameters!$B$6)*Factors!PL8+SQRT(Parameters!$B$7)*Factors!PL10+SQRT(Parameters!$B$9)*NORM.S.INV(RAND())</f>
        <v/>
      </c>
      <c r="PM14" s="19">
        <f>SQRT(Parameters!$B$5)*Factors!PM4+SQRT(Parameters!$B$6)*Factors!PM8+SQRT(Parameters!$B$7)*Factors!PM10+SQRT(Parameters!$B$9)*NORM.S.INV(RAND())</f>
        <v/>
      </c>
      <c r="PN14" s="19">
        <f>SQRT(Parameters!$B$5)*Factors!PN4+SQRT(Parameters!$B$6)*Factors!PN8+SQRT(Parameters!$B$7)*Factors!PN10+SQRT(Parameters!$B$9)*NORM.S.INV(RAND())</f>
        <v/>
      </c>
      <c r="PO14" s="19">
        <f>SQRT(Parameters!$B$5)*Factors!PO4+SQRT(Parameters!$B$6)*Factors!PO8+SQRT(Parameters!$B$7)*Factors!PO10+SQRT(Parameters!$B$9)*NORM.S.INV(RAND())</f>
        <v/>
      </c>
      <c r="PP14" s="19">
        <f>SQRT(Parameters!$B$5)*Factors!PP4+SQRT(Parameters!$B$6)*Factors!PP8+SQRT(Parameters!$B$7)*Factors!PP10+SQRT(Parameters!$B$9)*NORM.S.INV(RAND())</f>
        <v/>
      </c>
      <c r="PQ14" s="19">
        <f>SQRT(Parameters!$B$5)*Factors!PQ4+SQRT(Parameters!$B$6)*Factors!PQ8+SQRT(Parameters!$B$7)*Factors!PQ10+SQRT(Parameters!$B$9)*NORM.S.INV(RAND())</f>
        <v/>
      </c>
      <c r="PR14" s="19">
        <f>SQRT(Parameters!$B$5)*Factors!PR4+SQRT(Parameters!$B$6)*Factors!PR8+SQRT(Parameters!$B$7)*Factors!PR10+SQRT(Parameters!$B$9)*NORM.S.INV(RAND())</f>
        <v/>
      </c>
      <c r="PS14" s="19">
        <f>SQRT(Parameters!$B$5)*Factors!PS4+SQRT(Parameters!$B$6)*Factors!PS8+SQRT(Parameters!$B$7)*Factors!PS10+SQRT(Parameters!$B$9)*NORM.S.INV(RAND())</f>
        <v/>
      </c>
      <c r="PT14" s="19">
        <f>SQRT(Parameters!$B$5)*Factors!PT4+SQRT(Parameters!$B$6)*Factors!PT8+SQRT(Parameters!$B$7)*Factors!PT10+SQRT(Parameters!$B$9)*NORM.S.INV(RAND())</f>
        <v/>
      </c>
      <c r="PU14" s="19">
        <f>SQRT(Parameters!$B$5)*Factors!PU4+SQRT(Parameters!$B$6)*Factors!PU8+SQRT(Parameters!$B$7)*Factors!PU10+SQRT(Parameters!$B$9)*NORM.S.INV(RAND())</f>
        <v/>
      </c>
      <c r="PV14" s="19">
        <f>SQRT(Parameters!$B$5)*Factors!PV4+SQRT(Parameters!$B$6)*Factors!PV8+SQRT(Parameters!$B$7)*Factors!PV10+SQRT(Parameters!$B$9)*NORM.S.INV(RAND())</f>
        <v/>
      </c>
      <c r="PW14" s="19">
        <f>SQRT(Parameters!$B$5)*Factors!PW4+SQRT(Parameters!$B$6)*Factors!PW8+SQRT(Parameters!$B$7)*Factors!PW10+SQRT(Parameters!$B$9)*NORM.S.INV(RAND())</f>
        <v/>
      </c>
      <c r="PX14" s="19">
        <f>SQRT(Parameters!$B$5)*Factors!PX4+SQRT(Parameters!$B$6)*Factors!PX8+SQRT(Parameters!$B$7)*Factors!PX10+SQRT(Parameters!$B$9)*NORM.S.INV(RAND())</f>
        <v/>
      </c>
      <c r="PY14" s="19">
        <f>SQRT(Parameters!$B$5)*Factors!PY4+SQRT(Parameters!$B$6)*Factors!PY8+SQRT(Parameters!$B$7)*Factors!PY10+SQRT(Parameters!$B$9)*NORM.S.INV(RAND())</f>
        <v/>
      </c>
      <c r="PZ14" s="19">
        <f>SQRT(Parameters!$B$5)*Factors!PZ4+SQRT(Parameters!$B$6)*Factors!PZ8+SQRT(Parameters!$B$7)*Factors!PZ10+SQRT(Parameters!$B$9)*NORM.S.INV(RAND())</f>
        <v/>
      </c>
      <c r="QA14" s="19">
        <f>SQRT(Parameters!$B$5)*Factors!QA4+SQRT(Parameters!$B$6)*Factors!QA8+SQRT(Parameters!$B$7)*Factors!QA10+SQRT(Parameters!$B$9)*NORM.S.INV(RAND())</f>
        <v/>
      </c>
      <c r="QB14" s="19">
        <f>SQRT(Parameters!$B$5)*Factors!QB4+SQRT(Parameters!$B$6)*Factors!QB8+SQRT(Parameters!$B$7)*Factors!QB10+SQRT(Parameters!$B$9)*NORM.S.INV(RAND())</f>
        <v/>
      </c>
      <c r="QC14" s="19">
        <f>SQRT(Parameters!$B$5)*Factors!QC4+SQRT(Parameters!$B$6)*Factors!QC8+SQRT(Parameters!$B$7)*Factors!QC10+SQRT(Parameters!$B$9)*NORM.S.INV(RAND())</f>
        <v/>
      </c>
      <c r="QD14" s="19">
        <f>SQRT(Parameters!$B$5)*Factors!QD4+SQRT(Parameters!$B$6)*Factors!QD8+SQRT(Parameters!$B$7)*Factors!QD10+SQRT(Parameters!$B$9)*NORM.S.INV(RAND())</f>
        <v/>
      </c>
      <c r="QE14" s="19">
        <f>SQRT(Parameters!$B$5)*Factors!QE4+SQRT(Parameters!$B$6)*Factors!QE8+SQRT(Parameters!$B$7)*Factors!QE10+SQRT(Parameters!$B$9)*NORM.S.INV(RAND())</f>
        <v/>
      </c>
      <c r="QF14" s="19">
        <f>SQRT(Parameters!$B$5)*Factors!QF4+SQRT(Parameters!$B$6)*Factors!QF8+SQRT(Parameters!$B$7)*Factors!QF10+SQRT(Parameters!$B$9)*NORM.S.INV(RAND())</f>
        <v/>
      </c>
      <c r="QG14" s="19">
        <f>SQRT(Parameters!$B$5)*Factors!QG4+SQRT(Parameters!$B$6)*Factors!QG8+SQRT(Parameters!$B$7)*Factors!QG10+SQRT(Parameters!$B$9)*NORM.S.INV(RAND())</f>
        <v/>
      </c>
      <c r="QH14" s="19">
        <f>SQRT(Parameters!$B$5)*Factors!QH4+SQRT(Parameters!$B$6)*Factors!QH8+SQRT(Parameters!$B$7)*Factors!QH10+SQRT(Parameters!$B$9)*NORM.S.INV(RAND())</f>
        <v/>
      </c>
      <c r="QI14" s="19">
        <f>SQRT(Parameters!$B$5)*Factors!QI4+SQRT(Parameters!$B$6)*Factors!QI8+SQRT(Parameters!$B$7)*Factors!QI10+SQRT(Parameters!$B$9)*NORM.S.INV(RAND())</f>
        <v/>
      </c>
      <c r="QJ14" s="19">
        <f>SQRT(Parameters!$B$5)*Factors!QJ4+SQRT(Parameters!$B$6)*Factors!QJ8+SQRT(Parameters!$B$7)*Factors!QJ10+SQRT(Parameters!$B$9)*NORM.S.INV(RAND())</f>
        <v/>
      </c>
      <c r="QK14" s="19">
        <f>SQRT(Parameters!$B$5)*Factors!QK4+SQRT(Parameters!$B$6)*Factors!QK8+SQRT(Parameters!$B$7)*Factors!QK10+SQRT(Parameters!$B$9)*NORM.S.INV(RAND())</f>
        <v/>
      </c>
      <c r="QL14" s="19">
        <f>SQRT(Parameters!$B$5)*Factors!QL4+SQRT(Parameters!$B$6)*Factors!QL8+SQRT(Parameters!$B$7)*Factors!QL10+SQRT(Parameters!$B$9)*NORM.S.INV(RAND())</f>
        <v/>
      </c>
      <c r="QM14" s="19">
        <f>SQRT(Parameters!$B$5)*Factors!QM4+SQRT(Parameters!$B$6)*Factors!QM8+SQRT(Parameters!$B$7)*Factors!QM10+SQRT(Parameters!$B$9)*NORM.S.INV(RAND())</f>
        <v/>
      </c>
      <c r="QN14" s="19">
        <f>SQRT(Parameters!$B$5)*Factors!QN4+SQRT(Parameters!$B$6)*Factors!QN8+SQRT(Parameters!$B$7)*Factors!QN10+SQRT(Parameters!$B$9)*NORM.S.INV(RAND())</f>
        <v/>
      </c>
      <c r="QO14" s="19">
        <f>SQRT(Parameters!$B$5)*Factors!QO4+SQRT(Parameters!$B$6)*Factors!QO8+SQRT(Parameters!$B$7)*Factors!QO10+SQRT(Parameters!$B$9)*NORM.S.INV(RAND())</f>
        <v/>
      </c>
      <c r="QP14" s="19">
        <f>SQRT(Parameters!$B$5)*Factors!QP4+SQRT(Parameters!$B$6)*Factors!QP8+SQRT(Parameters!$B$7)*Factors!QP10+SQRT(Parameters!$B$9)*NORM.S.INV(RAND())</f>
        <v/>
      </c>
      <c r="QQ14" s="19">
        <f>SQRT(Parameters!$B$5)*Factors!QQ4+SQRT(Parameters!$B$6)*Factors!QQ8+SQRT(Parameters!$B$7)*Factors!QQ10+SQRT(Parameters!$B$9)*NORM.S.INV(RAND())</f>
        <v/>
      </c>
      <c r="QR14" s="19">
        <f>SQRT(Parameters!$B$5)*Factors!QR4+SQRT(Parameters!$B$6)*Factors!QR8+SQRT(Parameters!$B$7)*Factors!QR10+SQRT(Parameters!$B$9)*NORM.S.INV(RAND())</f>
        <v/>
      </c>
      <c r="QS14" s="19">
        <f>SQRT(Parameters!$B$5)*Factors!QS4+SQRT(Parameters!$B$6)*Factors!QS8+SQRT(Parameters!$B$7)*Factors!QS10+SQRT(Parameters!$B$9)*NORM.S.INV(RAND())</f>
        <v/>
      </c>
      <c r="QT14" s="19">
        <f>SQRT(Parameters!$B$5)*Factors!QT4+SQRT(Parameters!$B$6)*Factors!QT8+SQRT(Parameters!$B$7)*Factors!QT10+SQRT(Parameters!$B$9)*NORM.S.INV(RAND())</f>
        <v/>
      </c>
      <c r="QU14" s="19">
        <f>SQRT(Parameters!$B$5)*Factors!QU4+SQRT(Parameters!$B$6)*Factors!QU8+SQRT(Parameters!$B$7)*Factors!QU10+SQRT(Parameters!$B$9)*NORM.S.INV(RAND())</f>
        <v/>
      </c>
      <c r="QV14" s="19">
        <f>SQRT(Parameters!$B$5)*Factors!QV4+SQRT(Parameters!$B$6)*Factors!QV8+SQRT(Parameters!$B$7)*Factors!QV10+SQRT(Parameters!$B$9)*NORM.S.INV(RAND())</f>
        <v/>
      </c>
      <c r="QW14" s="19">
        <f>SQRT(Parameters!$B$5)*Factors!QW4+SQRT(Parameters!$B$6)*Factors!QW8+SQRT(Parameters!$B$7)*Factors!QW10+SQRT(Parameters!$B$9)*NORM.S.INV(RAND())</f>
        <v/>
      </c>
      <c r="QX14" s="19">
        <f>SQRT(Parameters!$B$5)*Factors!QX4+SQRT(Parameters!$B$6)*Factors!QX8+SQRT(Parameters!$B$7)*Factors!QX10+SQRT(Parameters!$B$9)*NORM.S.INV(RAND())</f>
        <v/>
      </c>
      <c r="QY14" s="19">
        <f>SQRT(Parameters!$B$5)*Factors!QY4+SQRT(Parameters!$B$6)*Factors!QY8+SQRT(Parameters!$B$7)*Factors!QY10+SQRT(Parameters!$B$9)*NORM.S.INV(RAND())</f>
        <v/>
      </c>
      <c r="QZ14" s="19">
        <f>SQRT(Parameters!$B$5)*Factors!QZ4+SQRT(Parameters!$B$6)*Factors!QZ8+SQRT(Parameters!$B$7)*Factors!QZ10+SQRT(Parameters!$B$9)*NORM.S.INV(RAND())</f>
        <v/>
      </c>
      <c r="RA14" s="19">
        <f>SQRT(Parameters!$B$5)*Factors!RA4+SQRT(Parameters!$B$6)*Factors!RA8+SQRT(Parameters!$B$7)*Factors!RA10+SQRT(Parameters!$B$9)*NORM.S.INV(RAND())</f>
        <v/>
      </c>
      <c r="RB14" s="19">
        <f>SQRT(Parameters!$B$5)*Factors!RB4+SQRT(Parameters!$B$6)*Factors!RB8+SQRT(Parameters!$B$7)*Factors!RB10+SQRT(Parameters!$B$9)*NORM.S.INV(RAND())</f>
        <v/>
      </c>
      <c r="RC14" s="19">
        <f>SQRT(Parameters!$B$5)*Factors!RC4+SQRT(Parameters!$B$6)*Factors!RC8+SQRT(Parameters!$B$7)*Factors!RC10+SQRT(Parameters!$B$9)*NORM.S.INV(RAND())</f>
        <v/>
      </c>
      <c r="RD14" s="19">
        <f>SQRT(Parameters!$B$5)*Factors!RD4+SQRT(Parameters!$B$6)*Factors!RD8+SQRT(Parameters!$B$7)*Factors!RD10+SQRT(Parameters!$B$9)*NORM.S.INV(RAND())</f>
        <v/>
      </c>
      <c r="RE14" s="19">
        <f>SQRT(Parameters!$B$5)*Factors!RE4+SQRT(Parameters!$B$6)*Factors!RE8+SQRT(Parameters!$B$7)*Factors!RE10+SQRT(Parameters!$B$9)*NORM.S.INV(RAND())</f>
        <v/>
      </c>
      <c r="RF14" s="19">
        <f>SQRT(Parameters!$B$5)*Factors!RF4+SQRT(Parameters!$B$6)*Factors!RF8+SQRT(Parameters!$B$7)*Factors!RF10+SQRT(Parameters!$B$9)*NORM.S.INV(RAND())</f>
        <v/>
      </c>
      <c r="RG14" s="19">
        <f>SQRT(Parameters!$B$5)*Factors!RG4+SQRT(Parameters!$B$6)*Factors!RG8+SQRT(Parameters!$B$7)*Factors!RG10+SQRT(Parameters!$B$9)*NORM.S.INV(RAND())</f>
        <v/>
      </c>
      <c r="RH14" s="19">
        <f>SQRT(Parameters!$B$5)*Factors!RH4+SQRT(Parameters!$B$6)*Factors!RH8+SQRT(Parameters!$B$7)*Factors!RH10+SQRT(Parameters!$B$9)*NORM.S.INV(RAND())</f>
        <v/>
      </c>
      <c r="RI14" s="19">
        <f>SQRT(Parameters!$B$5)*Factors!RI4+SQRT(Parameters!$B$6)*Factors!RI8+SQRT(Parameters!$B$7)*Factors!RI10+SQRT(Parameters!$B$9)*NORM.S.INV(RAND())</f>
        <v/>
      </c>
      <c r="RJ14" s="19">
        <f>SQRT(Parameters!$B$5)*Factors!RJ4+SQRT(Parameters!$B$6)*Factors!RJ8+SQRT(Parameters!$B$7)*Factors!RJ10+SQRT(Parameters!$B$9)*NORM.S.INV(RAND())</f>
        <v/>
      </c>
      <c r="RK14" s="19">
        <f>SQRT(Parameters!$B$5)*Factors!RK4+SQRT(Parameters!$B$6)*Factors!RK8+SQRT(Parameters!$B$7)*Factors!RK10+SQRT(Parameters!$B$9)*NORM.S.INV(RAND())</f>
        <v/>
      </c>
      <c r="RL14" s="19">
        <f>SQRT(Parameters!$B$5)*Factors!RL4+SQRT(Parameters!$B$6)*Factors!RL8+SQRT(Parameters!$B$7)*Factors!RL10+SQRT(Parameters!$B$9)*NORM.S.INV(RAND())</f>
        <v/>
      </c>
      <c r="RM14" s="19">
        <f>SQRT(Parameters!$B$5)*Factors!RM4+SQRT(Parameters!$B$6)*Factors!RM8+SQRT(Parameters!$B$7)*Factors!RM10+SQRT(Parameters!$B$9)*NORM.S.INV(RAND())</f>
        <v/>
      </c>
      <c r="RN14" s="19">
        <f>SQRT(Parameters!$B$5)*Factors!RN4+SQRT(Parameters!$B$6)*Factors!RN8+SQRT(Parameters!$B$7)*Factors!RN10+SQRT(Parameters!$B$9)*NORM.S.INV(RAND())</f>
        <v/>
      </c>
      <c r="RO14" s="19">
        <f>SQRT(Parameters!$B$5)*Factors!RO4+SQRT(Parameters!$B$6)*Factors!RO8+SQRT(Parameters!$B$7)*Factors!RO10+SQRT(Parameters!$B$9)*NORM.S.INV(RAND())</f>
        <v/>
      </c>
      <c r="RP14" s="19">
        <f>SQRT(Parameters!$B$5)*Factors!RP4+SQRT(Parameters!$B$6)*Factors!RP8+SQRT(Parameters!$B$7)*Factors!RP10+SQRT(Parameters!$B$9)*NORM.S.INV(RAND())</f>
        <v/>
      </c>
      <c r="RQ14" s="19">
        <f>SQRT(Parameters!$B$5)*Factors!RQ4+SQRT(Parameters!$B$6)*Factors!RQ8+SQRT(Parameters!$B$7)*Factors!RQ10+SQRT(Parameters!$B$9)*NORM.S.INV(RAND())</f>
        <v/>
      </c>
      <c r="RR14" s="19">
        <f>SQRT(Parameters!$B$5)*Factors!RR4+SQRT(Parameters!$B$6)*Factors!RR8+SQRT(Parameters!$B$7)*Factors!RR10+SQRT(Parameters!$B$9)*NORM.S.INV(RAND())</f>
        <v/>
      </c>
      <c r="RS14" s="19">
        <f>SQRT(Parameters!$B$5)*Factors!RS4+SQRT(Parameters!$B$6)*Factors!RS8+SQRT(Parameters!$B$7)*Factors!RS10+SQRT(Parameters!$B$9)*NORM.S.INV(RAND())</f>
        <v/>
      </c>
      <c r="RT14" s="19">
        <f>SQRT(Parameters!$B$5)*Factors!RT4+SQRT(Parameters!$B$6)*Factors!RT8+SQRT(Parameters!$B$7)*Factors!RT10+SQRT(Parameters!$B$9)*NORM.S.INV(RAND())</f>
        <v/>
      </c>
      <c r="RU14" s="19">
        <f>SQRT(Parameters!$B$5)*Factors!RU4+SQRT(Parameters!$B$6)*Factors!RU8+SQRT(Parameters!$B$7)*Factors!RU10+SQRT(Parameters!$B$9)*NORM.S.INV(RAND())</f>
        <v/>
      </c>
      <c r="RV14" s="19">
        <f>SQRT(Parameters!$B$5)*Factors!RV4+SQRT(Parameters!$B$6)*Factors!RV8+SQRT(Parameters!$B$7)*Factors!RV10+SQRT(Parameters!$B$9)*NORM.S.INV(RAND())</f>
        <v/>
      </c>
      <c r="RW14" s="19">
        <f>SQRT(Parameters!$B$5)*Factors!RW4+SQRT(Parameters!$B$6)*Factors!RW8+SQRT(Parameters!$B$7)*Factors!RW10+SQRT(Parameters!$B$9)*NORM.S.INV(RAND())</f>
        <v/>
      </c>
      <c r="RX14" s="19">
        <f>SQRT(Parameters!$B$5)*Factors!RX4+SQRT(Parameters!$B$6)*Factors!RX8+SQRT(Parameters!$B$7)*Factors!RX10+SQRT(Parameters!$B$9)*NORM.S.INV(RAND())</f>
        <v/>
      </c>
      <c r="RY14" s="19">
        <f>SQRT(Parameters!$B$5)*Factors!RY4+SQRT(Parameters!$B$6)*Factors!RY8+SQRT(Parameters!$B$7)*Factors!RY10+SQRT(Parameters!$B$9)*NORM.S.INV(RAND())</f>
        <v/>
      </c>
      <c r="RZ14" s="19">
        <f>SQRT(Parameters!$B$5)*Factors!RZ4+SQRT(Parameters!$B$6)*Factors!RZ8+SQRT(Parameters!$B$7)*Factors!RZ10+SQRT(Parameters!$B$9)*NORM.S.INV(RAND())</f>
        <v/>
      </c>
      <c r="SA14" s="19">
        <f>SQRT(Parameters!$B$5)*Factors!SA4+SQRT(Parameters!$B$6)*Factors!SA8+SQRT(Parameters!$B$7)*Factors!SA10+SQRT(Parameters!$B$9)*NORM.S.INV(RAND())</f>
        <v/>
      </c>
      <c r="SB14" s="19">
        <f>SQRT(Parameters!$B$5)*Factors!SB4+SQRT(Parameters!$B$6)*Factors!SB8+SQRT(Parameters!$B$7)*Factors!SB10+SQRT(Parameters!$B$9)*NORM.S.INV(RAND())</f>
        <v/>
      </c>
      <c r="SC14" s="19">
        <f>SQRT(Parameters!$B$5)*Factors!SC4+SQRT(Parameters!$B$6)*Factors!SC8+SQRT(Parameters!$B$7)*Factors!SC10+SQRT(Parameters!$B$9)*NORM.S.INV(RAND())</f>
        <v/>
      </c>
      <c r="SD14" s="19">
        <f>SQRT(Parameters!$B$5)*Factors!SD4+SQRT(Parameters!$B$6)*Factors!SD8+SQRT(Parameters!$B$7)*Factors!SD10+SQRT(Parameters!$B$9)*NORM.S.INV(RAND())</f>
        <v/>
      </c>
      <c r="SE14" s="19">
        <f>SQRT(Parameters!$B$5)*Factors!SE4+SQRT(Parameters!$B$6)*Factors!SE8+SQRT(Parameters!$B$7)*Factors!SE10+SQRT(Parameters!$B$9)*NORM.S.INV(RAND())</f>
        <v/>
      </c>
      <c r="SF14" s="19">
        <f>SQRT(Parameters!$B$5)*Factors!SF4+SQRT(Parameters!$B$6)*Factors!SF8+SQRT(Parameters!$B$7)*Factors!SF10+SQRT(Parameters!$B$9)*NORM.S.INV(RAND())</f>
        <v/>
      </c>
      <c r="SG14" s="19">
        <f>SQRT(Parameters!$B$5)*Factors!SG4+SQRT(Parameters!$B$6)*Factors!SG8+SQRT(Parameters!$B$7)*Factors!SG10+SQRT(Parameters!$B$9)*NORM.S.INV(RAND())</f>
        <v/>
      </c>
    </row>
    <row r="15">
      <c r="A15" s="17" t="inlineStr">
        <is>
          <t>OBL-014</t>
        </is>
      </c>
      <c r="B15" s="19">
        <f>SQRT(Parameters!$B$5)*Factors!B4+SQRT(Parameters!$B$6)*Factors!B5+SQRT(Parameters!$B$7)*Factors!B10+SQRT(Parameters!$B$9)*NORM.S.INV(RAND())</f>
        <v/>
      </c>
      <c r="C15" s="19">
        <f>SQRT(Parameters!$B$5)*Factors!C4+SQRT(Parameters!$B$6)*Factors!C5+SQRT(Parameters!$B$7)*Factors!C10+SQRT(Parameters!$B$9)*NORM.S.INV(RAND())</f>
        <v/>
      </c>
      <c r="D15" s="19">
        <f>SQRT(Parameters!$B$5)*Factors!D4+SQRT(Parameters!$B$6)*Factors!D5+SQRT(Parameters!$B$7)*Factors!D10+SQRT(Parameters!$B$9)*NORM.S.INV(RAND())</f>
        <v/>
      </c>
      <c r="E15" s="19">
        <f>SQRT(Parameters!$B$5)*Factors!E4+SQRT(Parameters!$B$6)*Factors!E5+SQRT(Parameters!$B$7)*Factors!E10+SQRT(Parameters!$B$9)*NORM.S.INV(RAND())</f>
        <v/>
      </c>
      <c r="F15" s="19">
        <f>SQRT(Parameters!$B$5)*Factors!F4+SQRT(Parameters!$B$6)*Factors!F5+SQRT(Parameters!$B$7)*Factors!F10+SQRT(Parameters!$B$9)*NORM.S.INV(RAND())</f>
        <v/>
      </c>
      <c r="G15" s="19">
        <f>SQRT(Parameters!$B$5)*Factors!G4+SQRT(Parameters!$B$6)*Factors!G5+SQRT(Parameters!$B$7)*Factors!G10+SQRT(Parameters!$B$9)*NORM.S.INV(RAND())</f>
        <v/>
      </c>
      <c r="H15" s="19">
        <f>SQRT(Parameters!$B$5)*Factors!H4+SQRT(Parameters!$B$6)*Factors!H5+SQRT(Parameters!$B$7)*Factors!H10+SQRT(Parameters!$B$9)*NORM.S.INV(RAND())</f>
        <v/>
      </c>
      <c r="I15" s="19">
        <f>SQRT(Parameters!$B$5)*Factors!I4+SQRT(Parameters!$B$6)*Factors!I5+SQRT(Parameters!$B$7)*Factors!I10+SQRT(Parameters!$B$9)*NORM.S.INV(RAND())</f>
        <v/>
      </c>
      <c r="J15" s="19">
        <f>SQRT(Parameters!$B$5)*Factors!J4+SQRT(Parameters!$B$6)*Factors!J5+SQRT(Parameters!$B$7)*Factors!J10+SQRT(Parameters!$B$9)*NORM.S.INV(RAND())</f>
        <v/>
      </c>
      <c r="K15" s="19">
        <f>SQRT(Parameters!$B$5)*Factors!K4+SQRT(Parameters!$B$6)*Factors!K5+SQRT(Parameters!$B$7)*Factors!K10+SQRT(Parameters!$B$9)*NORM.S.INV(RAND())</f>
        <v/>
      </c>
      <c r="L15" s="19">
        <f>SQRT(Parameters!$B$5)*Factors!L4+SQRT(Parameters!$B$6)*Factors!L5+SQRT(Parameters!$B$7)*Factors!L10+SQRT(Parameters!$B$9)*NORM.S.INV(RAND())</f>
        <v/>
      </c>
      <c r="M15" s="19">
        <f>SQRT(Parameters!$B$5)*Factors!M4+SQRT(Parameters!$B$6)*Factors!M5+SQRT(Parameters!$B$7)*Factors!M10+SQRT(Parameters!$B$9)*NORM.S.INV(RAND())</f>
        <v/>
      </c>
      <c r="N15" s="19">
        <f>SQRT(Parameters!$B$5)*Factors!N4+SQRT(Parameters!$B$6)*Factors!N5+SQRT(Parameters!$B$7)*Factors!N10+SQRT(Parameters!$B$9)*NORM.S.INV(RAND())</f>
        <v/>
      </c>
      <c r="O15" s="19">
        <f>SQRT(Parameters!$B$5)*Factors!O4+SQRT(Parameters!$B$6)*Factors!O5+SQRT(Parameters!$B$7)*Factors!O10+SQRT(Parameters!$B$9)*NORM.S.INV(RAND())</f>
        <v/>
      </c>
      <c r="P15" s="19">
        <f>SQRT(Parameters!$B$5)*Factors!P4+SQRT(Parameters!$B$6)*Factors!P5+SQRT(Parameters!$B$7)*Factors!P10+SQRT(Parameters!$B$9)*NORM.S.INV(RAND())</f>
        <v/>
      </c>
      <c r="Q15" s="19">
        <f>SQRT(Parameters!$B$5)*Factors!Q4+SQRT(Parameters!$B$6)*Factors!Q5+SQRT(Parameters!$B$7)*Factors!Q10+SQRT(Parameters!$B$9)*NORM.S.INV(RAND())</f>
        <v/>
      </c>
      <c r="R15" s="19">
        <f>SQRT(Parameters!$B$5)*Factors!R4+SQRT(Parameters!$B$6)*Factors!R5+SQRT(Parameters!$B$7)*Factors!R10+SQRT(Parameters!$B$9)*NORM.S.INV(RAND())</f>
        <v/>
      </c>
      <c r="S15" s="19">
        <f>SQRT(Parameters!$B$5)*Factors!S4+SQRT(Parameters!$B$6)*Factors!S5+SQRT(Parameters!$B$7)*Factors!S10+SQRT(Parameters!$B$9)*NORM.S.INV(RAND())</f>
        <v/>
      </c>
      <c r="T15" s="19">
        <f>SQRT(Parameters!$B$5)*Factors!T4+SQRT(Parameters!$B$6)*Factors!T5+SQRT(Parameters!$B$7)*Factors!T10+SQRT(Parameters!$B$9)*NORM.S.INV(RAND())</f>
        <v/>
      </c>
      <c r="U15" s="19">
        <f>SQRT(Parameters!$B$5)*Factors!U4+SQRT(Parameters!$B$6)*Factors!U5+SQRT(Parameters!$B$7)*Factors!U10+SQRT(Parameters!$B$9)*NORM.S.INV(RAND())</f>
        <v/>
      </c>
      <c r="V15" s="19">
        <f>SQRT(Parameters!$B$5)*Factors!V4+SQRT(Parameters!$B$6)*Factors!V5+SQRT(Parameters!$B$7)*Factors!V10+SQRT(Parameters!$B$9)*NORM.S.INV(RAND())</f>
        <v/>
      </c>
      <c r="W15" s="19">
        <f>SQRT(Parameters!$B$5)*Factors!W4+SQRT(Parameters!$B$6)*Factors!W5+SQRT(Parameters!$B$7)*Factors!W10+SQRT(Parameters!$B$9)*NORM.S.INV(RAND())</f>
        <v/>
      </c>
      <c r="X15" s="19">
        <f>SQRT(Parameters!$B$5)*Factors!X4+SQRT(Parameters!$B$6)*Factors!X5+SQRT(Parameters!$B$7)*Factors!X10+SQRT(Parameters!$B$9)*NORM.S.INV(RAND())</f>
        <v/>
      </c>
      <c r="Y15" s="19">
        <f>SQRT(Parameters!$B$5)*Factors!Y4+SQRT(Parameters!$B$6)*Factors!Y5+SQRT(Parameters!$B$7)*Factors!Y10+SQRT(Parameters!$B$9)*NORM.S.INV(RAND())</f>
        <v/>
      </c>
      <c r="Z15" s="19">
        <f>SQRT(Parameters!$B$5)*Factors!Z4+SQRT(Parameters!$B$6)*Factors!Z5+SQRT(Parameters!$B$7)*Factors!Z10+SQRT(Parameters!$B$9)*NORM.S.INV(RAND())</f>
        <v/>
      </c>
      <c r="AA15" s="19">
        <f>SQRT(Parameters!$B$5)*Factors!AA4+SQRT(Parameters!$B$6)*Factors!AA5+SQRT(Parameters!$B$7)*Factors!AA10+SQRT(Parameters!$B$9)*NORM.S.INV(RAND())</f>
        <v/>
      </c>
      <c r="AB15" s="19">
        <f>SQRT(Parameters!$B$5)*Factors!AB4+SQRT(Parameters!$B$6)*Factors!AB5+SQRT(Parameters!$B$7)*Factors!AB10+SQRT(Parameters!$B$9)*NORM.S.INV(RAND())</f>
        <v/>
      </c>
      <c r="AC15" s="19">
        <f>SQRT(Parameters!$B$5)*Factors!AC4+SQRT(Parameters!$B$6)*Factors!AC5+SQRT(Parameters!$B$7)*Factors!AC10+SQRT(Parameters!$B$9)*NORM.S.INV(RAND())</f>
        <v/>
      </c>
      <c r="AD15" s="19">
        <f>SQRT(Parameters!$B$5)*Factors!AD4+SQRT(Parameters!$B$6)*Factors!AD5+SQRT(Parameters!$B$7)*Factors!AD10+SQRT(Parameters!$B$9)*NORM.S.INV(RAND())</f>
        <v/>
      </c>
      <c r="AE15" s="19">
        <f>SQRT(Parameters!$B$5)*Factors!AE4+SQRT(Parameters!$B$6)*Factors!AE5+SQRT(Parameters!$B$7)*Factors!AE10+SQRT(Parameters!$B$9)*NORM.S.INV(RAND())</f>
        <v/>
      </c>
      <c r="AF15" s="19">
        <f>SQRT(Parameters!$B$5)*Factors!AF4+SQRT(Parameters!$B$6)*Factors!AF5+SQRT(Parameters!$B$7)*Factors!AF10+SQRT(Parameters!$B$9)*NORM.S.INV(RAND())</f>
        <v/>
      </c>
      <c r="AG15" s="19">
        <f>SQRT(Parameters!$B$5)*Factors!AG4+SQRT(Parameters!$B$6)*Factors!AG5+SQRT(Parameters!$B$7)*Factors!AG10+SQRT(Parameters!$B$9)*NORM.S.INV(RAND())</f>
        <v/>
      </c>
      <c r="AH15" s="19">
        <f>SQRT(Parameters!$B$5)*Factors!AH4+SQRT(Parameters!$B$6)*Factors!AH5+SQRT(Parameters!$B$7)*Factors!AH10+SQRT(Parameters!$B$9)*NORM.S.INV(RAND())</f>
        <v/>
      </c>
      <c r="AI15" s="19">
        <f>SQRT(Parameters!$B$5)*Factors!AI4+SQRT(Parameters!$B$6)*Factors!AI5+SQRT(Parameters!$B$7)*Factors!AI10+SQRT(Parameters!$B$9)*NORM.S.INV(RAND())</f>
        <v/>
      </c>
      <c r="AJ15" s="19">
        <f>SQRT(Parameters!$B$5)*Factors!AJ4+SQRT(Parameters!$B$6)*Factors!AJ5+SQRT(Parameters!$B$7)*Factors!AJ10+SQRT(Parameters!$B$9)*NORM.S.INV(RAND())</f>
        <v/>
      </c>
      <c r="AK15" s="19">
        <f>SQRT(Parameters!$B$5)*Factors!AK4+SQRT(Parameters!$B$6)*Factors!AK5+SQRT(Parameters!$B$7)*Factors!AK10+SQRT(Parameters!$B$9)*NORM.S.INV(RAND())</f>
        <v/>
      </c>
      <c r="AL15" s="19">
        <f>SQRT(Parameters!$B$5)*Factors!AL4+SQRT(Parameters!$B$6)*Factors!AL5+SQRT(Parameters!$B$7)*Factors!AL10+SQRT(Parameters!$B$9)*NORM.S.INV(RAND())</f>
        <v/>
      </c>
      <c r="AM15" s="19">
        <f>SQRT(Parameters!$B$5)*Factors!AM4+SQRT(Parameters!$B$6)*Factors!AM5+SQRT(Parameters!$B$7)*Factors!AM10+SQRT(Parameters!$B$9)*NORM.S.INV(RAND())</f>
        <v/>
      </c>
      <c r="AN15" s="19">
        <f>SQRT(Parameters!$B$5)*Factors!AN4+SQRT(Parameters!$B$6)*Factors!AN5+SQRT(Parameters!$B$7)*Factors!AN10+SQRT(Parameters!$B$9)*NORM.S.INV(RAND())</f>
        <v/>
      </c>
      <c r="AO15" s="19">
        <f>SQRT(Parameters!$B$5)*Factors!AO4+SQRT(Parameters!$B$6)*Factors!AO5+SQRT(Parameters!$B$7)*Factors!AO10+SQRT(Parameters!$B$9)*NORM.S.INV(RAND())</f>
        <v/>
      </c>
      <c r="AP15" s="19">
        <f>SQRT(Parameters!$B$5)*Factors!AP4+SQRT(Parameters!$B$6)*Factors!AP5+SQRT(Parameters!$B$7)*Factors!AP10+SQRT(Parameters!$B$9)*NORM.S.INV(RAND())</f>
        <v/>
      </c>
      <c r="AQ15" s="19">
        <f>SQRT(Parameters!$B$5)*Factors!AQ4+SQRT(Parameters!$B$6)*Factors!AQ5+SQRT(Parameters!$B$7)*Factors!AQ10+SQRT(Parameters!$B$9)*NORM.S.INV(RAND())</f>
        <v/>
      </c>
      <c r="AR15" s="19">
        <f>SQRT(Parameters!$B$5)*Factors!AR4+SQRT(Parameters!$B$6)*Factors!AR5+SQRT(Parameters!$B$7)*Factors!AR10+SQRT(Parameters!$B$9)*NORM.S.INV(RAND())</f>
        <v/>
      </c>
      <c r="AS15" s="19">
        <f>SQRT(Parameters!$B$5)*Factors!AS4+SQRT(Parameters!$B$6)*Factors!AS5+SQRT(Parameters!$B$7)*Factors!AS10+SQRT(Parameters!$B$9)*NORM.S.INV(RAND())</f>
        <v/>
      </c>
      <c r="AT15" s="19">
        <f>SQRT(Parameters!$B$5)*Factors!AT4+SQRT(Parameters!$B$6)*Factors!AT5+SQRT(Parameters!$B$7)*Factors!AT10+SQRT(Parameters!$B$9)*NORM.S.INV(RAND())</f>
        <v/>
      </c>
      <c r="AU15" s="19">
        <f>SQRT(Parameters!$B$5)*Factors!AU4+SQRT(Parameters!$B$6)*Factors!AU5+SQRT(Parameters!$B$7)*Factors!AU10+SQRT(Parameters!$B$9)*NORM.S.INV(RAND())</f>
        <v/>
      </c>
      <c r="AV15" s="19">
        <f>SQRT(Parameters!$B$5)*Factors!AV4+SQRT(Parameters!$B$6)*Factors!AV5+SQRT(Parameters!$B$7)*Factors!AV10+SQRT(Parameters!$B$9)*NORM.S.INV(RAND())</f>
        <v/>
      </c>
      <c r="AW15" s="19">
        <f>SQRT(Parameters!$B$5)*Factors!AW4+SQRT(Parameters!$B$6)*Factors!AW5+SQRT(Parameters!$B$7)*Factors!AW10+SQRT(Parameters!$B$9)*NORM.S.INV(RAND())</f>
        <v/>
      </c>
      <c r="AX15" s="19">
        <f>SQRT(Parameters!$B$5)*Factors!AX4+SQRT(Parameters!$B$6)*Factors!AX5+SQRT(Parameters!$B$7)*Factors!AX10+SQRT(Parameters!$B$9)*NORM.S.INV(RAND())</f>
        <v/>
      </c>
      <c r="AY15" s="19">
        <f>SQRT(Parameters!$B$5)*Factors!AY4+SQRT(Parameters!$B$6)*Factors!AY5+SQRT(Parameters!$B$7)*Factors!AY10+SQRT(Parameters!$B$9)*NORM.S.INV(RAND())</f>
        <v/>
      </c>
      <c r="AZ15" s="19">
        <f>SQRT(Parameters!$B$5)*Factors!AZ4+SQRT(Parameters!$B$6)*Factors!AZ5+SQRT(Parameters!$B$7)*Factors!AZ10+SQRT(Parameters!$B$9)*NORM.S.INV(RAND())</f>
        <v/>
      </c>
      <c r="BA15" s="19">
        <f>SQRT(Parameters!$B$5)*Factors!BA4+SQRT(Parameters!$B$6)*Factors!BA5+SQRT(Parameters!$B$7)*Factors!BA10+SQRT(Parameters!$B$9)*NORM.S.INV(RAND())</f>
        <v/>
      </c>
      <c r="BB15" s="19">
        <f>SQRT(Parameters!$B$5)*Factors!BB4+SQRT(Parameters!$B$6)*Factors!BB5+SQRT(Parameters!$B$7)*Factors!BB10+SQRT(Parameters!$B$9)*NORM.S.INV(RAND())</f>
        <v/>
      </c>
      <c r="BC15" s="19">
        <f>SQRT(Parameters!$B$5)*Factors!BC4+SQRT(Parameters!$B$6)*Factors!BC5+SQRT(Parameters!$B$7)*Factors!BC10+SQRT(Parameters!$B$9)*NORM.S.INV(RAND())</f>
        <v/>
      </c>
      <c r="BD15" s="19">
        <f>SQRT(Parameters!$B$5)*Factors!BD4+SQRT(Parameters!$B$6)*Factors!BD5+SQRT(Parameters!$B$7)*Factors!BD10+SQRT(Parameters!$B$9)*NORM.S.INV(RAND())</f>
        <v/>
      </c>
      <c r="BE15" s="19">
        <f>SQRT(Parameters!$B$5)*Factors!BE4+SQRT(Parameters!$B$6)*Factors!BE5+SQRT(Parameters!$B$7)*Factors!BE10+SQRT(Parameters!$B$9)*NORM.S.INV(RAND())</f>
        <v/>
      </c>
      <c r="BF15" s="19">
        <f>SQRT(Parameters!$B$5)*Factors!BF4+SQRT(Parameters!$B$6)*Factors!BF5+SQRT(Parameters!$B$7)*Factors!BF10+SQRT(Parameters!$B$9)*NORM.S.INV(RAND())</f>
        <v/>
      </c>
      <c r="BG15" s="19">
        <f>SQRT(Parameters!$B$5)*Factors!BG4+SQRT(Parameters!$B$6)*Factors!BG5+SQRT(Parameters!$B$7)*Factors!BG10+SQRT(Parameters!$B$9)*NORM.S.INV(RAND())</f>
        <v/>
      </c>
      <c r="BH15" s="19">
        <f>SQRT(Parameters!$B$5)*Factors!BH4+SQRT(Parameters!$B$6)*Factors!BH5+SQRT(Parameters!$B$7)*Factors!BH10+SQRT(Parameters!$B$9)*NORM.S.INV(RAND())</f>
        <v/>
      </c>
      <c r="BI15" s="19">
        <f>SQRT(Parameters!$B$5)*Factors!BI4+SQRT(Parameters!$B$6)*Factors!BI5+SQRT(Parameters!$B$7)*Factors!BI10+SQRT(Parameters!$B$9)*NORM.S.INV(RAND())</f>
        <v/>
      </c>
      <c r="BJ15" s="19">
        <f>SQRT(Parameters!$B$5)*Factors!BJ4+SQRT(Parameters!$B$6)*Factors!BJ5+SQRT(Parameters!$B$7)*Factors!BJ10+SQRT(Parameters!$B$9)*NORM.S.INV(RAND())</f>
        <v/>
      </c>
      <c r="BK15" s="19">
        <f>SQRT(Parameters!$B$5)*Factors!BK4+SQRT(Parameters!$B$6)*Factors!BK5+SQRT(Parameters!$B$7)*Factors!BK10+SQRT(Parameters!$B$9)*NORM.S.INV(RAND())</f>
        <v/>
      </c>
      <c r="BL15" s="19">
        <f>SQRT(Parameters!$B$5)*Factors!BL4+SQRT(Parameters!$B$6)*Factors!BL5+SQRT(Parameters!$B$7)*Factors!BL10+SQRT(Parameters!$B$9)*NORM.S.INV(RAND())</f>
        <v/>
      </c>
      <c r="BM15" s="19">
        <f>SQRT(Parameters!$B$5)*Factors!BM4+SQRT(Parameters!$B$6)*Factors!BM5+SQRT(Parameters!$B$7)*Factors!BM10+SQRT(Parameters!$B$9)*NORM.S.INV(RAND())</f>
        <v/>
      </c>
      <c r="BN15" s="19">
        <f>SQRT(Parameters!$B$5)*Factors!BN4+SQRT(Parameters!$B$6)*Factors!BN5+SQRT(Parameters!$B$7)*Factors!BN10+SQRT(Parameters!$B$9)*NORM.S.INV(RAND())</f>
        <v/>
      </c>
      <c r="BO15" s="19">
        <f>SQRT(Parameters!$B$5)*Factors!BO4+SQRT(Parameters!$B$6)*Factors!BO5+SQRT(Parameters!$B$7)*Factors!BO10+SQRT(Parameters!$B$9)*NORM.S.INV(RAND())</f>
        <v/>
      </c>
      <c r="BP15" s="19">
        <f>SQRT(Parameters!$B$5)*Factors!BP4+SQRT(Parameters!$B$6)*Factors!BP5+SQRT(Parameters!$B$7)*Factors!BP10+SQRT(Parameters!$B$9)*NORM.S.INV(RAND())</f>
        <v/>
      </c>
      <c r="BQ15" s="19">
        <f>SQRT(Parameters!$B$5)*Factors!BQ4+SQRT(Parameters!$B$6)*Factors!BQ5+SQRT(Parameters!$B$7)*Factors!BQ10+SQRT(Parameters!$B$9)*NORM.S.INV(RAND())</f>
        <v/>
      </c>
      <c r="BR15" s="19">
        <f>SQRT(Parameters!$B$5)*Factors!BR4+SQRT(Parameters!$B$6)*Factors!BR5+SQRT(Parameters!$B$7)*Factors!BR10+SQRT(Parameters!$B$9)*NORM.S.INV(RAND())</f>
        <v/>
      </c>
      <c r="BS15" s="19">
        <f>SQRT(Parameters!$B$5)*Factors!BS4+SQRT(Parameters!$B$6)*Factors!BS5+SQRT(Parameters!$B$7)*Factors!BS10+SQRT(Parameters!$B$9)*NORM.S.INV(RAND())</f>
        <v/>
      </c>
      <c r="BT15" s="19">
        <f>SQRT(Parameters!$B$5)*Factors!BT4+SQRT(Parameters!$B$6)*Factors!BT5+SQRT(Parameters!$B$7)*Factors!BT10+SQRT(Parameters!$B$9)*NORM.S.INV(RAND())</f>
        <v/>
      </c>
      <c r="BU15" s="19">
        <f>SQRT(Parameters!$B$5)*Factors!BU4+SQRT(Parameters!$B$6)*Factors!BU5+SQRT(Parameters!$B$7)*Factors!BU10+SQRT(Parameters!$B$9)*NORM.S.INV(RAND())</f>
        <v/>
      </c>
      <c r="BV15" s="19">
        <f>SQRT(Parameters!$B$5)*Factors!BV4+SQRT(Parameters!$B$6)*Factors!BV5+SQRT(Parameters!$B$7)*Factors!BV10+SQRT(Parameters!$B$9)*NORM.S.INV(RAND())</f>
        <v/>
      </c>
      <c r="BW15" s="19">
        <f>SQRT(Parameters!$B$5)*Factors!BW4+SQRT(Parameters!$B$6)*Factors!BW5+SQRT(Parameters!$B$7)*Factors!BW10+SQRT(Parameters!$B$9)*NORM.S.INV(RAND())</f>
        <v/>
      </c>
      <c r="BX15" s="19">
        <f>SQRT(Parameters!$B$5)*Factors!BX4+SQRT(Parameters!$B$6)*Factors!BX5+SQRT(Parameters!$B$7)*Factors!BX10+SQRT(Parameters!$B$9)*NORM.S.INV(RAND())</f>
        <v/>
      </c>
      <c r="BY15" s="19">
        <f>SQRT(Parameters!$B$5)*Factors!BY4+SQRT(Parameters!$B$6)*Factors!BY5+SQRT(Parameters!$B$7)*Factors!BY10+SQRT(Parameters!$B$9)*NORM.S.INV(RAND())</f>
        <v/>
      </c>
      <c r="BZ15" s="19">
        <f>SQRT(Parameters!$B$5)*Factors!BZ4+SQRT(Parameters!$B$6)*Factors!BZ5+SQRT(Parameters!$B$7)*Factors!BZ10+SQRT(Parameters!$B$9)*NORM.S.INV(RAND())</f>
        <v/>
      </c>
      <c r="CA15" s="19">
        <f>SQRT(Parameters!$B$5)*Factors!CA4+SQRT(Parameters!$B$6)*Factors!CA5+SQRT(Parameters!$B$7)*Factors!CA10+SQRT(Parameters!$B$9)*NORM.S.INV(RAND())</f>
        <v/>
      </c>
      <c r="CB15" s="19">
        <f>SQRT(Parameters!$B$5)*Factors!CB4+SQRT(Parameters!$B$6)*Factors!CB5+SQRT(Parameters!$B$7)*Factors!CB10+SQRT(Parameters!$B$9)*NORM.S.INV(RAND())</f>
        <v/>
      </c>
      <c r="CC15" s="19">
        <f>SQRT(Parameters!$B$5)*Factors!CC4+SQRT(Parameters!$B$6)*Factors!CC5+SQRT(Parameters!$B$7)*Factors!CC10+SQRT(Parameters!$B$9)*NORM.S.INV(RAND())</f>
        <v/>
      </c>
      <c r="CD15" s="19">
        <f>SQRT(Parameters!$B$5)*Factors!CD4+SQRT(Parameters!$B$6)*Factors!CD5+SQRT(Parameters!$B$7)*Factors!CD10+SQRT(Parameters!$B$9)*NORM.S.INV(RAND())</f>
        <v/>
      </c>
      <c r="CE15" s="19">
        <f>SQRT(Parameters!$B$5)*Factors!CE4+SQRT(Parameters!$B$6)*Factors!CE5+SQRT(Parameters!$B$7)*Factors!CE10+SQRT(Parameters!$B$9)*NORM.S.INV(RAND())</f>
        <v/>
      </c>
      <c r="CF15" s="19">
        <f>SQRT(Parameters!$B$5)*Factors!CF4+SQRT(Parameters!$B$6)*Factors!CF5+SQRT(Parameters!$B$7)*Factors!CF10+SQRT(Parameters!$B$9)*NORM.S.INV(RAND())</f>
        <v/>
      </c>
      <c r="CG15" s="19">
        <f>SQRT(Parameters!$B$5)*Factors!CG4+SQRT(Parameters!$B$6)*Factors!CG5+SQRT(Parameters!$B$7)*Factors!CG10+SQRT(Parameters!$B$9)*NORM.S.INV(RAND())</f>
        <v/>
      </c>
      <c r="CH15" s="19">
        <f>SQRT(Parameters!$B$5)*Factors!CH4+SQRT(Parameters!$B$6)*Factors!CH5+SQRT(Parameters!$B$7)*Factors!CH10+SQRT(Parameters!$B$9)*NORM.S.INV(RAND())</f>
        <v/>
      </c>
      <c r="CI15" s="19">
        <f>SQRT(Parameters!$B$5)*Factors!CI4+SQRT(Parameters!$B$6)*Factors!CI5+SQRT(Parameters!$B$7)*Factors!CI10+SQRT(Parameters!$B$9)*NORM.S.INV(RAND())</f>
        <v/>
      </c>
      <c r="CJ15" s="19">
        <f>SQRT(Parameters!$B$5)*Factors!CJ4+SQRT(Parameters!$B$6)*Factors!CJ5+SQRT(Parameters!$B$7)*Factors!CJ10+SQRT(Parameters!$B$9)*NORM.S.INV(RAND())</f>
        <v/>
      </c>
      <c r="CK15" s="19">
        <f>SQRT(Parameters!$B$5)*Factors!CK4+SQRT(Parameters!$B$6)*Factors!CK5+SQRT(Parameters!$B$7)*Factors!CK10+SQRT(Parameters!$B$9)*NORM.S.INV(RAND())</f>
        <v/>
      </c>
      <c r="CL15" s="19">
        <f>SQRT(Parameters!$B$5)*Factors!CL4+SQRT(Parameters!$B$6)*Factors!CL5+SQRT(Parameters!$B$7)*Factors!CL10+SQRT(Parameters!$B$9)*NORM.S.INV(RAND())</f>
        <v/>
      </c>
      <c r="CM15" s="19">
        <f>SQRT(Parameters!$B$5)*Factors!CM4+SQRT(Parameters!$B$6)*Factors!CM5+SQRT(Parameters!$B$7)*Factors!CM10+SQRT(Parameters!$B$9)*NORM.S.INV(RAND())</f>
        <v/>
      </c>
      <c r="CN15" s="19">
        <f>SQRT(Parameters!$B$5)*Factors!CN4+SQRT(Parameters!$B$6)*Factors!CN5+SQRT(Parameters!$B$7)*Factors!CN10+SQRT(Parameters!$B$9)*NORM.S.INV(RAND())</f>
        <v/>
      </c>
      <c r="CO15" s="19">
        <f>SQRT(Parameters!$B$5)*Factors!CO4+SQRT(Parameters!$B$6)*Factors!CO5+SQRT(Parameters!$B$7)*Factors!CO10+SQRT(Parameters!$B$9)*NORM.S.INV(RAND())</f>
        <v/>
      </c>
      <c r="CP15" s="19">
        <f>SQRT(Parameters!$B$5)*Factors!CP4+SQRT(Parameters!$B$6)*Factors!CP5+SQRT(Parameters!$B$7)*Factors!CP10+SQRT(Parameters!$B$9)*NORM.S.INV(RAND())</f>
        <v/>
      </c>
      <c r="CQ15" s="19">
        <f>SQRT(Parameters!$B$5)*Factors!CQ4+SQRT(Parameters!$B$6)*Factors!CQ5+SQRT(Parameters!$B$7)*Factors!CQ10+SQRT(Parameters!$B$9)*NORM.S.INV(RAND())</f>
        <v/>
      </c>
      <c r="CR15" s="19">
        <f>SQRT(Parameters!$B$5)*Factors!CR4+SQRT(Parameters!$B$6)*Factors!CR5+SQRT(Parameters!$B$7)*Factors!CR10+SQRT(Parameters!$B$9)*NORM.S.INV(RAND())</f>
        <v/>
      </c>
      <c r="CS15" s="19">
        <f>SQRT(Parameters!$B$5)*Factors!CS4+SQRT(Parameters!$B$6)*Factors!CS5+SQRT(Parameters!$B$7)*Factors!CS10+SQRT(Parameters!$B$9)*NORM.S.INV(RAND())</f>
        <v/>
      </c>
      <c r="CT15" s="19">
        <f>SQRT(Parameters!$B$5)*Factors!CT4+SQRT(Parameters!$B$6)*Factors!CT5+SQRT(Parameters!$B$7)*Factors!CT10+SQRT(Parameters!$B$9)*NORM.S.INV(RAND())</f>
        <v/>
      </c>
      <c r="CU15" s="19">
        <f>SQRT(Parameters!$B$5)*Factors!CU4+SQRT(Parameters!$B$6)*Factors!CU5+SQRT(Parameters!$B$7)*Factors!CU10+SQRT(Parameters!$B$9)*NORM.S.INV(RAND())</f>
        <v/>
      </c>
      <c r="CV15" s="19">
        <f>SQRT(Parameters!$B$5)*Factors!CV4+SQRT(Parameters!$B$6)*Factors!CV5+SQRT(Parameters!$B$7)*Factors!CV10+SQRT(Parameters!$B$9)*NORM.S.INV(RAND())</f>
        <v/>
      </c>
      <c r="CW15" s="19">
        <f>SQRT(Parameters!$B$5)*Factors!CW4+SQRT(Parameters!$B$6)*Factors!CW5+SQRT(Parameters!$B$7)*Factors!CW10+SQRT(Parameters!$B$9)*NORM.S.INV(RAND())</f>
        <v/>
      </c>
      <c r="CX15" s="19">
        <f>SQRT(Parameters!$B$5)*Factors!CX4+SQRT(Parameters!$B$6)*Factors!CX5+SQRT(Parameters!$B$7)*Factors!CX10+SQRT(Parameters!$B$9)*NORM.S.INV(RAND())</f>
        <v/>
      </c>
      <c r="CY15" s="19">
        <f>SQRT(Parameters!$B$5)*Factors!CY4+SQRT(Parameters!$B$6)*Factors!CY5+SQRT(Parameters!$B$7)*Factors!CY10+SQRT(Parameters!$B$9)*NORM.S.INV(RAND())</f>
        <v/>
      </c>
      <c r="CZ15" s="19">
        <f>SQRT(Parameters!$B$5)*Factors!CZ4+SQRT(Parameters!$B$6)*Factors!CZ5+SQRT(Parameters!$B$7)*Factors!CZ10+SQRT(Parameters!$B$9)*NORM.S.INV(RAND())</f>
        <v/>
      </c>
      <c r="DA15" s="19">
        <f>SQRT(Parameters!$B$5)*Factors!DA4+SQRT(Parameters!$B$6)*Factors!DA5+SQRT(Parameters!$B$7)*Factors!DA10+SQRT(Parameters!$B$9)*NORM.S.INV(RAND())</f>
        <v/>
      </c>
      <c r="DB15" s="19">
        <f>SQRT(Parameters!$B$5)*Factors!DB4+SQRT(Parameters!$B$6)*Factors!DB5+SQRT(Parameters!$B$7)*Factors!DB10+SQRT(Parameters!$B$9)*NORM.S.INV(RAND())</f>
        <v/>
      </c>
      <c r="DC15" s="19">
        <f>SQRT(Parameters!$B$5)*Factors!DC4+SQRT(Parameters!$B$6)*Factors!DC5+SQRT(Parameters!$B$7)*Factors!DC10+SQRT(Parameters!$B$9)*NORM.S.INV(RAND())</f>
        <v/>
      </c>
      <c r="DD15" s="19">
        <f>SQRT(Parameters!$B$5)*Factors!DD4+SQRT(Parameters!$B$6)*Factors!DD5+SQRT(Parameters!$B$7)*Factors!DD10+SQRT(Parameters!$B$9)*NORM.S.INV(RAND())</f>
        <v/>
      </c>
      <c r="DE15" s="19">
        <f>SQRT(Parameters!$B$5)*Factors!DE4+SQRT(Parameters!$B$6)*Factors!DE5+SQRT(Parameters!$B$7)*Factors!DE10+SQRT(Parameters!$B$9)*NORM.S.INV(RAND())</f>
        <v/>
      </c>
      <c r="DF15" s="19">
        <f>SQRT(Parameters!$B$5)*Factors!DF4+SQRT(Parameters!$B$6)*Factors!DF5+SQRT(Parameters!$B$7)*Factors!DF10+SQRT(Parameters!$B$9)*NORM.S.INV(RAND())</f>
        <v/>
      </c>
      <c r="DG15" s="19">
        <f>SQRT(Parameters!$B$5)*Factors!DG4+SQRT(Parameters!$B$6)*Factors!DG5+SQRT(Parameters!$B$7)*Factors!DG10+SQRT(Parameters!$B$9)*NORM.S.INV(RAND())</f>
        <v/>
      </c>
      <c r="DH15" s="19">
        <f>SQRT(Parameters!$B$5)*Factors!DH4+SQRT(Parameters!$B$6)*Factors!DH5+SQRT(Parameters!$B$7)*Factors!DH10+SQRT(Parameters!$B$9)*NORM.S.INV(RAND())</f>
        <v/>
      </c>
      <c r="DI15" s="19">
        <f>SQRT(Parameters!$B$5)*Factors!DI4+SQRT(Parameters!$B$6)*Factors!DI5+SQRT(Parameters!$B$7)*Factors!DI10+SQRT(Parameters!$B$9)*NORM.S.INV(RAND())</f>
        <v/>
      </c>
      <c r="DJ15" s="19">
        <f>SQRT(Parameters!$B$5)*Factors!DJ4+SQRT(Parameters!$B$6)*Factors!DJ5+SQRT(Parameters!$B$7)*Factors!DJ10+SQRT(Parameters!$B$9)*NORM.S.INV(RAND())</f>
        <v/>
      </c>
      <c r="DK15" s="19">
        <f>SQRT(Parameters!$B$5)*Factors!DK4+SQRT(Parameters!$B$6)*Factors!DK5+SQRT(Parameters!$B$7)*Factors!DK10+SQRT(Parameters!$B$9)*NORM.S.INV(RAND())</f>
        <v/>
      </c>
      <c r="DL15" s="19">
        <f>SQRT(Parameters!$B$5)*Factors!DL4+SQRT(Parameters!$B$6)*Factors!DL5+SQRT(Parameters!$B$7)*Factors!DL10+SQRT(Parameters!$B$9)*NORM.S.INV(RAND())</f>
        <v/>
      </c>
      <c r="DM15" s="19">
        <f>SQRT(Parameters!$B$5)*Factors!DM4+SQRT(Parameters!$B$6)*Factors!DM5+SQRT(Parameters!$B$7)*Factors!DM10+SQRT(Parameters!$B$9)*NORM.S.INV(RAND())</f>
        <v/>
      </c>
      <c r="DN15" s="19">
        <f>SQRT(Parameters!$B$5)*Factors!DN4+SQRT(Parameters!$B$6)*Factors!DN5+SQRT(Parameters!$B$7)*Factors!DN10+SQRT(Parameters!$B$9)*NORM.S.INV(RAND())</f>
        <v/>
      </c>
      <c r="DO15" s="19">
        <f>SQRT(Parameters!$B$5)*Factors!DO4+SQRT(Parameters!$B$6)*Factors!DO5+SQRT(Parameters!$B$7)*Factors!DO10+SQRT(Parameters!$B$9)*NORM.S.INV(RAND())</f>
        <v/>
      </c>
      <c r="DP15" s="19">
        <f>SQRT(Parameters!$B$5)*Factors!DP4+SQRT(Parameters!$B$6)*Factors!DP5+SQRT(Parameters!$B$7)*Factors!DP10+SQRT(Parameters!$B$9)*NORM.S.INV(RAND())</f>
        <v/>
      </c>
      <c r="DQ15" s="19">
        <f>SQRT(Parameters!$B$5)*Factors!DQ4+SQRT(Parameters!$B$6)*Factors!DQ5+SQRT(Parameters!$B$7)*Factors!DQ10+SQRT(Parameters!$B$9)*NORM.S.INV(RAND())</f>
        <v/>
      </c>
      <c r="DR15" s="19">
        <f>SQRT(Parameters!$B$5)*Factors!DR4+SQRT(Parameters!$B$6)*Factors!DR5+SQRT(Parameters!$B$7)*Factors!DR10+SQRT(Parameters!$B$9)*NORM.S.INV(RAND())</f>
        <v/>
      </c>
      <c r="DS15" s="19">
        <f>SQRT(Parameters!$B$5)*Factors!DS4+SQRT(Parameters!$B$6)*Factors!DS5+SQRT(Parameters!$B$7)*Factors!DS10+SQRT(Parameters!$B$9)*NORM.S.INV(RAND())</f>
        <v/>
      </c>
      <c r="DT15" s="19">
        <f>SQRT(Parameters!$B$5)*Factors!DT4+SQRT(Parameters!$B$6)*Factors!DT5+SQRT(Parameters!$B$7)*Factors!DT10+SQRT(Parameters!$B$9)*NORM.S.INV(RAND())</f>
        <v/>
      </c>
      <c r="DU15" s="19">
        <f>SQRT(Parameters!$B$5)*Factors!DU4+SQRT(Parameters!$B$6)*Factors!DU5+SQRT(Parameters!$B$7)*Factors!DU10+SQRT(Parameters!$B$9)*NORM.S.INV(RAND())</f>
        <v/>
      </c>
      <c r="DV15" s="19">
        <f>SQRT(Parameters!$B$5)*Factors!DV4+SQRT(Parameters!$B$6)*Factors!DV5+SQRT(Parameters!$B$7)*Factors!DV10+SQRT(Parameters!$B$9)*NORM.S.INV(RAND())</f>
        <v/>
      </c>
      <c r="DW15" s="19">
        <f>SQRT(Parameters!$B$5)*Factors!DW4+SQRT(Parameters!$B$6)*Factors!DW5+SQRT(Parameters!$B$7)*Factors!DW10+SQRT(Parameters!$B$9)*NORM.S.INV(RAND())</f>
        <v/>
      </c>
      <c r="DX15" s="19">
        <f>SQRT(Parameters!$B$5)*Factors!DX4+SQRT(Parameters!$B$6)*Factors!DX5+SQRT(Parameters!$B$7)*Factors!DX10+SQRT(Parameters!$B$9)*NORM.S.INV(RAND())</f>
        <v/>
      </c>
      <c r="DY15" s="19">
        <f>SQRT(Parameters!$B$5)*Factors!DY4+SQRT(Parameters!$B$6)*Factors!DY5+SQRT(Parameters!$B$7)*Factors!DY10+SQRT(Parameters!$B$9)*NORM.S.INV(RAND())</f>
        <v/>
      </c>
      <c r="DZ15" s="19">
        <f>SQRT(Parameters!$B$5)*Factors!DZ4+SQRT(Parameters!$B$6)*Factors!DZ5+SQRT(Parameters!$B$7)*Factors!DZ10+SQRT(Parameters!$B$9)*NORM.S.INV(RAND())</f>
        <v/>
      </c>
      <c r="EA15" s="19">
        <f>SQRT(Parameters!$B$5)*Factors!EA4+SQRT(Parameters!$B$6)*Factors!EA5+SQRT(Parameters!$B$7)*Factors!EA10+SQRT(Parameters!$B$9)*NORM.S.INV(RAND())</f>
        <v/>
      </c>
      <c r="EB15" s="19">
        <f>SQRT(Parameters!$B$5)*Factors!EB4+SQRT(Parameters!$B$6)*Factors!EB5+SQRT(Parameters!$B$7)*Factors!EB10+SQRT(Parameters!$B$9)*NORM.S.INV(RAND())</f>
        <v/>
      </c>
      <c r="EC15" s="19">
        <f>SQRT(Parameters!$B$5)*Factors!EC4+SQRT(Parameters!$B$6)*Factors!EC5+SQRT(Parameters!$B$7)*Factors!EC10+SQRT(Parameters!$B$9)*NORM.S.INV(RAND())</f>
        <v/>
      </c>
      <c r="ED15" s="19">
        <f>SQRT(Parameters!$B$5)*Factors!ED4+SQRT(Parameters!$B$6)*Factors!ED5+SQRT(Parameters!$B$7)*Factors!ED10+SQRT(Parameters!$B$9)*NORM.S.INV(RAND())</f>
        <v/>
      </c>
      <c r="EE15" s="19">
        <f>SQRT(Parameters!$B$5)*Factors!EE4+SQRT(Parameters!$B$6)*Factors!EE5+SQRT(Parameters!$B$7)*Factors!EE10+SQRT(Parameters!$B$9)*NORM.S.INV(RAND())</f>
        <v/>
      </c>
      <c r="EF15" s="19">
        <f>SQRT(Parameters!$B$5)*Factors!EF4+SQRT(Parameters!$B$6)*Factors!EF5+SQRT(Parameters!$B$7)*Factors!EF10+SQRT(Parameters!$B$9)*NORM.S.INV(RAND())</f>
        <v/>
      </c>
      <c r="EG15" s="19">
        <f>SQRT(Parameters!$B$5)*Factors!EG4+SQRT(Parameters!$B$6)*Factors!EG5+SQRT(Parameters!$B$7)*Factors!EG10+SQRT(Parameters!$B$9)*NORM.S.INV(RAND())</f>
        <v/>
      </c>
      <c r="EH15" s="19">
        <f>SQRT(Parameters!$B$5)*Factors!EH4+SQRT(Parameters!$B$6)*Factors!EH5+SQRT(Parameters!$B$7)*Factors!EH10+SQRT(Parameters!$B$9)*NORM.S.INV(RAND())</f>
        <v/>
      </c>
      <c r="EI15" s="19">
        <f>SQRT(Parameters!$B$5)*Factors!EI4+SQRT(Parameters!$B$6)*Factors!EI5+SQRT(Parameters!$B$7)*Factors!EI10+SQRT(Parameters!$B$9)*NORM.S.INV(RAND())</f>
        <v/>
      </c>
      <c r="EJ15" s="19">
        <f>SQRT(Parameters!$B$5)*Factors!EJ4+SQRT(Parameters!$B$6)*Factors!EJ5+SQRT(Parameters!$B$7)*Factors!EJ10+SQRT(Parameters!$B$9)*NORM.S.INV(RAND())</f>
        <v/>
      </c>
      <c r="EK15" s="19">
        <f>SQRT(Parameters!$B$5)*Factors!EK4+SQRT(Parameters!$B$6)*Factors!EK5+SQRT(Parameters!$B$7)*Factors!EK10+SQRT(Parameters!$B$9)*NORM.S.INV(RAND())</f>
        <v/>
      </c>
      <c r="EL15" s="19">
        <f>SQRT(Parameters!$B$5)*Factors!EL4+SQRT(Parameters!$B$6)*Factors!EL5+SQRT(Parameters!$B$7)*Factors!EL10+SQRT(Parameters!$B$9)*NORM.S.INV(RAND())</f>
        <v/>
      </c>
      <c r="EM15" s="19">
        <f>SQRT(Parameters!$B$5)*Factors!EM4+SQRT(Parameters!$B$6)*Factors!EM5+SQRT(Parameters!$B$7)*Factors!EM10+SQRT(Parameters!$B$9)*NORM.S.INV(RAND())</f>
        <v/>
      </c>
      <c r="EN15" s="19">
        <f>SQRT(Parameters!$B$5)*Factors!EN4+SQRT(Parameters!$B$6)*Factors!EN5+SQRT(Parameters!$B$7)*Factors!EN10+SQRT(Parameters!$B$9)*NORM.S.INV(RAND())</f>
        <v/>
      </c>
      <c r="EO15" s="19">
        <f>SQRT(Parameters!$B$5)*Factors!EO4+SQRT(Parameters!$B$6)*Factors!EO5+SQRT(Parameters!$B$7)*Factors!EO10+SQRT(Parameters!$B$9)*NORM.S.INV(RAND())</f>
        <v/>
      </c>
      <c r="EP15" s="19">
        <f>SQRT(Parameters!$B$5)*Factors!EP4+SQRT(Parameters!$B$6)*Factors!EP5+SQRT(Parameters!$B$7)*Factors!EP10+SQRT(Parameters!$B$9)*NORM.S.INV(RAND())</f>
        <v/>
      </c>
      <c r="EQ15" s="19">
        <f>SQRT(Parameters!$B$5)*Factors!EQ4+SQRT(Parameters!$B$6)*Factors!EQ5+SQRT(Parameters!$B$7)*Factors!EQ10+SQRT(Parameters!$B$9)*NORM.S.INV(RAND())</f>
        <v/>
      </c>
      <c r="ER15" s="19">
        <f>SQRT(Parameters!$B$5)*Factors!ER4+SQRT(Parameters!$B$6)*Factors!ER5+SQRT(Parameters!$B$7)*Factors!ER10+SQRT(Parameters!$B$9)*NORM.S.INV(RAND())</f>
        <v/>
      </c>
      <c r="ES15" s="19">
        <f>SQRT(Parameters!$B$5)*Factors!ES4+SQRT(Parameters!$B$6)*Factors!ES5+SQRT(Parameters!$B$7)*Factors!ES10+SQRT(Parameters!$B$9)*NORM.S.INV(RAND())</f>
        <v/>
      </c>
      <c r="ET15" s="19">
        <f>SQRT(Parameters!$B$5)*Factors!ET4+SQRT(Parameters!$B$6)*Factors!ET5+SQRT(Parameters!$B$7)*Factors!ET10+SQRT(Parameters!$B$9)*NORM.S.INV(RAND())</f>
        <v/>
      </c>
      <c r="EU15" s="19">
        <f>SQRT(Parameters!$B$5)*Factors!EU4+SQRT(Parameters!$B$6)*Factors!EU5+SQRT(Parameters!$B$7)*Factors!EU10+SQRT(Parameters!$B$9)*NORM.S.INV(RAND())</f>
        <v/>
      </c>
      <c r="EV15" s="19">
        <f>SQRT(Parameters!$B$5)*Factors!EV4+SQRT(Parameters!$B$6)*Factors!EV5+SQRT(Parameters!$B$7)*Factors!EV10+SQRT(Parameters!$B$9)*NORM.S.INV(RAND())</f>
        <v/>
      </c>
      <c r="EW15" s="19">
        <f>SQRT(Parameters!$B$5)*Factors!EW4+SQRT(Parameters!$B$6)*Factors!EW5+SQRT(Parameters!$B$7)*Factors!EW10+SQRT(Parameters!$B$9)*NORM.S.INV(RAND())</f>
        <v/>
      </c>
      <c r="EX15" s="19">
        <f>SQRT(Parameters!$B$5)*Factors!EX4+SQRT(Parameters!$B$6)*Factors!EX5+SQRT(Parameters!$B$7)*Factors!EX10+SQRT(Parameters!$B$9)*NORM.S.INV(RAND())</f>
        <v/>
      </c>
      <c r="EY15" s="19">
        <f>SQRT(Parameters!$B$5)*Factors!EY4+SQRT(Parameters!$B$6)*Factors!EY5+SQRT(Parameters!$B$7)*Factors!EY10+SQRT(Parameters!$B$9)*NORM.S.INV(RAND())</f>
        <v/>
      </c>
      <c r="EZ15" s="19">
        <f>SQRT(Parameters!$B$5)*Factors!EZ4+SQRT(Parameters!$B$6)*Factors!EZ5+SQRT(Parameters!$B$7)*Factors!EZ10+SQRT(Parameters!$B$9)*NORM.S.INV(RAND())</f>
        <v/>
      </c>
      <c r="FA15" s="19">
        <f>SQRT(Parameters!$B$5)*Factors!FA4+SQRT(Parameters!$B$6)*Factors!FA5+SQRT(Parameters!$B$7)*Factors!FA10+SQRT(Parameters!$B$9)*NORM.S.INV(RAND())</f>
        <v/>
      </c>
      <c r="FB15" s="19">
        <f>SQRT(Parameters!$B$5)*Factors!FB4+SQRT(Parameters!$B$6)*Factors!FB5+SQRT(Parameters!$B$7)*Factors!FB10+SQRT(Parameters!$B$9)*NORM.S.INV(RAND())</f>
        <v/>
      </c>
      <c r="FC15" s="19">
        <f>SQRT(Parameters!$B$5)*Factors!FC4+SQRT(Parameters!$B$6)*Factors!FC5+SQRT(Parameters!$B$7)*Factors!FC10+SQRT(Parameters!$B$9)*NORM.S.INV(RAND())</f>
        <v/>
      </c>
      <c r="FD15" s="19">
        <f>SQRT(Parameters!$B$5)*Factors!FD4+SQRT(Parameters!$B$6)*Factors!FD5+SQRT(Parameters!$B$7)*Factors!FD10+SQRT(Parameters!$B$9)*NORM.S.INV(RAND())</f>
        <v/>
      </c>
      <c r="FE15" s="19">
        <f>SQRT(Parameters!$B$5)*Factors!FE4+SQRT(Parameters!$B$6)*Factors!FE5+SQRT(Parameters!$B$7)*Factors!FE10+SQRT(Parameters!$B$9)*NORM.S.INV(RAND())</f>
        <v/>
      </c>
      <c r="FF15" s="19">
        <f>SQRT(Parameters!$B$5)*Factors!FF4+SQRT(Parameters!$B$6)*Factors!FF5+SQRT(Parameters!$B$7)*Factors!FF10+SQRT(Parameters!$B$9)*NORM.S.INV(RAND())</f>
        <v/>
      </c>
      <c r="FG15" s="19">
        <f>SQRT(Parameters!$B$5)*Factors!FG4+SQRT(Parameters!$B$6)*Factors!FG5+SQRT(Parameters!$B$7)*Factors!FG10+SQRT(Parameters!$B$9)*NORM.S.INV(RAND())</f>
        <v/>
      </c>
      <c r="FH15" s="19">
        <f>SQRT(Parameters!$B$5)*Factors!FH4+SQRT(Parameters!$B$6)*Factors!FH5+SQRT(Parameters!$B$7)*Factors!FH10+SQRT(Parameters!$B$9)*NORM.S.INV(RAND())</f>
        <v/>
      </c>
      <c r="FI15" s="19">
        <f>SQRT(Parameters!$B$5)*Factors!FI4+SQRT(Parameters!$B$6)*Factors!FI5+SQRT(Parameters!$B$7)*Factors!FI10+SQRT(Parameters!$B$9)*NORM.S.INV(RAND())</f>
        <v/>
      </c>
      <c r="FJ15" s="19">
        <f>SQRT(Parameters!$B$5)*Factors!FJ4+SQRT(Parameters!$B$6)*Factors!FJ5+SQRT(Parameters!$B$7)*Factors!FJ10+SQRT(Parameters!$B$9)*NORM.S.INV(RAND())</f>
        <v/>
      </c>
      <c r="FK15" s="19">
        <f>SQRT(Parameters!$B$5)*Factors!FK4+SQRT(Parameters!$B$6)*Factors!FK5+SQRT(Parameters!$B$7)*Factors!FK10+SQRT(Parameters!$B$9)*NORM.S.INV(RAND())</f>
        <v/>
      </c>
      <c r="FL15" s="19">
        <f>SQRT(Parameters!$B$5)*Factors!FL4+SQRT(Parameters!$B$6)*Factors!FL5+SQRT(Parameters!$B$7)*Factors!FL10+SQRT(Parameters!$B$9)*NORM.S.INV(RAND())</f>
        <v/>
      </c>
      <c r="FM15" s="19">
        <f>SQRT(Parameters!$B$5)*Factors!FM4+SQRT(Parameters!$B$6)*Factors!FM5+SQRT(Parameters!$B$7)*Factors!FM10+SQRT(Parameters!$B$9)*NORM.S.INV(RAND())</f>
        <v/>
      </c>
      <c r="FN15" s="19">
        <f>SQRT(Parameters!$B$5)*Factors!FN4+SQRT(Parameters!$B$6)*Factors!FN5+SQRT(Parameters!$B$7)*Factors!FN10+SQRT(Parameters!$B$9)*NORM.S.INV(RAND())</f>
        <v/>
      </c>
      <c r="FO15" s="19">
        <f>SQRT(Parameters!$B$5)*Factors!FO4+SQRT(Parameters!$B$6)*Factors!FO5+SQRT(Parameters!$B$7)*Factors!FO10+SQRT(Parameters!$B$9)*NORM.S.INV(RAND())</f>
        <v/>
      </c>
      <c r="FP15" s="19">
        <f>SQRT(Parameters!$B$5)*Factors!FP4+SQRT(Parameters!$B$6)*Factors!FP5+SQRT(Parameters!$B$7)*Factors!FP10+SQRT(Parameters!$B$9)*NORM.S.INV(RAND())</f>
        <v/>
      </c>
      <c r="FQ15" s="19">
        <f>SQRT(Parameters!$B$5)*Factors!FQ4+SQRT(Parameters!$B$6)*Factors!FQ5+SQRT(Parameters!$B$7)*Factors!FQ10+SQRT(Parameters!$B$9)*NORM.S.INV(RAND())</f>
        <v/>
      </c>
      <c r="FR15" s="19">
        <f>SQRT(Parameters!$B$5)*Factors!FR4+SQRT(Parameters!$B$6)*Factors!FR5+SQRT(Parameters!$B$7)*Factors!FR10+SQRT(Parameters!$B$9)*NORM.S.INV(RAND())</f>
        <v/>
      </c>
      <c r="FS15" s="19">
        <f>SQRT(Parameters!$B$5)*Factors!FS4+SQRT(Parameters!$B$6)*Factors!FS5+SQRT(Parameters!$B$7)*Factors!FS10+SQRT(Parameters!$B$9)*NORM.S.INV(RAND())</f>
        <v/>
      </c>
      <c r="FT15" s="19">
        <f>SQRT(Parameters!$B$5)*Factors!FT4+SQRT(Parameters!$B$6)*Factors!FT5+SQRT(Parameters!$B$7)*Factors!FT10+SQRT(Parameters!$B$9)*NORM.S.INV(RAND())</f>
        <v/>
      </c>
      <c r="FU15" s="19">
        <f>SQRT(Parameters!$B$5)*Factors!FU4+SQRT(Parameters!$B$6)*Factors!FU5+SQRT(Parameters!$B$7)*Factors!FU10+SQRT(Parameters!$B$9)*NORM.S.INV(RAND())</f>
        <v/>
      </c>
      <c r="FV15" s="19">
        <f>SQRT(Parameters!$B$5)*Factors!FV4+SQRT(Parameters!$B$6)*Factors!FV5+SQRT(Parameters!$B$7)*Factors!FV10+SQRT(Parameters!$B$9)*NORM.S.INV(RAND())</f>
        <v/>
      </c>
      <c r="FW15" s="19">
        <f>SQRT(Parameters!$B$5)*Factors!FW4+SQRT(Parameters!$B$6)*Factors!FW5+SQRT(Parameters!$B$7)*Factors!FW10+SQRT(Parameters!$B$9)*NORM.S.INV(RAND())</f>
        <v/>
      </c>
      <c r="FX15" s="19">
        <f>SQRT(Parameters!$B$5)*Factors!FX4+SQRT(Parameters!$B$6)*Factors!FX5+SQRT(Parameters!$B$7)*Factors!FX10+SQRT(Parameters!$B$9)*NORM.S.INV(RAND())</f>
        <v/>
      </c>
      <c r="FY15" s="19">
        <f>SQRT(Parameters!$B$5)*Factors!FY4+SQRT(Parameters!$B$6)*Factors!FY5+SQRT(Parameters!$B$7)*Factors!FY10+SQRT(Parameters!$B$9)*NORM.S.INV(RAND())</f>
        <v/>
      </c>
      <c r="FZ15" s="19">
        <f>SQRT(Parameters!$B$5)*Factors!FZ4+SQRT(Parameters!$B$6)*Factors!FZ5+SQRT(Parameters!$B$7)*Factors!FZ10+SQRT(Parameters!$B$9)*NORM.S.INV(RAND())</f>
        <v/>
      </c>
      <c r="GA15" s="19">
        <f>SQRT(Parameters!$B$5)*Factors!GA4+SQRT(Parameters!$B$6)*Factors!GA5+SQRT(Parameters!$B$7)*Factors!GA10+SQRT(Parameters!$B$9)*NORM.S.INV(RAND())</f>
        <v/>
      </c>
      <c r="GB15" s="19">
        <f>SQRT(Parameters!$B$5)*Factors!GB4+SQRT(Parameters!$B$6)*Factors!GB5+SQRT(Parameters!$B$7)*Factors!GB10+SQRT(Parameters!$B$9)*NORM.S.INV(RAND())</f>
        <v/>
      </c>
      <c r="GC15" s="19">
        <f>SQRT(Parameters!$B$5)*Factors!GC4+SQRT(Parameters!$B$6)*Factors!GC5+SQRT(Parameters!$B$7)*Factors!GC10+SQRT(Parameters!$B$9)*NORM.S.INV(RAND())</f>
        <v/>
      </c>
      <c r="GD15" s="19">
        <f>SQRT(Parameters!$B$5)*Factors!GD4+SQRT(Parameters!$B$6)*Factors!GD5+SQRT(Parameters!$B$7)*Factors!GD10+SQRT(Parameters!$B$9)*NORM.S.INV(RAND())</f>
        <v/>
      </c>
      <c r="GE15" s="19">
        <f>SQRT(Parameters!$B$5)*Factors!GE4+SQRT(Parameters!$B$6)*Factors!GE5+SQRT(Parameters!$B$7)*Factors!GE10+SQRT(Parameters!$B$9)*NORM.S.INV(RAND())</f>
        <v/>
      </c>
      <c r="GF15" s="19">
        <f>SQRT(Parameters!$B$5)*Factors!GF4+SQRT(Parameters!$B$6)*Factors!GF5+SQRT(Parameters!$B$7)*Factors!GF10+SQRT(Parameters!$B$9)*NORM.S.INV(RAND())</f>
        <v/>
      </c>
      <c r="GG15" s="19">
        <f>SQRT(Parameters!$B$5)*Factors!GG4+SQRT(Parameters!$B$6)*Factors!GG5+SQRT(Parameters!$B$7)*Factors!GG10+SQRT(Parameters!$B$9)*NORM.S.INV(RAND())</f>
        <v/>
      </c>
      <c r="GH15" s="19">
        <f>SQRT(Parameters!$B$5)*Factors!GH4+SQRT(Parameters!$B$6)*Factors!GH5+SQRT(Parameters!$B$7)*Factors!GH10+SQRT(Parameters!$B$9)*NORM.S.INV(RAND())</f>
        <v/>
      </c>
      <c r="GI15" s="19">
        <f>SQRT(Parameters!$B$5)*Factors!GI4+SQRT(Parameters!$B$6)*Factors!GI5+SQRT(Parameters!$B$7)*Factors!GI10+SQRT(Parameters!$B$9)*NORM.S.INV(RAND())</f>
        <v/>
      </c>
      <c r="GJ15" s="19">
        <f>SQRT(Parameters!$B$5)*Factors!GJ4+SQRT(Parameters!$B$6)*Factors!GJ5+SQRT(Parameters!$B$7)*Factors!GJ10+SQRT(Parameters!$B$9)*NORM.S.INV(RAND())</f>
        <v/>
      </c>
      <c r="GK15" s="19">
        <f>SQRT(Parameters!$B$5)*Factors!GK4+SQRT(Parameters!$B$6)*Factors!GK5+SQRT(Parameters!$B$7)*Factors!GK10+SQRT(Parameters!$B$9)*NORM.S.INV(RAND())</f>
        <v/>
      </c>
      <c r="GL15" s="19">
        <f>SQRT(Parameters!$B$5)*Factors!GL4+SQRT(Parameters!$B$6)*Factors!GL5+SQRT(Parameters!$B$7)*Factors!GL10+SQRT(Parameters!$B$9)*NORM.S.INV(RAND())</f>
        <v/>
      </c>
      <c r="GM15" s="19">
        <f>SQRT(Parameters!$B$5)*Factors!GM4+SQRT(Parameters!$B$6)*Factors!GM5+SQRT(Parameters!$B$7)*Factors!GM10+SQRT(Parameters!$B$9)*NORM.S.INV(RAND())</f>
        <v/>
      </c>
      <c r="GN15" s="19">
        <f>SQRT(Parameters!$B$5)*Factors!GN4+SQRT(Parameters!$B$6)*Factors!GN5+SQRT(Parameters!$B$7)*Factors!GN10+SQRT(Parameters!$B$9)*NORM.S.INV(RAND())</f>
        <v/>
      </c>
      <c r="GO15" s="19">
        <f>SQRT(Parameters!$B$5)*Factors!GO4+SQRT(Parameters!$B$6)*Factors!GO5+SQRT(Parameters!$B$7)*Factors!GO10+SQRT(Parameters!$B$9)*NORM.S.INV(RAND())</f>
        <v/>
      </c>
      <c r="GP15" s="19">
        <f>SQRT(Parameters!$B$5)*Factors!GP4+SQRT(Parameters!$B$6)*Factors!GP5+SQRT(Parameters!$B$7)*Factors!GP10+SQRT(Parameters!$B$9)*NORM.S.INV(RAND())</f>
        <v/>
      </c>
      <c r="GQ15" s="19">
        <f>SQRT(Parameters!$B$5)*Factors!GQ4+SQRT(Parameters!$B$6)*Factors!GQ5+SQRT(Parameters!$B$7)*Factors!GQ10+SQRT(Parameters!$B$9)*NORM.S.INV(RAND())</f>
        <v/>
      </c>
      <c r="GR15" s="19">
        <f>SQRT(Parameters!$B$5)*Factors!GR4+SQRT(Parameters!$B$6)*Factors!GR5+SQRT(Parameters!$B$7)*Factors!GR10+SQRT(Parameters!$B$9)*NORM.S.INV(RAND())</f>
        <v/>
      </c>
      <c r="GS15" s="19">
        <f>SQRT(Parameters!$B$5)*Factors!GS4+SQRT(Parameters!$B$6)*Factors!GS5+SQRT(Parameters!$B$7)*Factors!GS10+SQRT(Parameters!$B$9)*NORM.S.INV(RAND())</f>
        <v/>
      </c>
      <c r="GT15" s="19">
        <f>SQRT(Parameters!$B$5)*Factors!GT4+SQRT(Parameters!$B$6)*Factors!GT5+SQRT(Parameters!$B$7)*Factors!GT10+SQRT(Parameters!$B$9)*NORM.S.INV(RAND())</f>
        <v/>
      </c>
      <c r="GU15" s="19">
        <f>SQRT(Parameters!$B$5)*Factors!GU4+SQRT(Parameters!$B$6)*Factors!GU5+SQRT(Parameters!$B$7)*Factors!GU10+SQRT(Parameters!$B$9)*NORM.S.INV(RAND())</f>
        <v/>
      </c>
      <c r="GV15" s="19">
        <f>SQRT(Parameters!$B$5)*Factors!GV4+SQRT(Parameters!$B$6)*Factors!GV5+SQRT(Parameters!$B$7)*Factors!GV10+SQRT(Parameters!$B$9)*NORM.S.INV(RAND())</f>
        <v/>
      </c>
      <c r="GW15" s="19">
        <f>SQRT(Parameters!$B$5)*Factors!GW4+SQRT(Parameters!$B$6)*Factors!GW5+SQRT(Parameters!$B$7)*Factors!GW10+SQRT(Parameters!$B$9)*NORM.S.INV(RAND())</f>
        <v/>
      </c>
      <c r="GX15" s="19">
        <f>SQRT(Parameters!$B$5)*Factors!GX4+SQRT(Parameters!$B$6)*Factors!GX5+SQRT(Parameters!$B$7)*Factors!GX10+SQRT(Parameters!$B$9)*NORM.S.INV(RAND())</f>
        <v/>
      </c>
      <c r="GY15" s="19">
        <f>SQRT(Parameters!$B$5)*Factors!GY4+SQRT(Parameters!$B$6)*Factors!GY5+SQRT(Parameters!$B$7)*Factors!GY10+SQRT(Parameters!$B$9)*NORM.S.INV(RAND())</f>
        <v/>
      </c>
      <c r="GZ15" s="19">
        <f>SQRT(Parameters!$B$5)*Factors!GZ4+SQRT(Parameters!$B$6)*Factors!GZ5+SQRT(Parameters!$B$7)*Factors!GZ10+SQRT(Parameters!$B$9)*NORM.S.INV(RAND())</f>
        <v/>
      </c>
      <c r="HA15" s="19">
        <f>SQRT(Parameters!$B$5)*Factors!HA4+SQRT(Parameters!$B$6)*Factors!HA5+SQRT(Parameters!$B$7)*Factors!HA10+SQRT(Parameters!$B$9)*NORM.S.INV(RAND())</f>
        <v/>
      </c>
      <c r="HB15" s="19">
        <f>SQRT(Parameters!$B$5)*Factors!HB4+SQRT(Parameters!$B$6)*Factors!HB5+SQRT(Parameters!$B$7)*Factors!HB10+SQRT(Parameters!$B$9)*NORM.S.INV(RAND())</f>
        <v/>
      </c>
      <c r="HC15" s="19">
        <f>SQRT(Parameters!$B$5)*Factors!HC4+SQRT(Parameters!$B$6)*Factors!HC5+SQRT(Parameters!$B$7)*Factors!HC10+SQRT(Parameters!$B$9)*NORM.S.INV(RAND())</f>
        <v/>
      </c>
      <c r="HD15" s="19">
        <f>SQRT(Parameters!$B$5)*Factors!HD4+SQRT(Parameters!$B$6)*Factors!HD5+SQRT(Parameters!$B$7)*Factors!HD10+SQRT(Parameters!$B$9)*NORM.S.INV(RAND())</f>
        <v/>
      </c>
      <c r="HE15" s="19">
        <f>SQRT(Parameters!$B$5)*Factors!HE4+SQRT(Parameters!$B$6)*Factors!HE5+SQRT(Parameters!$B$7)*Factors!HE10+SQRT(Parameters!$B$9)*NORM.S.INV(RAND())</f>
        <v/>
      </c>
      <c r="HF15" s="19">
        <f>SQRT(Parameters!$B$5)*Factors!HF4+SQRT(Parameters!$B$6)*Factors!HF5+SQRT(Parameters!$B$7)*Factors!HF10+SQRT(Parameters!$B$9)*NORM.S.INV(RAND())</f>
        <v/>
      </c>
      <c r="HG15" s="19">
        <f>SQRT(Parameters!$B$5)*Factors!HG4+SQRT(Parameters!$B$6)*Factors!HG5+SQRT(Parameters!$B$7)*Factors!HG10+SQRT(Parameters!$B$9)*NORM.S.INV(RAND())</f>
        <v/>
      </c>
      <c r="HH15" s="19">
        <f>SQRT(Parameters!$B$5)*Factors!HH4+SQRT(Parameters!$B$6)*Factors!HH5+SQRT(Parameters!$B$7)*Factors!HH10+SQRT(Parameters!$B$9)*NORM.S.INV(RAND())</f>
        <v/>
      </c>
      <c r="HI15" s="19">
        <f>SQRT(Parameters!$B$5)*Factors!HI4+SQRT(Parameters!$B$6)*Factors!HI5+SQRT(Parameters!$B$7)*Factors!HI10+SQRT(Parameters!$B$9)*NORM.S.INV(RAND())</f>
        <v/>
      </c>
      <c r="HJ15" s="19">
        <f>SQRT(Parameters!$B$5)*Factors!HJ4+SQRT(Parameters!$B$6)*Factors!HJ5+SQRT(Parameters!$B$7)*Factors!HJ10+SQRT(Parameters!$B$9)*NORM.S.INV(RAND())</f>
        <v/>
      </c>
      <c r="HK15" s="19">
        <f>SQRT(Parameters!$B$5)*Factors!HK4+SQRT(Parameters!$B$6)*Factors!HK5+SQRT(Parameters!$B$7)*Factors!HK10+SQRT(Parameters!$B$9)*NORM.S.INV(RAND())</f>
        <v/>
      </c>
      <c r="HL15" s="19">
        <f>SQRT(Parameters!$B$5)*Factors!HL4+SQRT(Parameters!$B$6)*Factors!HL5+SQRT(Parameters!$B$7)*Factors!HL10+SQRT(Parameters!$B$9)*NORM.S.INV(RAND())</f>
        <v/>
      </c>
      <c r="HM15" s="19">
        <f>SQRT(Parameters!$B$5)*Factors!HM4+SQRT(Parameters!$B$6)*Factors!HM5+SQRT(Parameters!$B$7)*Factors!HM10+SQRT(Parameters!$B$9)*NORM.S.INV(RAND())</f>
        <v/>
      </c>
      <c r="HN15" s="19">
        <f>SQRT(Parameters!$B$5)*Factors!HN4+SQRT(Parameters!$B$6)*Factors!HN5+SQRT(Parameters!$B$7)*Factors!HN10+SQRT(Parameters!$B$9)*NORM.S.INV(RAND())</f>
        <v/>
      </c>
      <c r="HO15" s="19">
        <f>SQRT(Parameters!$B$5)*Factors!HO4+SQRT(Parameters!$B$6)*Factors!HO5+SQRT(Parameters!$B$7)*Factors!HO10+SQRT(Parameters!$B$9)*NORM.S.INV(RAND())</f>
        <v/>
      </c>
      <c r="HP15" s="19">
        <f>SQRT(Parameters!$B$5)*Factors!HP4+SQRT(Parameters!$B$6)*Factors!HP5+SQRT(Parameters!$B$7)*Factors!HP10+SQRT(Parameters!$B$9)*NORM.S.INV(RAND())</f>
        <v/>
      </c>
      <c r="HQ15" s="19">
        <f>SQRT(Parameters!$B$5)*Factors!HQ4+SQRT(Parameters!$B$6)*Factors!HQ5+SQRT(Parameters!$B$7)*Factors!HQ10+SQRT(Parameters!$B$9)*NORM.S.INV(RAND())</f>
        <v/>
      </c>
      <c r="HR15" s="19">
        <f>SQRT(Parameters!$B$5)*Factors!HR4+SQRT(Parameters!$B$6)*Factors!HR5+SQRT(Parameters!$B$7)*Factors!HR10+SQRT(Parameters!$B$9)*NORM.S.INV(RAND())</f>
        <v/>
      </c>
      <c r="HS15" s="19">
        <f>SQRT(Parameters!$B$5)*Factors!HS4+SQRT(Parameters!$B$6)*Factors!HS5+SQRT(Parameters!$B$7)*Factors!HS10+SQRT(Parameters!$B$9)*NORM.S.INV(RAND())</f>
        <v/>
      </c>
      <c r="HT15" s="19">
        <f>SQRT(Parameters!$B$5)*Factors!HT4+SQRT(Parameters!$B$6)*Factors!HT5+SQRT(Parameters!$B$7)*Factors!HT10+SQRT(Parameters!$B$9)*NORM.S.INV(RAND())</f>
        <v/>
      </c>
      <c r="HU15" s="19">
        <f>SQRT(Parameters!$B$5)*Factors!HU4+SQRT(Parameters!$B$6)*Factors!HU5+SQRT(Parameters!$B$7)*Factors!HU10+SQRT(Parameters!$B$9)*NORM.S.INV(RAND())</f>
        <v/>
      </c>
      <c r="HV15" s="19">
        <f>SQRT(Parameters!$B$5)*Factors!HV4+SQRT(Parameters!$B$6)*Factors!HV5+SQRT(Parameters!$B$7)*Factors!HV10+SQRT(Parameters!$B$9)*NORM.S.INV(RAND())</f>
        <v/>
      </c>
      <c r="HW15" s="19">
        <f>SQRT(Parameters!$B$5)*Factors!HW4+SQRT(Parameters!$B$6)*Factors!HW5+SQRT(Parameters!$B$7)*Factors!HW10+SQRT(Parameters!$B$9)*NORM.S.INV(RAND())</f>
        <v/>
      </c>
      <c r="HX15" s="19">
        <f>SQRT(Parameters!$B$5)*Factors!HX4+SQRT(Parameters!$B$6)*Factors!HX5+SQRT(Parameters!$B$7)*Factors!HX10+SQRT(Parameters!$B$9)*NORM.S.INV(RAND())</f>
        <v/>
      </c>
      <c r="HY15" s="19">
        <f>SQRT(Parameters!$B$5)*Factors!HY4+SQRT(Parameters!$B$6)*Factors!HY5+SQRT(Parameters!$B$7)*Factors!HY10+SQRT(Parameters!$B$9)*NORM.S.INV(RAND())</f>
        <v/>
      </c>
      <c r="HZ15" s="19">
        <f>SQRT(Parameters!$B$5)*Factors!HZ4+SQRT(Parameters!$B$6)*Factors!HZ5+SQRT(Parameters!$B$7)*Factors!HZ10+SQRT(Parameters!$B$9)*NORM.S.INV(RAND())</f>
        <v/>
      </c>
      <c r="IA15" s="19">
        <f>SQRT(Parameters!$B$5)*Factors!IA4+SQRT(Parameters!$B$6)*Factors!IA5+SQRT(Parameters!$B$7)*Factors!IA10+SQRT(Parameters!$B$9)*NORM.S.INV(RAND())</f>
        <v/>
      </c>
      <c r="IB15" s="19">
        <f>SQRT(Parameters!$B$5)*Factors!IB4+SQRT(Parameters!$B$6)*Factors!IB5+SQRT(Parameters!$B$7)*Factors!IB10+SQRT(Parameters!$B$9)*NORM.S.INV(RAND())</f>
        <v/>
      </c>
      <c r="IC15" s="19">
        <f>SQRT(Parameters!$B$5)*Factors!IC4+SQRT(Parameters!$B$6)*Factors!IC5+SQRT(Parameters!$B$7)*Factors!IC10+SQRT(Parameters!$B$9)*NORM.S.INV(RAND())</f>
        <v/>
      </c>
      <c r="ID15" s="19">
        <f>SQRT(Parameters!$B$5)*Factors!ID4+SQRT(Parameters!$B$6)*Factors!ID5+SQRT(Parameters!$B$7)*Factors!ID10+SQRT(Parameters!$B$9)*NORM.S.INV(RAND())</f>
        <v/>
      </c>
      <c r="IE15" s="19">
        <f>SQRT(Parameters!$B$5)*Factors!IE4+SQRT(Parameters!$B$6)*Factors!IE5+SQRT(Parameters!$B$7)*Factors!IE10+SQRT(Parameters!$B$9)*NORM.S.INV(RAND())</f>
        <v/>
      </c>
      <c r="IF15" s="19">
        <f>SQRT(Parameters!$B$5)*Factors!IF4+SQRT(Parameters!$B$6)*Factors!IF5+SQRT(Parameters!$B$7)*Factors!IF10+SQRT(Parameters!$B$9)*NORM.S.INV(RAND())</f>
        <v/>
      </c>
      <c r="IG15" s="19">
        <f>SQRT(Parameters!$B$5)*Factors!IG4+SQRT(Parameters!$B$6)*Factors!IG5+SQRT(Parameters!$B$7)*Factors!IG10+SQRT(Parameters!$B$9)*NORM.S.INV(RAND())</f>
        <v/>
      </c>
      <c r="IH15" s="19">
        <f>SQRT(Parameters!$B$5)*Factors!IH4+SQRT(Parameters!$B$6)*Factors!IH5+SQRT(Parameters!$B$7)*Factors!IH10+SQRT(Parameters!$B$9)*NORM.S.INV(RAND())</f>
        <v/>
      </c>
      <c r="II15" s="19">
        <f>SQRT(Parameters!$B$5)*Factors!II4+SQRT(Parameters!$B$6)*Factors!II5+SQRT(Parameters!$B$7)*Factors!II10+SQRT(Parameters!$B$9)*NORM.S.INV(RAND())</f>
        <v/>
      </c>
      <c r="IJ15" s="19">
        <f>SQRT(Parameters!$B$5)*Factors!IJ4+SQRT(Parameters!$B$6)*Factors!IJ5+SQRT(Parameters!$B$7)*Factors!IJ10+SQRT(Parameters!$B$9)*NORM.S.INV(RAND())</f>
        <v/>
      </c>
      <c r="IK15" s="19">
        <f>SQRT(Parameters!$B$5)*Factors!IK4+SQRT(Parameters!$B$6)*Factors!IK5+SQRT(Parameters!$B$7)*Factors!IK10+SQRT(Parameters!$B$9)*NORM.S.INV(RAND())</f>
        <v/>
      </c>
      <c r="IL15" s="19">
        <f>SQRT(Parameters!$B$5)*Factors!IL4+SQRT(Parameters!$B$6)*Factors!IL5+SQRT(Parameters!$B$7)*Factors!IL10+SQRT(Parameters!$B$9)*NORM.S.INV(RAND())</f>
        <v/>
      </c>
      <c r="IM15" s="19">
        <f>SQRT(Parameters!$B$5)*Factors!IM4+SQRT(Parameters!$B$6)*Factors!IM5+SQRT(Parameters!$B$7)*Factors!IM10+SQRT(Parameters!$B$9)*NORM.S.INV(RAND())</f>
        <v/>
      </c>
      <c r="IN15" s="19">
        <f>SQRT(Parameters!$B$5)*Factors!IN4+SQRT(Parameters!$B$6)*Factors!IN5+SQRT(Parameters!$B$7)*Factors!IN10+SQRT(Parameters!$B$9)*NORM.S.INV(RAND())</f>
        <v/>
      </c>
      <c r="IO15" s="19">
        <f>SQRT(Parameters!$B$5)*Factors!IO4+SQRT(Parameters!$B$6)*Factors!IO5+SQRT(Parameters!$B$7)*Factors!IO10+SQRT(Parameters!$B$9)*NORM.S.INV(RAND())</f>
        <v/>
      </c>
      <c r="IP15" s="19">
        <f>SQRT(Parameters!$B$5)*Factors!IP4+SQRT(Parameters!$B$6)*Factors!IP5+SQRT(Parameters!$B$7)*Factors!IP10+SQRT(Parameters!$B$9)*NORM.S.INV(RAND())</f>
        <v/>
      </c>
      <c r="IQ15" s="19">
        <f>SQRT(Parameters!$B$5)*Factors!IQ4+SQRT(Parameters!$B$6)*Factors!IQ5+SQRT(Parameters!$B$7)*Factors!IQ10+SQRT(Parameters!$B$9)*NORM.S.INV(RAND())</f>
        <v/>
      </c>
      <c r="IR15" s="19">
        <f>SQRT(Parameters!$B$5)*Factors!IR4+SQRT(Parameters!$B$6)*Factors!IR5+SQRT(Parameters!$B$7)*Factors!IR10+SQRT(Parameters!$B$9)*NORM.S.INV(RAND())</f>
        <v/>
      </c>
      <c r="IS15" s="19">
        <f>SQRT(Parameters!$B$5)*Factors!IS4+SQRT(Parameters!$B$6)*Factors!IS5+SQRT(Parameters!$B$7)*Factors!IS10+SQRT(Parameters!$B$9)*NORM.S.INV(RAND())</f>
        <v/>
      </c>
      <c r="IT15" s="19">
        <f>SQRT(Parameters!$B$5)*Factors!IT4+SQRT(Parameters!$B$6)*Factors!IT5+SQRT(Parameters!$B$7)*Factors!IT10+SQRT(Parameters!$B$9)*NORM.S.INV(RAND())</f>
        <v/>
      </c>
      <c r="IU15" s="19">
        <f>SQRT(Parameters!$B$5)*Factors!IU4+SQRT(Parameters!$B$6)*Factors!IU5+SQRT(Parameters!$B$7)*Factors!IU10+SQRT(Parameters!$B$9)*NORM.S.INV(RAND())</f>
        <v/>
      </c>
      <c r="IV15" s="19">
        <f>SQRT(Parameters!$B$5)*Factors!IV4+SQRT(Parameters!$B$6)*Factors!IV5+SQRT(Parameters!$B$7)*Factors!IV10+SQRT(Parameters!$B$9)*NORM.S.INV(RAND())</f>
        <v/>
      </c>
      <c r="IW15" s="19">
        <f>SQRT(Parameters!$B$5)*Factors!IW4+SQRT(Parameters!$B$6)*Factors!IW5+SQRT(Parameters!$B$7)*Factors!IW10+SQRT(Parameters!$B$9)*NORM.S.INV(RAND())</f>
        <v/>
      </c>
      <c r="IX15" s="19">
        <f>SQRT(Parameters!$B$5)*Factors!IX4+SQRT(Parameters!$B$6)*Factors!IX5+SQRT(Parameters!$B$7)*Factors!IX10+SQRT(Parameters!$B$9)*NORM.S.INV(RAND())</f>
        <v/>
      </c>
      <c r="IY15" s="19">
        <f>SQRT(Parameters!$B$5)*Factors!IY4+SQRT(Parameters!$B$6)*Factors!IY5+SQRT(Parameters!$B$7)*Factors!IY10+SQRT(Parameters!$B$9)*NORM.S.INV(RAND())</f>
        <v/>
      </c>
      <c r="IZ15" s="19">
        <f>SQRT(Parameters!$B$5)*Factors!IZ4+SQRT(Parameters!$B$6)*Factors!IZ5+SQRT(Parameters!$B$7)*Factors!IZ10+SQRT(Parameters!$B$9)*NORM.S.INV(RAND())</f>
        <v/>
      </c>
      <c r="JA15" s="19">
        <f>SQRT(Parameters!$B$5)*Factors!JA4+SQRT(Parameters!$B$6)*Factors!JA5+SQRT(Parameters!$B$7)*Factors!JA10+SQRT(Parameters!$B$9)*NORM.S.INV(RAND())</f>
        <v/>
      </c>
      <c r="JB15" s="19">
        <f>SQRT(Parameters!$B$5)*Factors!JB4+SQRT(Parameters!$B$6)*Factors!JB5+SQRT(Parameters!$B$7)*Factors!JB10+SQRT(Parameters!$B$9)*NORM.S.INV(RAND())</f>
        <v/>
      </c>
      <c r="JC15" s="19">
        <f>SQRT(Parameters!$B$5)*Factors!JC4+SQRT(Parameters!$B$6)*Factors!JC5+SQRT(Parameters!$B$7)*Factors!JC10+SQRT(Parameters!$B$9)*NORM.S.INV(RAND())</f>
        <v/>
      </c>
      <c r="JD15" s="19">
        <f>SQRT(Parameters!$B$5)*Factors!JD4+SQRT(Parameters!$B$6)*Factors!JD5+SQRT(Parameters!$B$7)*Factors!JD10+SQRT(Parameters!$B$9)*NORM.S.INV(RAND())</f>
        <v/>
      </c>
      <c r="JE15" s="19">
        <f>SQRT(Parameters!$B$5)*Factors!JE4+SQRT(Parameters!$B$6)*Factors!JE5+SQRT(Parameters!$B$7)*Factors!JE10+SQRT(Parameters!$B$9)*NORM.S.INV(RAND())</f>
        <v/>
      </c>
      <c r="JF15" s="19">
        <f>SQRT(Parameters!$B$5)*Factors!JF4+SQRT(Parameters!$B$6)*Factors!JF5+SQRT(Parameters!$B$7)*Factors!JF10+SQRT(Parameters!$B$9)*NORM.S.INV(RAND())</f>
        <v/>
      </c>
      <c r="JG15" s="19">
        <f>SQRT(Parameters!$B$5)*Factors!JG4+SQRT(Parameters!$B$6)*Factors!JG5+SQRT(Parameters!$B$7)*Factors!JG10+SQRT(Parameters!$B$9)*NORM.S.INV(RAND())</f>
        <v/>
      </c>
      <c r="JH15" s="19">
        <f>SQRT(Parameters!$B$5)*Factors!JH4+SQRT(Parameters!$B$6)*Factors!JH5+SQRT(Parameters!$B$7)*Factors!JH10+SQRT(Parameters!$B$9)*NORM.S.INV(RAND())</f>
        <v/>
      </c>
      <c r="JI15" s="19">
        <f>SQRT(Parameters!$B$5)*Factors!JI4+SQRT(Parameters!$B$6)*Factors!JI5+SQRT(Parameters!$B$7)*Factors!JI10+SQRT(Parameters!$B$9)*NORM.S.INV(RAND())</f>
        <v/>
      </c>
      <c r="JJ15" s="19">
        <f>SQRT(Parameters!$B$5)*Factors!JJ4+SQRT(Parameters!$B$6)*Factors!JJ5+SQRT(Parameters!$B$7)*Factors!JJ10+SQRT(Parameters!$B$9)*NORM.S.INV(RAND())</f>
        <v/>
      </c>
      <c r="JK15" s="19">
        <f>SQRT(Parameters!$B$5)*Factors!JK4+SQRT(Parameters!$B$6)*Factors!JK5+SQRT(Parameters!$B$7)*Factors!JK10+SQRT(Parameters!$B$9)*NORM.S.INV(RAND())</f>
        <v/>
      </c>
      <c r="JL15" s="19">
        <f>SQRT(Parameters!$B$5)*Factors!JL4+SQRT(Parameters!$B$6)*Factors!JL5+SQRT(Parameters!$B$7)*Factors!JL10+SQRT(Parameters!$B$9)*NORM.S.INV(RAND())</f>
        <v/>
      </c>
      <c r="JM15" s="19">
        <f>SQRT(Parameters!$B$5)*Factors!JM4+SQRT(Parameters!$B$6)*Factors!JM5+SQRT(Parameters!$B$7)*Factors!JM10+SQRT(Parameters!$B$9)*NORM.S.INV(RAND())</f>
        <v/>
      </c>
      <c r="JN15" s="19">
        <f>SQRT(Parameters!$B$5)*Factors!JN4+SQRT(Parameters!$B$6)*Factors!JN5+SQRT(Parameters!$B$7)*Factors!JN10+SQRT(Parameters!$B$9)*NORM.S.INV(RAND())</f>
        <v/>
      </c>
      <c r="JO15" s="19">
        <f>SQRT(Parameters!$B$5)*Factors!JO4+SQRT(Parameters!$B$6)*Factors!JO5+SQRT(Parameters!$B$7)*Factors!JO10+SQRT(Parameters!$B$9)*NORM.S.INV(RAND())</f>
        <v/>
      </c>
      <c r="JP15" s="19">
        <f>SQRT(Parameters!$B$5)*Factors!JP4+SQRT(Parameters!$B$6)*Factors!JP5+SQRT(Parameters!$B$7)*Factors!JP10+SQRT(Parameters!$B$9)*NORM.S.INV(RAND())</f>
        <v/>
      </c>
      <c r="JQ15" s="19">
        <f>SQRT(Parameters!$B$5)*Factors!JQ4+SQRT(Parameters!$B$6)*Factors!JQ5+SQRT(Parameters!$B$7)*Factors!JQ10+SQRT(Parameters!$B$9)*NORM.S.INV(RAND())</f>
        <v/>
      </c>
      <c r="JR15" s="19">
        <f>SQRT(Parameters!$B$5)*Factors!JR4+SQRT(Parameters!$B$6)*Factors!JR5+SQRT(Parameters!$B$7)*Factors!JR10+SQRT(Parameters!$B$9)*NORM.S.INV(RAND())</f>
        <v/>
      </c>
      <c r="JS15" s="19">
        <f>SQRT(Parameters!$B$5)*Factors!JS4+SQRT(Parameters!$B$6)*Factors!JS5+SQRT(Parameters!$B$7)*Factors!JS10+SQRT(Parameters!$B$9)*NORM.S.INV(RAND())</f>
        <v/>
      </c>
      <c r="JT15" s="19">
        <f>SQRT(Parameters!$B$5)*Factors!JT4+SQRT(Parameters!$B$6)*Factors!JT5+SQRT(Parameters!$B$7)*Factors!JT10+SQRT(Parameters!$B$9)*NORM.S.INV(RAND())</f>
        <v/>
      </c>
      <c r="JU15" s="19">
        <f>SQRT(Parameters!$B$5)*Factors!JU4+SQRT(Parameters!$B$6)*Factors!JU5+SQRT(Parameters!$B$7)*Factors!JU10+SQRT(Parameters!$B$9)*NORM.S.INV(RAND())</f>
        <v/>
      </c>
      <c r="JV15" s="19">
        <f>SQRT(Parameters!$B$5)*Factors!JV4+SQRT(Parameters!$B$6)*Factors!JV5+SQRT(Parameters!$B$7)*Factors!JV10+SQRT(Parameters!$B$9)*NORM.S.INV(RAND())</f>
        <v/>
      </c>
      <c r="JW15" s="19">
        <f>SQRT(Parameters!$B$5)*Factors!JW4+SQRT(Parameters!$B$6)*Factors!JW5+SQRT(Parameters!$B$7)*Factors!JW10+SQRT(Parameters!$B$9)*NORM.S.INV(RAND())</f>
        <v/>
      </c>
      <c r="JX15" s="19">
        <f>SQRT(Parameters!$B$5)*Factors!JX4+SQRT(Parameters!$B$6)*Factors!JX5+SQRT(Parameters!$B$7)*Factors!JX10+SQRT(Parameters!$B$9)*NORM.S.INV(RAND())</f>
        <v/>
      </c>
      <c r="JY15" s="19">
        <f>SQRT(Parameters!$B$5)*Factors!JY4+SQRT(Parameters!$B$6)*Factors!JY5+SQRT(Parameters!$B$7)*Factors!JY10+SQRT(Parameters!$B$9)*NORM.S.INV(RAND())</f>
        <v/>
      </c>
      <c r="JZ15" s="19">
        <f>SQRT(Parameters!$B$5)*Factors!JZ4+SQRT(Parameters!$B$6)*Factors!JZ5+SQRT(Parameters!$B$7)*Factors!JZ10+SQRT(Parameters!$B$9)*NORM.S.INV(RAND())</f>
        <v/>
      </c>
      <c r="KA15" s="19">
        <f>SQRT(Parameters!$B$5)*Factors!KA4+SQRT(Parameters!$B$6)*Factors!KA5+SQRT(Parameters!$B$7)*Factors!KA10+SQRT(Parameters!$B$9)*NORM.S.INV(RAND())</f>
        <v/>
      </c>
      <c r="KB15" s="19">
        <f>SQRT(Parameters!$B$5)*Factors!KB4+SQRT(Parameters!$B$6)*Factors!KB5+SQRT(Parameters!$B$7)*Factors!KB10+SQRT(Parameters!$B$9)*NORM.S.INV(RAND())</f>
        <v/>
      </c>
      <c r="KC15" s="19">
        <f>SQRT(Parameters!$B$5)*Factors!KC4+SQRT(Parameters!$B$6)*Factors!KC5+SQRT(Parameters!$B$7)*Factors!KC10+SQRT(Parameters!$B$9)*NORM.S.INV(RAND())</f>
        <v/>
      </c>
      <c r="KD15" s="19">
        <f>SQRT(Parameters!$B$5)*Factors!KD4+SQRT(Parameters!$B$6)*Factors!KD5+SQRT(Parameters!$B$7)*Factors!KD10+SQRT(Parameters!$B$9)*NORM.S.INV(RAND())</f>
        <v/>
      </c>
      <c r="KE15" s="19">
        <f>SQRT(Parameters!$B$5)*Factors!KE4+SQRT(Parameters!$B$6)*Factors!KE5+SQRT(Parameters!$B$7)*Factors!KE10+SQRT(Parameters!$B$9)*NORM.S.INV(RAND())</f>
        <v/>
      </c>
      <c r="KF15" s="19">
        <f>SQRT(Parameters!$B$5)*Factors!KF4+SQRT(Parameters!$B$6)*Factors!KF5+SQRT(Parameters!$B$7)*Factors!KF10+SQRT(Parameters!$B$9)*NORM.S.INV(RAND())</f>
        <v/>
      </c>
      <c r="KG15" s="19">
        <f>SQRT(Parameters!$B$5)*Factors!KG4+SQRT(Parameters!$B$6)*Factors!KG5+SQRT(Parameters!$B$7)*Factors!KG10+SQRT(Parameters!$B$9)*NORM.S.INV(RAND())</f>
        <v/>
      </c>
      <c r="KH15" s="19">
        <f>SQRT(Parameters!$B$5)*Factors!KH4+SQRT(Parameters!$B$6)*Factors!KH5+SQRT(Parameters!$B$7)*Factors!KH10+SQRT(Parameters!$B$9)*NORM.S.INV(RAND())</f>
        <v/>
      </c>
      <c r="KI15" s="19">
        <f>SQRT(Parameters!$B$5)*Factors!KI4+SQRT(Parameters!$B$6)*Factors!KI5+SQRT(Parameters!$B$7)*Factors!KI10+SQRT(Parameters!$B$9)*NORM.S.INV(RAND())</f>
        <v/>
      </c>
      <c r="KJ15" s="19">
        <f>SQRT(Parameters!$B$5)*Factors!KJ4+SQRT(Parameters!$B$6)*Factors!KJ5+SQRT(Parameters!$B$7)*Factors!KJ10+SQRT(Parameters!$B$9)*NORM.S.INV(RAND())</f>
        <v/>
      </c>
      <c r="KK15" s="19">
        <f>SQRT(Parameters!$B$5)*Factors!KK4+SQRT(Parameters!$B$6)*Factors!KK5+SQRT(Parameters!$B$7)*Factors!KK10+SQRT(Parameters!$B$9)*NORM.S.INV(RAND())</f>
        <v/>
      </c>
      <c r="KL15" s="19">
        <f>SQRT(Parameters!$B$5)*Factors!KL4+SQRT(Parameters!$B$6)*Factors!KL5+SQRT(Parameters!$B$7)*Factors!KL10+SQRT(Parameters!$B$9)*NORM.S.INV(RAND())</f>
        <v/>
      </c>
      <c r="KM15" s="19">
        <f>SQRT(Parameters!$B$5)*Factors!KM4+SQRT(Parameters!$B$6)*Factors!KM5+SQRT(Parameters!$B$7)*Factors!KM10+SQRT(Parameters!$B$9)*NORM.S.INV(RAND())</f>
        <v/>
      </c>
      <c r="KN15" s="19">
        <f>SQRT(Parameters!$B$5)*Factors!KN4+SQRT(Parameters!$B$6)*Factors!KN5+SQRT(Parameters!$B$7)*Factors!KN10+SQRT(Parameters!$B$9)*NORM.S.INV(RAND())</f>
        <v/>
      </c>
      <c r="KO15" s="19">
        <f>SQRT(Parameters!$B$5)*Factors!KO4+SQRT(Parameters!$B$6)*Factors!KO5+SQRT(Parameters!$B$7)*Factors!KO10+SQRT(Parameters!$B$9)*NORM.S.INV(RAND())</f>
        <v/>
      </c>
      <c r="KP15" s="19">
        <f>SQRT(Parameters!$B$5)*Factors!KP4+SQRT(Parameters!$B$6)*Factors!KP5+SQRT(Parameters!$B$7)*Factors!KP10+SQRT(Parameters!$B$9)*NORM.S.INV(RAND())</f>
        <v/>
      </c>
      <c r="KQ15" s="19">
        <f>SQRT(Parameters!$B$5)*Factors!KQ4+SQRT(Parameters!$B$6)*Factors!KQ5+SQRT(Parameters!$B$7)*Factors!KQ10+SQRT(Parameters!$B$9)*NORM.S.INV(RAND())</f>
        <v/>
      </c>
      <c r="KR15" s="19">
        <f>SQRT(Parameters!$B$5)*Factors!KR4+SQRT(Parameters!$B$6)*Factors!KR5+SQRT(Parameters!$B$7)*Factors!KR10+SQRT(Parameters!$B$9)*NORM.S.INV(RAND())</f>
        <v/>
      </c>
      <c r="KS15" s="19">
        <f>SQRT(Parameters!$B$5)*Factors!KS4+SQRT(Parameters!$B$6)*Factors!KS5+SQRT(Parameters!$B$7)*Factors!KS10+SQRT(Parameters!$B$9)*NORM.S.INV(RAND())</f>
        <v/>
      </c>
      <c r="KT15" s="19">
        <f>SQRT(Parameters!$B$5)*Factors!KT4+SQRT(Parameters!$B$6)*Factors!KT5+SQRT(Parameters!$B$7)*Factors!KT10+SQRT(Parameters!$B$9)*NORM.S.INV(RAND())</f>
        <v/>
      </c>
      <c r="KU15" s="19">
        <f>SQRT(Parameters!$B$5)*Factors!KU4+SQRT(Parameters!$B$6)*Factors!KU5+SQRT(Parameters!$B$7)*Factors!KU10+SQRT(Parameters!$B$9)*NORM.S.INV(RAND())</f>
        <v/>
      </c>
      <c r="KV15" s="19">
        <f>SQRT(Parameters!$B$5)*Factors!KV4+SQRT(Parameters!$B$6)*Factors!KV5+SQRT(Parameters!$B$7)*Factors!KV10+SQRT(Parameters!$B$9)*NORM.S.INV(RAND())</f>
        <v/>
      </c>
      <c r="KW15" s="19">
        <f>SQRT(Parameters!$B$5)*Factors!KW4+SQRT(Parameters!$B$6)*Factors!KW5+SQRT(Parameters!$B$7)*Factors!KW10+SQRT(Parameters!$B$9)*NORM.S.INV(RAND())</f>
        <v/>
      </c>
      <c r="KX15" s="19">
        <f>SQRT(Parameters!$B$5)*Factors!KX4+SQRT(Parameters!$B$6)*Factors!KX5+SQRT(Parameters!$B$7)*Factors!KX10+SQRT(Parameters!$B$9)*NORM.S.INV(RAND())</f>
        <v/>
      </c>
      <c r="KY15" s="19">
        <f>SQRT(Parameters!$B$5)*Factors!KY4+SQRT(Parameters!$B$6)*Factors!KY5+SQRT(Parameters!$B$7)*Factors!KY10+SQRT(Parameters!$B$9)*NORM.S.INV(RAND())</f>
        <v/>
      </c>
      <c r="KZ15" s="19">
        <f>SQRT(Parameters!$B$5)*Factors!KZ4+SQRT(Parameters!$B$6)*Factors!KZ5+SQRT(Parameters!$B$7)*Factors!KZ10+SQRT(Parameters!$B$9)*NORM.S.INV(RAND())</f>
        <v/>
      </c>
      <c r="LA15" s="19">
        <f>SQRT(Parameters!$B$5)*Factors!LA4+SQRT(Parameters!$B$6)*Factors!LA5+SQRT(Parameters!$B$7)*Factors!LA10+SQRT(Parameters!$B$9)*NORM.S.INV(RAND())</f>
        <v/>
      </c>
      <c r="LB15" s="19">
        <f>SQRT(Parameters!$B$5)*Factors!LB4+SQRT(Parameters!$B$6)*Factors!LB5+SQRT(Parameters!$B$7)*Factors!LB10+SQRT(Parameters!$B$9)*NORM.S.INV(RAND())</f>
        <v/>
      </c>
      <c r="LC15" s="19">
        <f>SQRT(Parameters!$B$5)*Factors!LC4+SQRT(Parameters!$B$6)*Factors!LC5+SQRT(Parameters!$B$7)*Factors!LC10+SQRT(Parameters!$B$9)*NORM.S.INV(RAND())</f>
        <v/>
      </c>
      <c r="LD15" s="19">
        <f>SQRT(Parameters!$B$5)*Factors!LD4+SQRT(Parameters!$B$6)*Factors!LD5+SQRT(Parameters!$B$7)*Factors!LD10+SQRT(Parameters!$B$9)*NORM.S.INV(RAND())</f>
        <v/>
      </c>
      <c r="LE15" s="19">
        <f>SQRT(Parameters!$B$5)*Factors!LE4+SQRT(Parameters!$B$6)*Factors!LE5+SQRT(Parameters!$B$7)*Factors!LE10+SQRT(Parameters!$B$9)*NORM.S.INV(RAND())</f>
        <v/>
      </c>
      <c r="LF15" s="19">
        <f>SQRT(Parameters!$B$5)*Factors!LF4+SQRT(Parameters!$B$6)*Factors!LF5+SQRT(Parameters!$B$7)*Factors!LF10+SQRT(Parameters!$B$9)*NORM.S.INV(RAND())</f>
        <v/>
      </c>
      <c r="LG15" s="19">
        <f>SQRT(Parameters!$B$5)*Factors!LG4+SQRT(Parameters!$B$6)*Factors!LG5+SQRT(Parameters!$B$7)*Factors!LG10+SQRT(Parameters!$B$9)*NORM.S.INV(RAND())</f>
        <v/>
      </c>
      <c r="LH15" s="19">
        <f>SQRT(Parameters!$B$5)*Factors!LH4+SQRT(Parameters!$B$6)*Factors!LH5+SQRT(Parameters!$B$7)*Factors!LH10+SQRT(Parameters!$B$9)*NORM.S.INV(RAND())</f>
        <v/>
      </c>
      <c r="LI15" s="19">
        <f>SQRT(Parameters!$B$5)*Factors!LI4+SQRT(Parameters!$B$6)*Factors!LI5+SQRT(Parameters!$B$7)*Factors!LI10+SQRT(Parameters!$B$9)*NORM.S.INV(RAND())</f>
        <v/>
      </c>
      <c r="LJ15" s="19">
        <f>SQRT(Parameters!$B$5)*Factors!LJ4+SQRT(Parameters!$B$6)*Factors!LJ5+SQRT(Parameters!$B$7)*Factors!LJ10+SQRT(Parameters!$B$9)*NORM.S.INV(RAND())</f>
        <v/>
      </c>
      <c r="LK15" s="19">
        <f>SQRT(Parameters!$B$5)*Factors!LK4+SQRT(Parameters!$B$6)*Factors!LK5+SQRT(Parameters!$B$7)*Factors!LK10+SQRT(Parameters!$B$9)*NORM.S.INV(RAND())</f>
        <v/>
      </c>
      <c r="LL15" s="19">
        <f>SQRT(Parameters!$B$5)*Factors!LL4+SQRT(Parameters!$B$6)*Factors!LL5+SQRT(Parameters!$B$7)*Factors!LL10+SQRT(Parameters!$B$9)*NORM.S.INV(RAND())</f>
        <v/>
      </c>
      <c r="LM15" s="19">
        <f>SQRT(Parameters!$B$5)*Factors!LM4+SQRT(Parameters!$B$6)*Factors!LM5+SQRT(Parameters!$B$7)*Factors!LM10+SQRT(Parameters!$B$9)*NORM.S.INV(RAND())</f>
        <v/>
      </c>
      <c r="LN15" s="19">
        <f>SQRT(Parameters!$B$5)*Factors!LN4+SQRT(Parameters!$B$6)*Factors!LN5+SQRT(Parameters!$B$7)*Factors!LN10+SQRT(Parameters!$B$9)*NORM.S.INV(RAND())</f>
        <v/>
      </c>
      <c r="LO15" s="19">
        <f>SQRT(Parameters!$B$5)*Factors!LO4+SQRT(Parameters!$B$6)*Factors!LO5+SQRT(Parameters!$B$7)*Factors!LO10+SQRT(Parameters!$B$9)*NORM.S.INV(RAND())</f>
        <v/>
      </c>
      <c r="LP15" s="19">
        <f>SQRT(Parameters!$B$5)*Factors!LP4+SQRT(Parameters!$B$6)*Factors!LP5+SQRT(Parameters!$B$7)*Factors!LP10+SQRT(Parameters!$B$9)*NORM.S.INV(RAND())</f>
        <v/>
      </c>
      <c r="LQ15" s="19">
        <f>SQRT(Parameters!$B$5)*Factors!LQ4+SQRT(Parameters!$B$6)*Factors!LQ5+SQRT(Parameters!$B$7)*Factors!LQ10+SQRT(Parameters!$B$9)*NORM.S.INV(RAND())</f>
        <v/>
      </c>
      <c r="LR15" s="19">
        <f>SQRT(Parameters!$B$5)*Factors!LR4+SQRT(Parameters!$B$6)*Factors!LR5+SQRT(Parameters!$B$7)*Factors!LR10+SQRT(Parameters!$B$9)*NORM.S.INV(RAND())</f>
        <v/>
      </c>
      <c r="LS15" s="19">
        <f>SQRT(Parameters!$B$5)*Factors!LS4+SQRT(Parameters!$B$6)*Factors!LS5+SQRT(Parameters!$B$7)*Factors!LS10+SQRT(Parameters!$B$9)*NORM.S.INV(RAND())</f>
        <v/>
      </c>
      <c r="LT15" s="19">
        <f>SQRT(Parameters!$B$5)*Factors!LT4+SQRT(Parameters!$B$6)*Factors!LT5+SQRT(Parameters!$B$7)*Factors!LT10+SQRT(Parameters!$B$9)*NORM.S.INV(RAND())</f>
        <v/>
      </c>
      <c r="LU15" s="19">
        <f>SQRT(Parameters!$B$5)*Factors!LU4+SQRT(Parameters!$B$6)*Factors!LU5+SQRT(Parameters!$B$7)*Factors!LU10+SQRT(Parameters!$B$9)*NORM.S.INV(RAND())</f>
        <v/>
      </c>
      <c r="LV15" s="19">
        <f>SQRT(Parameters!$B$5)*Factors!LV4+SQRT(Parameters!$B$6)*Factors!LV5+SQRT(Parameters!$B$7)*Factors!LV10+SQRT(Parameters!$B$9)*NORM.S.INV(RAND())</f>
        <v/>
      </c>
      <c r="LW15" s="19">
        <f>SQRT(Parameters!$B$5)*Factors!LW4+SQRT(Parameters!$B$6)*Factors!LW5+SQRT(Parameters!$B$7)*Factors!LW10+SQRT(Parameters!$B$9)*NORM.S.INV(RAND())</f>
        <v/>
      </c>
      <c r="LX15" s="19">
        <f>SQRT(Parameters!$B$5)*Factors!LX4+SQRT(Parameters!$B$6)*Factors!LX5+SQRT(Parameters!$B$7)*Factors!LX10+SQRT(Parameters!$B$9)*NORM.S.INV(RAND())</f>
        <v/>
      </c>
      <c r="LY15" s="19">
        <f>SQRT(Parameters!$B$5)*Factors!LY4+SQRT(Parameters!$B$6)*Factors!LY5+SQRT(Parameters!$B$7)*Factors!LY10+SQRT(Parameters!$B$9)*NORM.S.INV(RAND())</f>
        <v/>
      </c>
      <c r="LZ15" s="19">
        <f>SQRT(Parameters!$B$5)*Factors!LZ4+SQRT(Parameters!$B$6)*Factors!LZ5+SQRT(Parameters!$B$7)*Factors!LZ10+SQRT(Parameters!$B$9)*NORM.S.INV(RAND())</f>
        <v/>
      </c>
      <c r="MA15" s="19">
        <f>SQRT(Parameters!$B$5)*Factors!MA4+SQRT(Parameters!$B$6)*Factors!MA5+SQRT(Parameters!$B$7)*Factors!MA10+SQRT(Parameters!$B$9)*NORM.S.INV(RAND())</f>
        <v/>
      </c>
      <c r="MB15" s="19">
        <f>SQRT(Parameters!$B$5)*Factors!MB4+SQRT(Parameters!$B$6)*Factors!MB5+SQRT(Parameters!$B$7)*Factors!MB10+SQRT(Parameters!$B$9)*NORM.S.INV(RAND())</f>
        <v/>
      </c>
      <c r="MC15" s="19">
        <f>SQRT(Parameters!$B$5)*Factors!MC4+SQRT(Parameters!$B$6)*Factors!MC5+SQRT(Parameters!$B$7)*Factors!MC10+SQRT(Parameters!$B$9)*NORM.S.INV(RAND())</f>
        <v/>
      </c>
      <c r="MD15" s="19">
        <f>SQRT(Parameters!$B$5)*Factors!MD4+SQRT(Parameters!$B$6)*Factors!MD5+SQRT(Parameters!$B$7)*Factors!MD10+SQRT(Parameters!$B$9)*NORM.S.INV(RAND())</f>
        <v/>
      </c>
      <c r="ME15" s="19">
        <f>SQRT(Parameters!$B$5)*Factors!ME4+SQRT(Parameters!$B$6)*Factors!ME5+SQRT(Parameters!$B$7)*Factors!ME10+SQRT(Parameters!$B$9)*NORM.S.INV(RAND())</f>
        <v/>
      </c>
      <c r="MF15" s="19">
        <f>SQRT(Parameters!$B$5)*Factors!MF4+SQRT(Parameters!$B$6)*Factors!MF5+SQRT(Parameters!$B$7)*Factors!MF10+SQRT(Parameters!$B$9)*NORM.S.INV(RAND())</f>
        <v/>
      </c>
      <c r="MG15" s="19">
        <f>SQRT(Parameters!$B$5)*Factors!MG4+SQRT(Parameters!$B$6)*Factors!MG5+SQRT(Parameters!$B$7)*Factors!MG10+SQRT(Parameters!$B$9)*NORM.S.INV(RAND())</f>
        <v/>
      </c>
      <c r="MH15" s="19">
        <f>SQRT(Parameters!$B$5)*Factors!MH4+SQRT(Parameters!$B$6)*Factors!MH5+SQRT(Parameters!$B$7)*Factors!MH10+SQRT(Parameters!$B$9)*NORM.S.INV(RAND())</f>
        <v/>
      </c>
      <c r="MI15" s="19">
        <f>SQRT(Parameters!$B$5)*Factors!MI4+SQRT(Parameters!$B$6)*Factors!MI5+SQRT(Parameters!$B$7)*Factors!MI10+SQRT(Parameters!$B$9)*NORM.S.INV(RAND())</f>
        <v/>
      </c>
      <c r="MJ15" s="19">
        <f>SQRT(Parameters!$B$5)*Factors!MJ4+SQRT(Parameters!$B$6)*Factors!MJ5+SQRT(Parameters!$B$7)*Factors!MJ10+SQRT(Parameters!$B$9)*NORM.S.INV(RAND())</f>
        <v/>
      </c>
      <c r="MK15" s="19">
        <f>SQRT(Parameters!$B$5)*Factors!MK4+SQRT(Parameters!$B$6)*Factors!MK5+SQRT(Parameters!$B$7)*Factors!MK10+SQRT(Parameters!$B$9)*NORM.S.INV(RAND())</f>
        <v/>
      </c>
      <c r="ML15" s="19">
        <f>SQRT(Parameters!$B$5)*Factors!ML4+SQRT(Parameters!$B$6)*Factors!ML5+SQRT(Parameters!$B$7)*Factors!ML10+SQRT(Parameters!$B$9)*NORM.S.INV(RAND())</f>
        <v/>
      </c>
      <c r="MM15" s="19">
        <f>SQRT(Parameters!$B$5)*Factors!MM4+SQRT(Parameters!$B$6)*Factors!MM5+SQRT(Parameters!$B$7)*Factors!MM10+SQRT(Parameters!$B$9)*NORM.S.INV(RAND())</f>
        <v/>
      </c>
      <c r="MN15" s="19">
        <f>SQRT(Parameters!$B$5)*Factors!MN4+SQRT(Parameters!$B$6)*Factors!MN5+SQRT(Parameters!$B$7)*Factors!MN10+SQRT(Parameters!$B$9)*NORM.S.INV(RAND())</f>
        <v/>
      </c>
      <c r="MO15" s="19">
        <f>SQRT(Parameters!$B$5)*Factors!MO4+SQRT(Parameters!$B$6)*Factors!MO5+SQRT(Parameters!$B$7)*Factors!MO10+SQRT(Parameters!$B$9)*NORM.S.INV(RAND())</f>
        <v/>
      </c>
      <c r="MP15" s="19">
        <f>SQRT(Parameters!$B$5)*Factors!MP4+SQRT(Parameters!$B$6)*Factors!MP5+SQRT(Parameters!$B$7)*Factors!MP10+SQRT(Parameters!$B$9)*NORM.S.INV(RAND())</f>
        <v/>
      </c>
      <c r="MQ15" s="19">
        <f>SQRT(Parameters!$B$5)*Factors!MQ4+SQRT(Parameters!$B$6)*Factors!MQ5+SQRT(Parameters!$B$7)*Factors!MQ10+SQRT(Parameters!$B$9)*NORM.S.INV(RAND())</f>
        <v/>
      </c>
      <c r="MR15" s="19">
        <f>SQRT(Parameters!$B$5)*Factors!MR4+SQRT(Parameters!$B$6)*Factors!MR5+SQRT(Parameters!$B$7)*Factors!MR10+SQRT(Parameters!$B$9)*NORM.S.INV(RAND())</f>
        <v/>
      </c>
      <c r="MS15" s="19">
        <f>SQRT(Parameters!$B$5)*Factors!MS4+SQRT(Parameters!$B$6)*Factors!MS5+SQRT(Parameters!$B$7)*Factors!MS10+SQRT(Parameters!$B$9)*NORM.S.INV(RAND())</f>
        <v/>
      </c>
      <c r="MT15" s="19">
        <f>SQRT(Parameters!$B$5)*Factors!MT4+SQRT(Parameters!$B$6)*Factors!MT5+SQRT(Parameters!$B$7)*Factors!MT10+SQRT(Parameters!$B$9)*NORM.S.INV(RAND())</f>
        <v/>
      </c>
      <c r="MU15" s="19">
        <f>SQRT(Parameters!$B$5)*Factors!MU4+SQRT(Parameters!$B$6)*Factors!MU5+SQRT(Parameters!$B$7)*Factors!MU10+SQRT(Parameters!$B$9)*NORM.S.INV(RAND())</f>
        <v/>
      </c>
      <c r="MV15" s="19">
        <f>SQRT(Parameters!$B$5)*Factors!MV4+SQRT(Parameters!$B$6)*Factors!MV5+SQRT(Parameters!$B$7)*Factors!MV10+SQRT(Parameters!$B$9)*NORM.S.INV(RAND())</f>
        <v/>
      </c>
      <c r="MW15" s="19">
        <f>SQRT(Parameters!$B$5)*Factors!MW4+SQRT(Parameters!$B$6)*Factors!MW5+SQRT(Parameters!$B$7)*Factors!MW10+SQRT(Parameters!$B$9)*NORM.S.INV(RAND())</f>
        <v/>
      </c>
      <c r="MX15" s="19">
        <f>SQRT(Parameters!$B$5)*Factors!MX4+SQRT(Parameters!$B$6)*Factors!MX5+SQRT(Parameters!$B$7)*Factors!MX10+SQRT(Parameters!$B$9)*NORM.S.INV(RAND())</f>
        <v/>
      </c>
      <c r="MY15" s="19">
        <f>SQRT(Parameters!$B$5)*Factors!MY4+SQRT(Parameters!$B$6)*Factors!MY5+SQRT(Parameters!$B$7)*Factors!MY10+SQRT(Parameters!$B$9)*NORM.S.INV(RAND())</f>
        <v/>
      </c>
      <c r="MZ15" s="19">
        <f>SQRT(Parameters!$B$5)*Factors!MZ4+SQRT(Parameters!$B$6)*Factors!MZ5+SQRT(Parameters!$B$7)*Factors!MZ10+SQRT(Parameters!$B$9)*NORM.S.INV(RAND())</f>
        <v/>
      </c>
      <c r="NA15" s="19">
        <f>SQRT(Parameters!$B$5)*Factors!NA4+SQRT(Parameters!$B$6)*Factors!NA5+SQRT(Parameters!$B$7)*Factors!NA10+SQRT(Parameters!$B$9)*NORM.S.INV(RAND())</f>
        <v/>
      </c>
      <c r="NB15" s="19">
        <f>SQRT(Parameters!$B$5)*Factors!NB4+SQRT(Parameters!$B$6)*Factors!NB5+SQRT(Parameters!$B$7)*Factors!NB10+SQRT(Parameters!$B$9)*NORM.S.INV(RAND())</f>
        <v/>
      </c>
      <c r="NC15" s="19">
        <f>SQRT(Parameters!$B$5)*Factors!NC4+SQRT(Parameters!$B$6)*Factors!NC5+SQRT(Parameters!$B$7)*Factors!NC10+SQRT(Parameters!$B$9)*NORM.S.INV(RAND())</f>
        <v/>
      </c>
      <c r="ND15" s="19">
        <f>SQRT(Parameters!$B$5)*Factors!ND4+SQRT(Parameters!$B$6)*Factors!ND5+SQRT(Parameters!$B$7)*Factors!ND10+SQRT(Parameters!$B$9)*NORM.S.INV(RAND())</f>
        <v/>
      </c>
      <c r="NE15" s="19">
        <f>SQRT(Parameters!$B$5)*Factors!NE4+SQRT(Parameters!$B$6)*Factors!NE5+SQRT(Parameters!$B$7)*Factors!NE10+SQRT(Parameters!$B$9)*NORM.S.INV(RAND())</f>
        <v/>
      </c>
      <c r="NF15" s="19">
        <f>SQRT(Parameters!$B$5)*Factors!NF4+SQRT(Parameters!$B$6)*Factors!NF5+SQRT(Parameters!$B$7)*Factors!NF10+SQRT(Parameters!$B$9)*NORM.S.INV(RAND())</f>
        <v/>
      </c>
      <c r="NG15" s="19">
        <f>SQRT(Parameters!$B$5)*Factors!NG4+SQRT(Parameters!$B$6)*Factors!NG5+SQRT(Parameters!$B$7)*Factors!NG10+SQRT(Parameters!$B$9)*NORM.S.INV(RAND())</f>
        <v/>
      </c>
      <c r="NH15" s="19">
        <f>SQRT(Parameters!$B$5)*Factors!NH4+SQRT(Parameters!$B$6)*Factors!NH5+SQRT(Parameters!$B$7)*Factors!NH10+SQRT(Parameters!$B$9)*NORM.S.INV(RAND())</f>
        <v/>
      </c>
      <c r="NI15" s="19">
        <f>SQRT(Parameters!$B$5)*Factors!NI4+SQRT(Parameters!$B$6)*Factors!NI5+SQRT(Parameters!$B$7)*Factors!NI10+SQRT(Parameters!$B$9)*NORM.S.INV(RAND())</f>
        <v/>
      </c>
      <c r="NJ15" s="19">
        <f>SQRT(Parameters!$B$5)*Factors!NJ4+SQRT(Parameters!$B$6)*Factors!NJ5+SQRT(Parameters!$B$7)*Factors!NJ10+SQRT(Parameters!$B$9)*NORM.S.INV(RAND())</f>
        <v/>
      </c>
      <c r="NK15" s="19">
        <f>SQRT(Parameters!$B$5)*Factors!NK4+SQRT(Parameters!$B$6)*Factors!NK5+SQRT(Parameters!$B$7)*Factors!NK10+SQRT(Parameters!$B$9)*NORM.S.INV(RAND())</f>
        <v/>
      </c>
      <c r="NL15" s="19">
        <f>SQRT(Parameters!$B$5)*Factors!NL4+SQRT(Parameters!$B$6)*Factors!NL5+SQRT(Parameters!$B$7)*Factors!NL10+SQRT(Parameters!$B$9)*NORM.S.INV(RAND())</f>
        <v/>
      </c>
      <c r="NM15" s="19">
        <f>SQRT(Parameters!$B$5)*Factors!NM4+SQRT(Parameters!$B$6)*Factors!NM5+SQRT(Parameters!$B$7)*Factors!NM10+SQRT(Parameters!$B$9)*NORM.S.INV(RAND())</f>
        <v/>
      </c>
      <c r="NN15" s="19">
        <f>SQRT(Parameters!$B$5)*Factors!NN4+SQRT(Parameters!$B$6)*Factors!NN5+SQRT(Parameters!$B$7)*Factors!NN10+SQRT(Parameters!$B$9)*NORM.S.INV(RAND())</f>
        <v/>
      </c>
      <c r="NO15" s="19">
        <f>SQRT(Parameters!$B$5)*Factors!NO4+SQRT(Parameters!$B$6)*Factors!NO5+SQRT(Parameters!$B$7)*Factors!NO10+SQRT(Parameters!$B$9)*NORM.S.INV(RAND())</f>
        <v/>
      </c>
      <c r="NP15" s="19">
        <f>SQRT(Parameters!$B$5)*Factors!NP4+SQRT(Parameters!$B$6)*Factors!NP5+SQRT(Parameters!$B$7)*Factors!NP10+SQRT(Parameters!$B$9)*NORM.S.INV(RAND())</f>
        <v/>
      </c>
      <c r="NQ15" s="19">
        <f>SQRT(Parameters!$B$5)*Factors!NQ4+SQRT(Parameters!$B$6)*Factors!NQ5+SQRT(Parameters!$B$7)*Factors!NQ10+SQRT(Parameters!$B$9)*NORM.S.INV(RAND())</f>
        <v/>
      </c>
      <c r="NR15" s="19">
        <f>SQRT(Parameters!$B$5)*Factors!NR4+SQRT(Parameters!$B$6)*Factors!NR5+SQRT(Parameters!$B$7)*Factors!NR10+SQRT(Parameters!$B$9)*NORM.S.INV(RAND())</f>
        <v/>
      </c>
      <c r="NS15" s="19">
        <f>SQRT(Parameters!$B$5)*Factors!NS4+SQRT(Parameters!$B$6)*Factors!NS5+SQRT(Parameters!$B$7)*Factors!NS10+SQRT(Parameters!$B$9)*NORM.S.INV(RAND())</f>
        <v/>
      </c>
      <c r="NT15" s="19">
        <f>SQRT(Parameters!$B$5)*Factors!NT4+SQRT(Parameters!$B$6)*Factors!NT5+SQRT(Parameters!$B$7)*Factors!NT10+SQRT(Parameters!$B$9)*NORM.S.INV(RAND())</f>
        <v/>
      </c>
      <c r="NU15" s="19">
        <f>SQRT(Parameters!$B$5)*Factors!NU4+SQRT(Parameters!$B$6)*Factors!NU5+SQRT(Parameters!$B$7)*Factors!NU10+SQRT(Parameters!$B$9)*NORM.S.INV(RAND())</f>
        <v/>
      </c>
      <c r="NV15" s="19">
        <f>SQRT(Parameters!$B$5)*Factors!NV4+SQRT(Parameters!$B$6)*Factors!NV5+SQRT(Parameters!$B$7)*Factors!NV10+SQRT(Parameters!$B$9)*NORM.S.INV(RAND())</f>
        <v/>
      </c>
      <c r="NW15" s="19">
        <f>SQRT(Parameters!$B$5)*Factors!NW4+SQRT(Parameters!$B$6)*Factors!NW5+SQRT(Parameters!$B$7)*Factors!NW10+SQRT(Parameters!$B$9)*NORM.S.INV(RAND())</f>
        <v/>
      </c>
      <c r="NX15" s="19">
        <f>SQRT(Parameters!$B$5)*Factors!NX4+SQRT(Parameters!$B$6)*Factors!NX5+SQRT(Parameters!$B$7)*Factors!NX10+SQRT(Parameters!$B$9)*NORM.S.INV(RAND())</f>
        <v/>
      </c>
      <c r="NY15" s="19">
        <f>SQRT(Parameters!$B$5)*Factors!NY4+SQRT(Parameters!$B$6)*Factors!NY5+SQRT(Parameters!$B$7)*Factors!NY10+SQRT(Parameters!$B$9)*NORM.S.INV(RAND())</f>
        <v/>
      </c>
      <c r="NZ15" s="19">
        <f>SQRT(Parameters!$B$5)*Factors!NZ4+SQRT(Parameters!$B$6)*Factors!NZ5+SQRT(Parameters!$B$7)*Factors!NZ10+SQRT(Parameters!$B$9)*NORM.S.INV(RAND())</f>
        <v/>
      </c>
      <c r="OA15" s="19">
        <f>SQRT(Parameters!$B$5)*Factors!OA4+SQRT(Parameters!$B$6)*Factors!OA5+SQRT(Parameters!$B$7)*Factors!OA10+SQRT(Parameters!$B$9)*NORM.S.INV(RAND())</f>
        <v/>
      </c>
      <c r="OB15" s="19">
        <f>SQRT(Parameters!$B$5)*Factors!OB4+SQRT(Parameters!$B$6)*Factors!OB5+SQRT(Parameters!$B$7)*Factors!OB10+SQRT(Parameters!$B$9)*NORM.S.INV(RAND())</f>
        <v/>
      </c>
      <c r="OC15" s="19">
        <f>SQRT(Parameters!$B$5)*Factors!OC4+SQRT(Parameters!$B$6)*Factors!OC5+SQRT(Parameters!$B$7)*Factors!OC10+SQRT(Parameters!$B$9)*NORM.S.INV(RAND())</f>
        <v/>
      </c>
      <c r="OD15" s="19">
        <f>SQRT(Parameters!$B$5)*Factors!OD4+SQRT(Parameters!$B$6)*Factors!OD5+SQRT(Parameters!$B$7)*Factors!OD10+SQRT(Parameters!$B$9)*NORM.S.INV(RAND())</f>
        <v/>
      </c>
      <c r="OE15" s="19">
        <f>SQRT(Parameters!$B$5)*Factors!OE4+SQRT(Parameters!$B$6)*Factors!OE5+SQRT(Parameters!$B$7)*Factors!OE10+SQRT(Parameters!$B$9)*NORM.S.INV(RAND())</f>
        <v/>
      </c>
      <c r="OF15" s="19">
        <f>SQRT(Parameters!$B$5)*Factors!OF4+SQRT(Parameters!$B$6)*Factors!OF5+SQRT(Parameters!$B$7)*Factors!OF10+SQRT(Parameters!$B$9)*NORM.S.INV(RAND())</f>
        <v/>
      </c>
      <c r="OG15" s="19">
        <f>SQRT(Parameters!$B$5)*Factors!OG4+SQRT(Parameters!$B$6)*Factors!OG5+SQRT(Parameters!$B$7)*Factors!OG10+SQRT(Parameters!$B$9)*NORM.S.INV(RAND())</f>
        <v/>
      </c>
      <c r="OH15" s="19">
        <f>SQRT(Parameters!$B$5)*Factors!OH4+SQRT(Parameters!$B$6)*Factors!OH5+SQRT(Parameters!$B$7)*Factors!OH10+SQRT(Parameters!$B$9)*NORM.S.INV(RAND())</f>
        <v/>
      </c>
      <c r="OI15" s="19">
        <f>SQRT(Parameters!$B$5)*Factors!OI4+SQRT(Parameters!$B$6)*Factors!OI5+SQRT(Parameters!$B$7)*Factors!OI10+SQRT(Parameters!$B$9)*NORM.S.INV(RAND())</f>
        <v/>
      </c>
      <c r="OJ15" s="19">
        <f>SQRT(Parameters!$B$5)*Factors!OJ4+SQRT(Parameters!$B$6)*Factors!OJ5+SQRT(Parameters!$B$7)*Factors!OJ10+SQRT(Parameters!$B$9)*NORM.S.INV(RAND())</f>
        <v/>
      </c>
      <c r="OK15" s="19">
        <f>SQRT(Parameters!$B$5)*Factors!OK4+SQRT(Parameters!$B$6)*Factors!OK5+SQRT(Parameters!$B$7)*Factors!OK10+SQRT(Parameters!$B$9)*NORM.S.INV(RAND())</f>
        <v/>
      </c>
      <c r="OL15" s="19">
        <f>SQRT(Parameters!$B$5)*Factors!OL4+SQRT(Parameters!$B$6)*Factors!OL5+SQRT(Parameters!$B$7)*Factors!OL10+SQRT(Parameters!$B$9)*NORM.S.INV(RAND())</f>
        <v/>
      </c>
      <c r="OM15" s="19">
        <f>SQRT(Parameters!$B$5)*Factors!OM4+SQRT(Parameters!$B$6)*Factors!OM5+SQRT(Parameters!$B$7)*Factors!OM10+SQRT(Parameters!$B$9)*NORM.S.INV(RAND())</f>
        <v/>
      </c>
      <c r="ON15" s="19">
        <f>SQRT(Parameters!$B$5)*Factors!ON4+SQRT(Parameters!$B$6)*Factors!ON5+SQRT(Parameters!$B$7)*Factors!ON10+SQRT(Parameters!$B$9)*NORM.S.INV(RAND())</f>
        <v/>
      </c>
      <c r="OO15" s="19">
        <f>SQRT(Parameters!$B$5)*Factors!OO4+SQRT(Parameters!$B$6)*Factors!OO5+SQRT(Parameters!$B$7)*Factors!OO10+SQRT(Parameters!$B$9)*NORM.S.INV(RAND())</f>
        <v/>
      </c>
      <c r="OP15" s="19">
        <f>SQRT(Parameters!$B$5)*Factors!OP4+SQRT(Parameters!$B$6)*Factors!OP5+SQRT(Parameters!$B$7)*Factors!OP10+SQRT(Parameters!$B$9)*NORM.S.INV(RAND())</f>
        <v/>
      </c>
      <c r="OQ15" s="19">
        <f>SQRT(Parameters!$B$5)*Factors!OQ4+SQRT(Parameters!$B$6)*Factors!OQ5+SQRT(Parameters!$B$7)*Factors!OQ10+SQRT(Parameters!$B$9)*NORM.S.INV(RAND())</f>
        <v/>
      </c>
      <c r="OR15" s="19">
        <f>SQRT(Parameters!$B$5)*Factors!OR4+SQRT(Parameters!$B$6)*Factors!OR5+SQRT(Parameters!$B$7)*Factors!OR10+SQRT(Parameters!$B$9)*NORM.S.INV(RAND())</f>
        <v/>
      </c>
      <c r="OS15" s="19">
        <f>SQRT(Parameters!$B$5)*Factors!OS4+SQRT(Parameters!$B$6)*Factors!OS5+SQRT(Parameters!$B$7)*Factors!OS10+SQRT(Parameters!$B$9)*NORM.S.INV(RAND())</f>
        <v/>
      </c>
      <c r="OT15" s="19">
        <f>SQRT(Parameters!$B$5)*Factors!OT4+SQRT(Parameters!$B$6)*Factors!OT5+SQRT(Parameters!$B$7)*Factors!OT10+SQRT(Parameters!$B$9)*NORM.S.INV(RAND())</f>
        <v/>
      </c>
      <c r="OU15" s="19">
        <f>SQRT(Parameters!$B$5)*Factors!OU4+SQRT(Parameters!$B$6)*Factors!OU5+SQRT(Parameters!$B$7)*Factors!OU10+SQRT(Parameters!$B$9)*NORM.S.INV(RAND())</f>
        <v/>
      </c>
      <c r="OV15" s="19">
        <f>SQRT(Parameters!$B$5)*Factors!OV4+SQRT(Parameters!$B$6)*Factors!OV5+SQRT(Parameters!$B$7)*Factors!OV10+SQRT(Parameters!$B$9)*NORM.S.INV(RAND())</f>
        <v/>
      </c>
      <c r="OW15" s="19">
        <f>SQRT(Parameters!$B$5)*Factors!OW4+SQRT(Parameters!$B$6)*Factors!OW5+SQRT(Parameters!$B$7)*Factors!OW10+SQRT(Parameters!$B$9)*NORM.S.INV(RAND())</f>
        <v/>
      </c>
      <c r="OX15" s="19">
        <f>SQRT(Parameters!$B$5)*Factors!OX4+SQRT(Parameters!$B$6)*Factors!OX5+SQRT(Parameters!$B$7)*Factors!OX10+SQRT(Parameters!$B$9)*NORM.S.INV(RAND())</f>
        <v/>
      </c>
      <c r="OY15" s="19">
        <f>SQRT(Parameters!$B$5)*Factors!OY4+SQRT(Parameters!$B$6)*Factors!OY5+SQRT(Parameters!$B$7)*Factors!OY10+SQRT(Parameters!$B$9)*NORM.S.INV(RAND())</f>
        <v/>
      </c>
      <c r="OZ15" s="19">
        <f>SQRT(Parameters!$B$5)*Factors!OZ4+SQRT(Parameters!$B$6)*Factors!OZ5+SQRT(Parameters!$B$7)*Factors!OZ10+SQRT(Parameters!$B$9)*NORM.S.INV(RAND())</f>
        <v/>
      </c>
      <c r="PA15" s="19">
        <f>SQRT(Parameters!$B$5)*Factors!PA4+SQRT(Parameters!$B$6)*Factors!PA5+SQRT(Parameters!$B$7)*Factors!PA10+SQRT(Parameters!$B$9)*NORM.S.INV(RAND())</f>
        <v/>
      </c>
      <c r="PB15" s="19">
        <f>SQRT(Parameters!$B$5)*Factors!PB4+SQRT(Parameters!$B$6)*Factors!PB5+SQRT(Parameters!$B$7)*Factors!PB10+SQRT(Parameters!$B$9)*NORM.S.INV(RAND())</f>
        <v/>
      </c>
      <c r="PC15" s="19">
        <f>SQRT(Parameters!$B$5)*Factors!PC4+SQRT(Parameters!$B$6)*Factors!PC5+SQRT(Parameters!$B$7)*Factors!PC10+SQRT(Parameters!$B$9)*NORM.S.INV(RAND())</f>
        <v/>
      </c>
      <c r="PD15" s="19">
        <f>SQRT(Parameters!$B$5)*Factors!PD4+SQRT(Parameters!$B$6)*Factors!PD5+SQRT(Parameters!$B$7)*Factors!PD10+SQRT(Parameters!$B$9)*NORM.S.INV(RAND())</f>
        <v/>
      </c>
      <c r="PE15" s="19">
        <f>SQRT(Parameters!$B$5)*Factors!PE4+SQRT(Parameters!$B$6)*Factors!PE5+SQRT(Parameters!$B$7)*Factors!PE10+SQRT(Parameters!$B$9)*NORM.S.INV(RAND())</f>
        <v/>
      </c>
      <c r="PF15" s="19">
        <f>SQRT(Parameters!$B$5)*Factors!PF4+SQRT(Parameters!$B$6)*Factors!PF5+SQRT(Parameters!$B$7)*Factors!PF10+SQRT(Parameters!$B$9)*NORM.S.INV(RAND())</f>
        <v/>
      </c>
      <c r="PG15" s="19">
        <f>SQRT(Parameters!$B$5)*Factors!PG4+SQRT(Parameters!$B$6)*Factors!PG5+SQRT(Parameters!$B$7)*Factors!PG10+SQRT(Parameters!$B$9)*NORM.S.INV(RAND())</f>
        <v/>
      </c>
      <c r="PH15" s="19">
        <f>SQRT(Parameters!$B$5)*Factors!PH4+SQRT(Parameters!$B$6)*Factors!PH5+SQRT(Parameters!$B$7)*Factors!PH10+SQRT(Parameters!$B$9)*NORM.S.INV(RAND())</f>
        <v/>
      </c>
      <c r="PI15" s="19">
        <f>SQRT(Parameters!$B$5)*Factors!PI4+SQRT(Parameters!$B$6)*Factors!PI5+SQRT(Parameters!$B$7)*Factors!PI10+SQRT(Parameters!$B$9)*NORM.S.INV(RAND())</f>
        <v/>
      </c>
      <c r="PJ15" s="19">
        <f>SQRT(Parameters!$B$5)*Factors!PJ4+SQRT(Parameters!$B$6)*Factors!PJ5+SQRT(Parameters!$B$7)*Factors!PJ10+SQRT(Parameters!$B$9)*NORM.S.INV(RAND())</f>
        <v/>
      </c>
      <c r="PK15" s="19">
        <f>SQRT(Parameters!$B$5)*Factors!PK4+SQRT(Parameters!$B$6)*Factors!PK5+SQRT(Parameters!$B$7)*Factors!PK10+SQRT(Parameters!$B$9)*NORM.S.INV(RAND())</f>
        <v/>
      </c>
      <c r="PL15" s="19">
        <f>SQRT(Parameters!$B$5)*Factors!PL4+SQRT(Parameters!$B$6)*Factors!PL5+SQRT(Parameters!$B$7)*Factors!PL10+SQRT(Parameters!$B$9)*NORM.S.INV(RAND())</f>
        <v/>
      </c>
      <c r="PM15" s="19">
        <f>SQRT(Parameters!$B$5)*Factors!PM4+SQRT(Parameters!$B$6)*Factors!PM5+SQRT(Parameters!$B$7)*Factors!PM10+SQRT(Parameters!$B$9)*NORM.S.INV(RAND())</f>
        <v/>
      </c>
      <c r="PN15" s="19">
        <f>SQRT(Parameters!$B$5)*Factors!PN4+SQRT(Parameters!$B$6)*Factors!PN5+SQRT(Parameters!$B$7)*Factors!PN10+SQRT(Parameters!$B$9)*NORM.S.INV(RAND())</f>
        <v/>
      </c>
      <c r="PO15" s="19">
        <f>SQRT(Parameters!$B$5)*Factors!PO4+SQRT(Parameters!$B$6)*Factors!PO5+SQRT(Parameters!$B$7)*Factors!PO10+SQRT(Parameters!$B$9)*NORM.S.INV(RAND())</f>
        <v/>
      </c>
      <c r="PP15" s="19">
        <f>SQRT(Parameters!$B$5)*Factors!PP4+SQRT(Parameters!$B$6)*Factors!PP5+SQRT(Parameters!$B$7)*Factors!PP10+SQRT(Parameters!$B$9)*NORM.S.INV(RAND())</f>
        <v/>
      </c>
      <c r="PQ15" s="19">
        <f>SQRT(Parameters!$B$5)*Factors!PQ4+SQRT(Parameters!$B$6)*Factors!PQ5+SQRT(Parameters!$B$7)*Factors!PQ10+SQRT(Parameters!$B$9)*NORM.S.INV(RAND())</f>
        <v/>
      </c>
      <c r="PR15" s="19">
        <f>SQRT(Parameters!$B$5)*Factors!PR4+SQRT(Parameters!$B$6)*Factors!PR5+SQRT(Parameters!$B$7)*Factors!PR10+SQRT(Parameters!$B$9)*NORM.S.INV(RAND())</f>
        <v/>
      </c>
      <c r="PS15" s="19">
        <f>SQRT(Parameters!$B$5)*Factors!PS4+SQRT(Parameters!$B$6)*Factors!PS5+SQRT(Parameters!$B$7)*Factors!PS10+SQRT(Parameters!$B$9)*NORM.S.INV(RAND())</f>
        <v/>
      </c>
      <c r="PT15" s="19">
        <f>SQRT(Parameters!$B$5)*Factors!PT4+SQRT(Parameters!$B$6)*Factors!PT5+SQRT(Parameters!$B$7)*Factors!PT10+SQRT(Parameters!$B$9)*NORM.S.INV(RAND())</f>
        <v/>
      </c>
      <c r="PU15" s="19">
        <f>SQRT(Parameters!$B$5)*Factors!PU4+SQRT(Parameters!$B$6)*Factors!PU5+SQRT(Parameters!$B$7)*Factors!PU10+SQRT(Parameters!$B$9)*NORM.S.INV(RAND())</f>
        <v/>
      </c>
      <c r="PV15" s="19">
        <f>SQRT(Parameters!$B$5)*Factors!PV4+SQRT(Parameters!$B$6)*Factors!PV5+SQRT(Parameters!$B$7)*Factors!PV10+SQRT(Parameters!$B$9)*NORM.S.INV(RAND())</f>
        <v/>
      </c>
      <c r="PW15" s="19">
        <f>SQRT(Parameters!$B$5)*Factors!PW4+SQRT(Parameters!$B$6)*Factors!PW5+SQRT(Parameters!$B$7)*Factors!PW10+SQRT(Parameters!$B$9)*NORM.S.INV(RAND())</f>
        <v/>
      </c>
      <c r="PX15" s="19">
        <f>SQRT(Parameters!$B$5)*Factors!PX4+SQRT(Parameters!$B$6)*Factors!PX5+SQRT(Parameters!$B$7)*Factors!PX10+SQRT(Parameters!$B$9)*NORM.S.INV(RAND())</f>
        <v/>
      </c>
      <c r="PY15" s="19">
        <f>SQRT(Parameters!$B$5)*Factors!PY4+SQRT(Parameters!$B$6)*Factors!PY5+SQRT(Parameters!$B$7)*Factors!PY10+SQRT(Parameters!$B$9)*NORM.S.INV(RAND())</f>
        <v/>
      </c>
      <c r="PZ15" s="19">
        <f>SQRT(Parameters!$B$5)*Factors!PZ4+SQRT(Parameters!$B$6)*Factors!PZ5+SQRT(Parameters!$B$7)*Factors!PZ10+SQRT(Parameters!$B$9)*NORM.S.INV(RAND())</f>
        <v/>
      </c>
      <c r="QA15" s="19">
        <f>SQRT(Parameters!$B$5)*Factors!QA4+SQRT(Parameters!$B$6)*Factors!QA5+SQRT(Parameters!$B$7)*Factors!QA10+SQRT(Parameters!$B$9)*NORM.S.INV(RAND())</f>
        <v/>
      </c>
      <c r="QB15" s="19">
        <f>SQRT(Parameters!$B$5)*Factors!QB4+SQRT(Parameters!$B$6)*Factors!QB5+SQRT(Parameters!$B$7)*Factors!QB10+SQRT(Parameters!$B$9)*NORM.S.INV(RAND())</f>
        <v/>
      </c>
      <c r="QC15" s="19">
        <f>SQRT(Parameters!$B$5)*Factors!QC4+SQRT(Parameters!$B$6)*Factors!QC5+SQRT(Parameters!$B$7)*Factors!QC10+SQRT(Parameters!$B$9)*NORM.S.INV(RAND())</f>
        <v/>
      </c>
      <c r="QD15" s="19">
        <f>SQRT(Parameters!$B$5)*Factors!QD4+SQRT(Parameters!$B$6)*Factors!QD5+SQRT(Parameters!$B$7)*Factors!QD10+SQRT(Parameters!$B$9)*NORM.S.INV(RAND())</f>
        <v/>
      </c>
      <c r="QE15" s="19">
        <f>SQRT(Parameters!$B$5)*Factors!QE4+SQRT(Parameters!$B$6)*Factors!QE5+SQRT(Parameters!$B$7)*Factors!QE10+SQRT(Parameters!$B$9)*NORM.S.INV(RAND())</f>
        <v/>
      </c>
      <c r="QF15" s="19">
        <f>SQRT(Parameters!$B$5)*Factors!QF4+SQRT(Parameters!$B$6)*Factors!QF5+SQRT(Parameters!$B$7)*Factors!QF10+SQRT(Parameters!$B$9)*NORM.S.INV(RAND())</f>
        <v/>
      </c>
      <c r="QG15" s="19">
        <f>SQRT(Parameters!$B$5)*Factors!QG4+SQRT(Parameters!$B$6)*Factors!QG5+SQRT(Parameters!$B$7)*Factors!QG10+SQRT(Parameters!$B$9)*NORM.S.INV(RAND())</f>
        <v/>
      </c>
      <c r="QH15" s="19">
        <f>SQRT(Parameters!$B$5)*Factors!QH4+SQRT(Parameters!$B$6)*Factors!QH5+SQRT(Parameters!$B$7)*Factors!QH10+SQRT(Parameters!$B$9)*NORM.S.INV(RAND())</f>
        <v/>
      </c>
      <c r="QI15" s="19">
        <f>SQRT(Parameters!$B$5)*Factors!QI4+SQRT(Parameters!$B$6)*Factors!QI5+SQRT(Parameters!$B$7)*Factors!QI10+SQRT(Parameters!$B$9)*NORM.S.INV(RAND())</f>
        <v/>
      </c>
      <c r="QJ15" s="19">
        <f>SQRT(Parameters!$B$5)*Factors!QJ4+SQRT(Parameters!$B$6)*Factors!QJ5+SQRT(Parameters!$B$7)*Factors!QJ10+SQRT(Parameters!$B$9)*NORM.S.INV(RAND())</f>
        <v/>
      </c>
      <c r="QK15" s="19">
        <f>SQRT(Parameters!$B$5)*Factors!QK4+SQRT(Parameters!$B$6)*Factors!QK5+SQRT(Parameters!$B$7)*Factors!QK10+SQRT(Parameters!$B$9)*NORM.S.INV(RAND())</f>
        <v/>
      </c>
      <c r="QL15" s="19">
        <f>SQRT(Parameters!$B$5)*Factors!QL4+SQRT(Parameters!$B$6)*Factors!QL5+SQRT(Parameters!$B$7)*Factors!QL10+SQRT(Parameters!$B$9)*NORM.S.INV(RAND())</f>
        <v/>
      </c>
      <c r="QM15" s="19">
        <f>SQRT(Parameters!$B$5)*Factors!QM4+SQRT(Parameters!$B$6)*Factors!QM5+SQRT(Parameters!$B$7)*Factors!QM10+SQRT(Parameters!$B$9)*NORM.S.INV(RAND())</f>
        <v/>
      </c>
      <c r="QN15" s="19">
        <f>SQRT(Parameters!$B$5)*Factors!QN4+SQRT(Parameters!$B$6)*Factors!QN5+SQRT(Parameters!$B$7)*Factors!QN10+SQRT(Parameters!$B$9)*NORM.S.INV(RAND())</f>
        <v/>
      </c>
      <c r="QO15" s="19">
        <f>SQRT(Parameters!$B$5)*Factors!QO4+SQRT(Parameters!$B$6)*Factors!QO5+SQRT(Parameters!$B$7)*Factors!QO10+SQRT(Parameters!$B$9)*NORM.S.INV(RAND())</f>
        <v/>
      </c>
      <c r="QP15" s="19">
        <f>SQRT(Parameters!$B$5)*Factors!QP4+SQRT(Parameters!$B$6)*Factors!QP5+SQRT(Parameters!$B$7)*Factors!QP10+SQRT(Parameters!$B$9)*NORM.S.INV(RAND())</f>
        <v/>
      </c>
      <c r="QQ15" s="19">
        <f>SQRT(Parameters!$B$5)*Factors!QQ4+SQRT(Parameters!$B$6)*Factors!QQ5+SQRT(Parameters!$B$7)*Factors!QQ10+SQRT(Parameters!$B$9)*NORM.S.INV(RAND())</f>
        <v/>
      </c>
      <c r="QR15" s="19">
        <f>SQRT(Parameters!$B$5)*Factors!QR4+SQRT(Parameters!$B$6)*Factors!QR5+SQRT(Parameters!$B$7)*Factors!QR10+SQRT(Parameters!$B$9)*NORM.S.INV(RAND())</f>
        <v/>
      </c>
      <c r="QS15" s="19">
        <f>SQRT(Parameters!$B$5)*Factors!QS4+SQRT(Parameters!$B$6)*Factors!QS5+SQRT(Parameters!$B$7)*Factors!QS10+SQRT(Parameters!$B$9)*NORM.S.INV(RAND())</f>
        <v/>
      </c>
      <c r="QT15" s="19">
        <f>SQRT(Parameters!$B$5)*Factors!QT4+SQRT(Parameters!$B$6)*Factors!QT5+SQRT(Parameters!$B$7)*Factors!QT10+SQRT(Parameters!$B$9)*NORM.S.INV(RAND())</f>
        <v/>
      </c>
      <c r="QU15" s="19">
        <f>SQRT(Parameters!$B$5)*Factors!QU4+SQRT(Parameters!$B$6)*Factors!QU5+SQRT(Parameters!$B$7)*Factors!QU10+SQRT(Parameters!$B$9)*NORM.S.INV(RAND())</f>
        <v/>
      </c>
      <c r="QV15" s="19">
        <f>SQRT(Parameters!$B$5)*Factors!QV4+SQRT(Parameters!$B$6)*Factors!QV5+SQRT(Parameters!$B$7)*Factors!QV10+SQRT(Parameters!$B$9)*NORM.S.INV(RAND())</f>
        <v/>
      </c>
      <c r="QW15" s="19">
        <f>SQRT(Parameters!$B$5)*Factors!QW4+SQRT(Parameters!$B$6)*Factors!QW5+SQRT(Parameters!$B$7)*Factors!QW10+SQRT(Parameters!$B$9)*NORM.S.INV(RAND())</f>
        <v/>
      </c>
      <c r="QX15" s="19">
        <f>SQRT(Parameters!$B$5)*Factors!QX4+SQRT(Parameters!$B$6)*Factors!QX5+SQRT(Parameters!$B$7)*Factors!QX10+SQRT(Parameters!$B$9)*NORM.S.INV(RAND())</f>
        <v/>
      </c>
      <c r="QY15" s="19">
        <f>SQRT(Parameters!$B$5)*Factors!QY4+SQRT(Parameters!$B$6)*Factors!QY5+SQRT(Parameters!$B$7)*Factors!QY10+SQRT(Parameters!$B$9)*NORM.S.INV(RAND())</f>
        <v/>
      </c>
      <c r="QZ15" s="19">
        <f>SQRT(Parameters!$B$5)*Factors!QZ4+SQRT(Parameters!$B$6)*Factors!QZ5+SQRT(Parameters!$B$7)*Factors!QZ10+SQRT(Parameters!$B$9)*NORM.S.INV(RAND())</f>
        <v/>
      </c>
      <c r="RA15" s="19">
        <f>SQRT(Parameters!$B$5)*Factors!RA4+SQRT(Parameters!$B$6)*Factors!RA5+SQRT(Parameters!$B$7)*Factors!RA10+SQRT(Parameters!$B$9)*NORM.S.INV(RAND())</f>
        <v/>
      </c>
      <c r="RB15" s="19">
        <f>SQRT(Parameters!$B$5)*Factors!RB4+SQRT(Parameters!$B$6)*Factors!RB5+SQRT(Parameters!$B$7)*Factors!RB10+SQRT(Parameters!$B$9)*NORM.S.INV(RAND())</f>
        <v/>
      </c>
      <c r="RC15" s="19">
        <f>SQRT(Parameters!$B$5)*Factors!RC4+SQRT(Parameters!$B$6)*Factors!RC5+SQRT(Parameters!$B$7)*Factors!RC10+SQRT(Parameters!$B$9)*NORM.S.INV(RAND())</f>
        <v/>
      </c>
      <c r="RD15" s="19">
        <f>SQRT(Parameters!$B$5)*Factors!RD4+SQRT(Parameters!$B$6)*Factors!RD5+SQRT(Parameters!$B$7)*Factors!RD10+SQRT(Parameters!$B$9)*NORM.S.INV(RAND())</f>
        <v/>
      </c>
      <c r="RE15" s="19">
        <f>SQRT(Parameters!$B$5)*Factors!RE4+SQRT(Parameters!$B$6)*Factors!RE5+SQRT(Parameters!$B$7)*Factors!RE10+SQRT(Parameters!$B$9)*NORM.S.INV(RAND())</f>
        <v/>
      </c>
      <c r="RF15" s="19">
        <f>SQRT(Parameters!$B$5)*Factors!RF4+SQRT(Parameters!$B$6)*Factors!RF5+SQRT(Parameters!$B$7)*Factors!RF10+SQRT(Parameters!$B$9)*NORM.S.INV(RAND())</f>
        <v/>
      </c>
      <c r="RG15" s="19">
        <f>SQRT(Parameters!$B$5)*Factors!RG4+SQRT(Parameters!$B$6)*Factors!RG5+SQRT(Parameters!$B$7)*Factors!RG10+SQRT(Parameters!$B$9)*NORM.S.INV(RAND())</f>
        <v/>
      </c>
      <c r="RH15" s="19">
        <f>SQRT(Parameters!$B$5)*Factors!RH4+SQRT(Parameters!$B$6)*Factors!RH5+SQRT(Parameters!$B$7)*Factors!RH10+SQRT(Parameters!$B$9)*NORM.S.INV(RAND())</f>
        <v/>
      </c>
      <c r="RI15" s="19">
        <f>SQRT(Parameters!$B$5)*Factors!RI4+SQRT(Parameters!$B$6)*Factors!RI5+SQRT(Parameters!$B$7)*Factors!RI10+SQRT(Parameters!$B$9)*NORM.S.INV(RAND())</f>
        <v/>
      </c>
      <c r="RJ15" s="19">
        <f>SQRT(Parameters!$B$5)*Factors!RJ4+SQRT(Parameters!$B$6)*Factors!RJ5+SQRT(Parameters!$B$7)*Factors!RJ10+SQRT(Parameters!$B$9)*NORM.S.INV(RAND())</f>
        <v/>
      </c>
      <c r="RK15" s="19">
        <f>SQRT(Parameters!$B$5)*Factors!RK4+SQRT(Parameters!$B$6)*Factors!RK5+SQRT(Parameters!$B$7)*Factors!RK10+SQRT(Parameters!$B$9)*NORM.S.INV(RAND())</f>
        <v/>
      </c>
      <c r="RL15" s="19">
        <f>SQRT(Parameters!$B$5)*Factors!RL4+SQRT(Parameters!$B$6)*Factors!RL5+SQRT(Parameters!$B$7)*Factors!RL10+SQRT(Parameters!$B$9)*NORM.S.INV(RAND())</f>
        <v/>
      </c>
      <c r="RM15" s="19">
        <f>SQRT(Parameters!$B$5)*Factors!RM4+SQRT(Parameters!$B$6)*Factors!RM5+SQRT(Parameters!$B$7)*Factors!RM10+SQRT(Parameters!$B$9)*NORM.S.INV(RAND())</f>
        <v/>
      </c>
      <c r="RN15" s="19">
        <f>SQRT(Parameters!$B$5)*Factors!RN4+SQRT(Parameters!$B$6)*Factors!RN5+SQRT(Parameters!$B$7)*Factors!RN10+SQRT(Parameters!$B$9)*NORM.S.INV(RAND())</f>
        <v/>
      </c>
      <c r="RO15" s="19">
        <f>SQRT(Parameters!$B$5)*Factors!RO4+SQRT(Parameters!$B$6)*Factors!RO5+SQRT(Parameters!$B$7)*Factors!RO10+SQRT(Parameters!$B$9)*NORM.S.INV(RAND())</f>
        <v/>
      </c>
      <c r="RP15" s="19">
        <f>SQRT(Parameters!$B$5)*Factors!RP4+SQRT(Parameters!$B$6)*Factors!RP5+SQRT(Parameters!$B$7)*Factors!RP10+SQRT(Parameters!$B$9)*NORM.S.INV(RAND())</f>
        <v/>
      </c>
      <c r="RQ15" s="19">
        <f>SQRT(Parameters!$B$5)*Factors!RQ4+SQRT(Parameters!$B$6)*Factors!RQ5+SQRT(Parameters!$B$7)*Factors!RQ10+SQRT(Parameters!$B$9)*NORM.S.INV(RAND())</f>
        <v/>
      </c>
      <c r="RR15" s="19">
        <f>SQRT(Parameters!$B$5)*Factors!RR4+SQRT(Parameters!$B$6)*Factors!RR5+SQRT(Parameters!$B$7)*Factors!RR10+SQRT(Parameters!$B$9)*NORM.S.INV(RAND())</f>
        <v/>
      </c>
      <c r="RS15" s="19">
        <f>SQRT(Parameters!$B$5)*Factors!RS4+SQRT(Parameters!$B$6)*Factors!RS5+SQRT(Parameters!$B$7)*Factors!RS10+SQRT(Parameters!$B$9)*NORM.S.INV(RAND())</f>
        <v/>
      </c>
      <c r="RT15" s="19">
        <f>SQRT(Parameters!$B$5)*Factors!RT4+SQRT(Parameters!$B$6)*Factors!RT5+SQRT(Parameters!$B$7)*Factors!RT10+SQRT(Parameters!$B$9)*NORM.S.INV(RAND())</f>
        <v/>
      </c>
      <c r="RU15" s="19">
        <f>SQRT(Parameters!$B$5)*Factors!RU4+SQRT(Parameters!$B$6)*Factors!RU5+SQRT(Parameters!$B$7)*Factors!RU10+SQRT(Parameters!$B$9)*NORM.S.INV(RAND())</f>
        <v/>
      </c>
      <c r="RV15" s="19">
        <f>SQRT(Parameters!$B$5)*Factors!RV4+SQRT(Parameters!$B$6)*Factors!RV5+SQRT(Parameters!$B$7)*Factors!RV10+SQRT(Parameters!$B$9)*NORM.S.INV(RAND())</f>
        <v/>
      </c>
      <c r="RW15" s="19">
        <f>SQRT(Parameters!$B$5)*Factors!RW4+SQRT(Parameters!$B$6)*Factors!RW5+SQRT(Parameters!$B$7)*Factors!RW10+SQRT(Parameters!$B$9)*NORM.S.INV(RAND())</f>
        <v/>
      </c>
      <c r="RX15" s="19">
        <f>SQRT(Parameters!$B$5)*Factors!RX4+SQRT(Parameters!$B$6)*Factors!RX5+SQRT(Parameters!$B$7)*Factors!RX10+SQRT(Parameters!$B$9)*NORM.S.INV(RAND())</f>
        <v/>
      </c>
      <c r="RY15" s="19">
        <f>SQRT(Parameters!$B$5)*Factors!RY4+SQRT(Parameters!$B$6)*Factors!RY5+SQRT(Parameters!$B$7)*Factors!RY10+SQRT(Parameters!$B$9)*NORM.S.INV(RAND())</f>
        <v/>
      </c>
      <c r="RZ15" s="19">
        <f>SQRT(Parameters!$B$5)*Factors!RZ4+SQRT(Parameters!$B$6)*Factors!RZ5+SQRT(Parameters!$B$7)*Factors!RZ10+SQRT(Parameters!$B$9)*NORM.S.INV(RAND())</f>
        <v/>
      </c>
      <c r="SA15" s="19">
        <f>SQRT(Parameters!$B$5)*Factors!SA4+SQRT(Parameters!$B$6)*Factors!SA5+SQRT(Parameters!$B$7)*Factors!SA10+SQRT(Parameters!$B$9)*NORM.S.INV(RAND())</f>
        <v/>
      </c>
      <c r="SB15" s="19">
        <f>SQRT(Parameters!$B$5)*Factors!SB4+SQRT(Parameters!$B$6)*Factors!SB5+SQRT(Parameters!$B$7)*Factors!SB10+SQRT(Parameters!$B$9)*NORM.S.INV(RAND())</f>
        <v/>
      </c>
      <c r="SC15" s="19">
        <f>SQRT(Parameters!$B$5)*Factors!SC4+SQRT(Parameters!$B$6)*Factors!SC5+SQRT(Parameters!$B$7)*Factors!SC10+SQRT(Parameters!$B$9)*NORM.S.INV(RAND())</f>
        <v/>
      </c>
      <c r="SD15" s="19">
        <f>SQRT(Parameters!$B$5)*Factors!SD4+SQRT(Parameters!$B$6)*Factors!SD5+SQRT(Parameters!$B$7)*Factors!SD10+SQRT(Parameters!$B$9)*NORM.S.INV(RAND())</f>
        <v/>
      </c>
      <c r="SE15" s="19">
        <f>SQRT(Parameters!$B$5)*Factors!SE4+SQRT(Parameters!$B$6)*Factors!SE5+SQRT(Parameters!$B$7)*Factors!SE10+SQRT(Parameters!$B$9)*NORM.S.INV(RAND())</f>
        <v/>
      </c>
      <c r="SF15" s="19">
        <f>SQRT(Parameters!$B$5)*Factors!SF4+SQRT(Parameters!$B$6)*Factors!SF5+SQRT(Parameters!$B$7)*Factors!SF10+SQRT(Parameters!$B$9)*NORM.S.INV(RAND())</f>
        <v/>
      </c>
      <c r="SG15" s="19">
        <f>SQRT(Parameters!$B$5)*Factors!SG4+SQRT(Parameters!$B$6)*Factors!SG5+SQRT(Parameters!$B$7)*Factors!SG10+SQRT(Parameters!$B$9)*NORM.S.INV(RAND())</f>
        <v/>
      </c>
    </row>
    <row r="16">
      <c r="A16" s="17" t="inlineStr">
        <is>
          <t>OBL-015</t>
        </is>
      </c>
      <c r="B16" s="19">
        <f>SQRT(Parameters!$B$5)*Factors!B4+SQRT(Parameters!$B$6)*Factors!B6+SQRT(Parameters!$B$7)*Factors!B10+SQRT(Parameters!$B$9)*NORM.S.INV(RAND())</f>
        <v/>
      </c>
      <c r="C16" s="19">
        <f>SQRT(Parameters!$B$5)*Factors!C4+SQRT(Parameters!$B$6)*Factors!C6+SQRT(Parameters!$B$7)*Factors!C10+SQRT(Parameters!$B$9)*NORM.S.INV(RAND())</f>
        <v/>
      </c>
      <c r="D16" s="19">
        <f>SQRT(Parameters!$B$5)*Factors!D4+SQRT(Parameters!$B$6)*Factors!D6+SQRT(Parameters!$B$7)*Factors!D10+SQRT(Parameters!$B$9)*NORM.S.INV(RAND())</f>
        <v/>
      </c>
      <c r="E16" s="19">
        <f>SQRT(Parameters!$B$5)*Factors!E4+SQRT(Parameters!$B$6)*Factors!E6+SQRT(Parameters!$B$7)*Factors!E10+SQRT(Parameters!$B$9)*NORM.S.INV(RAND())</f>
        <v/>
      </c>
      <c r="F16" s="19">
        <f>SQRT(Parameters!$B$5)*Factors!F4+SQRT(Parameters!$B$6)*Factors!F6+SQRT(Parameters!$B$7)*Factors!F10+SQRT(Parameters!$B$9)*NORM.S.INV(RAND())</f>
        <v/>
      </c>
      <c r="G16" s="19">
        <f>SQRT(Parameters!$B$5)*Factors!G4+SQRT(Parameters!$B$6)*Factors!G6+SQRT(Parameters!$B$7)*Factors!G10+SQRT(Parameters!$B$9)*NORM.S.INV(RAND())</f>
        <v/>
      </c>
      <c r="H16" s="19">
        <f>SQRT(Parameters!$B$5)*Factors!H4+SQRT(Parameters!$B$6)*Factors!H6+SQRT(Parameters!$B$7)*Factors!H10+SQRT(Parameters!$B$9)*NORM.S.INV(RAND())</f>
        <v/>
      </c>
      <c r="I16" s="19">
        <f>SQRT(Parameters!$B$5)*Factors!I4+SQRT(Parameters!$B$6)*Factors!I6+SQRT(Parameters!$B$7)*Factors!I10+SQRT(Parameters!$B$9)*NORM.S.INV(RAND())</f>
        <v/>
      </c>
      <c r="J16" s="19">
        <f>SQRT(Parameters!$B$5)*Factors!J4+SQRT(Parameters!$B$6)*Factors!J6+SQRT(Parameters!$B$7)*Factors!J10+SQRT(Parameters!$B$9)*NORM.S.INV(RAND())</f>
        <v/>
      </c>
      <c r="K16" s="19">
        <f>SQRT(Parameters!$B$5)*Factors!K4+SQRT(Parameters!$B$6)*Factors!K6+SQRT(Parameters!$B$7)*Factors!K10+SQRT(Parameters!$B$9)*NORM.S.INV(RAND())</f>
        <v/>
      </c>
      <c r="L16" s="19">
        <f>SQRT(Parameters!$B$5)*Factors!L4+SQRT(Parameters!$B$6)*Factors!L6+SQRT(Parameters!$B$7)*Factors!L10+SQRT(Parameters!$B$9)*NORM.S.INV(RAND())</f>
        <v/>
      </c>
      <c r="M16" s="19">
        <f>SQRT(Parameters!$B$5)*Factors!M4+SQRT(Parameters!$B$6)*Factors!M6+SQRT(Parameters!$B$7)*Factors!M10+SQRT(Parameters!$B$9)*NORM.S.INV(RAND())</f>
        <v/>
      </c>
      <c r="N16" s="19">
        <f>SQRT(Parameters!$B$5)*Factors!N4+SQRT(Parameters!$B$6)*Factors!N6+SQRT(Parameters!$B$7)*Factors!N10+SQRT(Parameters!$B$9)*NORM.S.INV(RAND())</f>
        <v/>
      </c>
      <c r="O16" s="19">
        <f>SQRT(Parameters!$B$5)*Factors!O4+SQRT(Parameters!$B$6)*Factors!O6+SQRT(Parameters!$B$7)*Factors!O10+SQRT(Parameters!$B$9)*NORM.S.INV(RAND())</f>
        <v/>
      </c>
      <c r="P16" s="19">
        <f>SQRT(Parameters!$B$5)*Factors!P4+SQRT(Parameters!$B$6)*Factors!P6+SQRT(Parameters!$B$7)*Factors!P10+SQRT(Parameters!$B$9)*NORM.S.INV(RAND())</f>
        <v/>
      </c>
      <c r="Q16" s="19">
        <f>SQRT(Parameters!$B$5)*Factors!Q4+SQRT(Parameters!$B$6)*Factors!Q6+SQRT(Parameters!$B$7)*Factors!Q10+SQRT(Parameters!$B$9)*NORM.S.INV(RAND())</f>
        <v/>
      </c>
      <c r="R16" s="19">
        <f>SQRT(Parameters!$B$5)*Factors!R4+SQRT(Parameters!$B$6)*Factors!R6+SQRT(Parameters!$B$7)*Factors!R10+SQRT(Parameters!$B$9)*NORM.S.INV(RAND())</f>
        <v/>
      </c>
      <c r="S16" s="19">
        <f>SQRT(Parameters!$B$5)*Factors!S4+SQRT(Parameters!$B$6)*Factors!S6+SQRT(Parameters!$B$7)*Factors!S10+SQRT(Parameters!$B$9)*NORM.S.INV(RAND())</f>
        <v/>
      </c>
      <c r="T16" s="19">
        <f>SQRT(Parameters!$B$5)*Factors!T4+SQRT(Parameters!$B$6)*Factors!T6+SQRT(Parameters!$B$7)*Factors!T10+SQRT(Parameters!$B$9)*NORM.S.INV(RAND())</f>
        <v/>
      </c>
      <c r="U16" s="19">
        <f>SQRT(Parameters!$B$5)*Factors!U4+SQRT(Parameters!$B$6)*Factors!U6+SQRT(Parameters!$B$7)*Factors!U10+SQRT(Parameters!$B$9)*NORM.S.INV(RAND())</f>
        <v/>
      </c>
      <c r="V16" s="19">
        <f>SQRT(Parameters!$B$5)*Factors!V4+SQRT(Parameters!$B$6)*Factors!V6+SQRT(Parameters!$B$7)*Factors!V10+SQRT(Parameters!$B$9)*NORM.S.INV(RAND())</f>
        <v/>
      </c>
      <c r="W16" s="19">
        <f>SQRT(Parameters!$B$5)*Factors!W4+SQRT(Parameters!$B$6)*Factors!W6+SQRT(Parameters!$B$7)*Factors!W10+SQRT(Parameters!$B$9)*NORM.S.INV(RAND())</f>
        <v/>
      </c>
      <c r="X16" s="19">
        <f>SQRT(Parameters!$B$5)*Factors!X4+SQRT(Parameters!$B$6)*Factors!X6+SQRT(Parameters!$B$7)*Factors!X10+SQRT(Parameters!$B$9)*NORM.S.INV(RAND())</f>
        <v/>
      </c>
      <c r="Y16" s="19">
        <f>SQRT(Parameters!$B$5)*Factors!Y4+SQRT(Parameters!$B$6)*Factors!Y6+SQRT(Parameters!$B$7)*Factors!Y10+SQRT(Parameters!$B$9)*NORM.S.INV(RAND())</f>
        <v/>
      </c>
      <c r="Z16" s="19">
        <f>SQRT(Parameters!$B$5)*Factors!Z4+SQRT(Parameters!$B$6)*Factors!Z6+SQRT(Parameters!$B$7)*Factors!Z10+SQRT(Parameters!$B$9)*NORM.S.INV(RAND())</f>
        <v/>
      </c>
      <c r="AA16" s="19">
        <f>SQRT(Parameters!$B$5)*Factors!AA4+SQRT(Parameters!$B$6)*Factors!AA6+SQRT(Parameters!$B$7)*Factors!AA10+SQRT(Parameters!$B$9)*NORM.S.INV(RAND())</f>
        <v/>
      </c>
      <c r="AB16" s="19">
        <f>SQRT(Parameters!$B$5)*Factors!AB4+SQRT(Parameters!$B$6)*Factors!AB6+SQRT(Parameters!$B$7)*Factors!AB10+SQRT(Parameters!$B$9)*NORM.S.INV(RAND())</f>
        <v/>
      </c>
      <c r="AC16" s="19">
        <f>SQRT(Parameters!$B$5)*Factors!AC4+SQRT(Parameters!$B$6)*Factors!AC6+SQRT(Parameters!$B$7)*Factors!AC10+SQRT(Parameters!$B$9)*NORM.S.INV(RAND())</f>
        <v/>
      </c>
      <c r="AD16" s="19">
        <f>SQRT(Parameters!$B$5)*Factors!AD4+SQRT(Parameters!$B$6)*Factors!AD6+SQRT(Parameters!$B$7)*Factors!AD10+SQRT(Parameters!$B$9)*NORM.S.INV(RAND())</f>
        <v/>
      </c>
      <c r="AE16" s="19">
        <f>SQRT(Parameters!$B$5)*Factors!AE4+SQRT(Parameters!$B$6)*Factors!AE6+SQRT(Parameters!$B$7)*Factors!AE10+SQRT(Parameters!$B$9)*NORM.S.INV(RAND())</f>
        <v/>
      </c>
      <c r="AF16" s="19">
        <f>SQRT(Parameters!$B$5)*Factors!AF4+SQRT(Parameters!$B$6)*Factors!AF6+SQRT(Parameters!$B$7)*Factors!AF10+SQRT(Parameters!$B$9)*NORM.S.INV(RAND())</f>
        <v/>
      </c>
      <c r="AG16" s="19">
        <f>SQRT(Parameters!$B$5)*Factors!AG4+SQRT(Parameters!$B$6)*Factors!AG6+SQRT(Parameters!$B$7)*Factors!AG10+SQRT(Parameters!$B$9)*NORM.S.INV(RAND())</f>
        <v/>
      </c>
      <c r="AH16" s="19">
        <f>SQRT(Parameters!$B$5)*Factors!AH4+SQRT(Parameters!$B$6)*Factors!AH6+SQRT(Parameters!$B$7)*Factors!AH10+SQRT(Parameters!$B$9)*NORM.S.INV(RAND())</f>
        <v/>
      </c>
      <c r="AI16" s="19">
        <f>SQRT(Parameters!$B$5)*Factors!AI4+SQRT(Parameters!$B$6)*Factors!AI6+SQRT(Parameters!$B$7)*Factors!AI10+SQRT(Parameters!$B$9)*NORM.S.INV(RAND())</f>
        <v/>
      </c>
      <c r="AJ16" s="19">
        <f>SQRT(Parameters!$B$5)*Factors!AJ4+SQRT(Parameters!$B$6)*Factors!AJ6+SQRT(Parameters!$B$7)*Factors!AJ10+SQRT(Parameters!$B$9)*NORM.S.INV(RAND())</f>
        <v/>
      </c>
      <c r="AK16" s="19">
        <f>SQRT(Parameters!$B$5)*Factors!AK4+SQRT(Parameters!$B$6)*Factors!AK6+SQRT(Parameters!$B$7)*Factors!AK10+SQRT(Parameters!$B$9)*NORM.S.INV(RAND())</f>
        <v/>
      </c>
      <c r="AL16" s="19">
        <f>SQRT(Parameters!$B$5)*Factors!AL4+SQRT(Parameters!$B$6)*Factors!AL6+SQRT(Parameters!$B$7)*Factors!AL10+SQRT(Parameters!$B$9)*NORM.S.INV(RAND())</f>
        <v/>
      </c>
      <c r="AM16" s="19">
        <f>SQRT(Parameters!$B$5)*Factors!AM4+SQRT(Parameters!$B$6)*Factors!AM6+SQRT(Parameters!$B$7)*Factors!AM10+SQRT(Parameters!$B$9)*NORM.S.INV(RAND())</f>
        <v/>
      </c>
      <c r="AN16" s="19">
        <f>SQRT(Parameters!$B$5)*Factors!AN4+SQRT(Parameters!$B$6)*Factors!AN6+SQRT(Parameters!$B$7)*Factors!AN10+SQRT(Parameters!$B$9)*NORM.S.INV(RAND())</f>
        <v/>
      </c>
      <c r="AO16" s="19">
        <f>SQRT(Parameters!$B$5)*Factors!AO4+SQRT(Parameters!$B$6)*Factors!AO6+SQRT(Parameters!$B$7)*Factors!AO10+SQRT(Parameters!$B$9)*NORM.S.INV(RAND())</f>
        <v/>
      </c>
      <c r="AP16" s="19">
        <f>SQRT(Parameters!$B$5)*Factors!AP4+SQRT(Parameters!$B$6)*Factors!AP6+SQRT(Parameters!$B$7)*Factors!AP10+SQRT(Parameters!$B$9)*NORM.S.INV(RAND())</f>
        <v/>
      </c>
      <c r="AQ16" s="19">
        <f>SQRT(Parameters!$B$5)*Factors!AQ4+SQRT(Parameters!$B$6)*Factors!AQ6+SQRT(Parameters!$B$7)*Factors!AQ10+SQRT(Parameters!$B$9)*NORM.S.INV(RAND())</f>
        <v/>
      </c>
      <c r="AR16" s="19">
        <f>SQRT(Parameters!$B$5)*Factors!AR4+SQRT(Parameters!$B$6)*Factors!AR6+SQRT(Parameters!$B$7)*Factors!AR10+SQRT(Parameters!$B$9)*NORM.S.INV(RAND())</f>
        <v/>
      </c>
      <c r="AS16" s="19">
        <f>SQRT(Parameters!$B$5)*Factors!AS4+SQRT(Parameters!$B$6)*Factors!AS6+SQRT(Parameters!$B$7)*Factors!AS10+SQRT(Parameters!$B$9)*NORM.S.INV(RAND())</f>
        <v/>
      </c>
      <c r="AT16" s="19">
        <f>SQRT(Parameters!$B$5)*Factors!AT4+SQRT(Parameters!$B$6)*Factors!AT6+SQRT(Parameters!$B$7)*Factors!AT10+SQRT(Parameters!$B$9)*NORM.S.INV(RAND())</f>
        <v/>
      </c>
      <c r="AU16" s="19">
        <f>SQRT(Parameters!$B$5)*Factors!AU4+SQRT(Parameters!$B$6)*Factors!AU6+SQRT(Parameters!$B$7)*Factors!AU10+SQRT(Parameters!$B$9)*NORM.S.INV(RAND())</f>
        <v/>
      </c>
      <c r="AV16" s="19">
        <f>SQRT(Parameters!$B$5)*Factors!AV4+SQRT(Parameters!$B$6)*Factors!AV6+SQRT(Parameters!$B$7)*Factors!AV10+SQRT(Parameters!$B$9)*NORM.S.INV(RAND())</f>
        <v/>
      </c>
      <c r="AW16" s="19">
        <f>SQRT(Parameters!$B$5)*Factors!AW4+SQRT(Parameters!$B$6)*Factors!AW6+SQRT(Parameters!$B$7)*Factors!AW10+SQRT(Parameters!$B$9)*NORM.S.INV(RAND())</f>
        <v/>
      </c>
      <c r="AX16" s="19">
        <f>SQRT(Parameters!$B$5)*Factors!AX4+SQRT(Parameters!$B$6)*Factors!AX6+SQRT(Parameters!$B$7)*Factors!AX10+SQRT(Parameters!$B$9)*NORM.S.INV(RAND())</f>
        <v/>
      </c>
      <c r="AY16" s="19">
        <f>SQRT(Parameters!$B$5)*Factors!AY4+SQRT(Parameters!$B$6)*Factors!AY6+SQRT(Parameters!$B$7)*Factors!AY10+SQRT(Parameters!$B$9)*NORM.S.INV(RAND())</f>
        <v/>
      </c>
      <c r="AZ16" s="19">
        <f>SQRT(Parameters!$B$5)*Factors!AZ4+SQRT(Parameters!$B$6)*Factors!AZ6+SQRT(Parameters!$B$7)*Factors!AZ10+SQRT(Parameters!$B$9)*NORM.S.INV(RAND())</f>
        <v/>
      </c>
      <c r="BA16" s="19">
        <f>SQRT(Parameters!$B$5)*Factors!BA4+SQRT(Parameters!$B$6)*Factors!BA6+SQRT(Parameters!$B$7)*Factors!BA10+SQRT(Parameters!$B$9)*NORM.S.INV(RAND())</f>
        <v/>
      </c>
      <c r="BB16" s="19">
        <f>SQRT(Parameters!$B$5)*Factors!BB4+SQRT(Parameters!$B$6)*Factors!BB6+SQRT(Parameters!$B$7)*Factors!BB10+SQRT(Parameters!$B$9)*NORM.S.INV(RAND())</f>
        <v/>
      </c>
      <c r="BC16" s="19">
        <f>SQRT(Parameters!$B$5)*Factors!BC4+SQRT(Parameters!$B$6)*Factors!BC6+SQRT(Parameters!$B$7)*Factors!BC10+SQRT(Parameters!$B$9)*NORM.S.INV(RAND())</f>
        <v/>
      </c>
      <c r="BD16" s="19">
        <f>SQRT(Parameters!$B$5)*Factors!BD4+SQRT(Parameters!$B$6)*Factors!BD6+SQRT(Parameters!$B$7)*Factors!BD10+SQRT(Parameters!$B$9)*NORM.S.INV(RAND())</f>
        <v/>
      </c>
      <c r="BE16" s="19">
        <f>SQRT(Parameters!$B$5)*Factors!BE4+SQRT(Parameters!$B$6)*Factors!BE6+SQRT(Parameters!$B$7)*Factors!BE10+SQRT(Parameters!$B$9)*NORM.S.INV(RAND())</f>
        <v/>
      </c>
      <c r="BF16" s="19">
        <f>SQRT(Parameters!$B$5)*Factors!BF4+SQRT(Parameters!$B$6)*Factors!BF6+SQRT(Parameters!$B$7)*Factors!BF10+SQRT(Parameters!$B$9)*NORM.S.INV(RAND())</f>
        <v/>
      </c>
      <c r="BG16" s="19">
        <f>SQRT(Parameters!$B$5)*Factors!BG4+SQRT(Parameters!$B$6)*Factors!BG6+SQRT(Parameters!$B$7)*Factors!BG10+SQRT(Parameters!$B$9)*NORM.S.INV(RAND())</f>
        <v/>
      </c>
      <c r="BH16" s="19">
        <f>SQRT(Parameters!$B$5)*Factors!BH4+SQRT(Parameters!$B$6)*Factors!BH6+SQRT(Parameters!$B$7)*Factors!BH10+SQRT(Parameters!$B$9)*NORM.S.INV(RAND())</f>
        <v/>
      </c>
      <c r="BI16" s="19">
        <f>SQRT(Parameters!$B$5)*Factors!BI4+SQRT(Parameters!$B$6)*Factors!BI6+SQRT(Parameters!$B$7)*Factors!BI10+SQRT(Parameters!$B$9)*NORM.S.INV(RAND())</f>
        <v/>
      </c>
      <c r="BJ16" s="19">
        <f>SQRT(Parameters!$B$5)*Factors!BJ4+SQRT(Parameters!$B$6)*Factors!BJ6+SQRT(Parameters!$B$7)*Factors!BJ10+SQRT(Parameters!$B$9)*NORM.S.INV(RAND())</f>
        <v/>
      </c>
      <c r="BK16" s="19">
        <f>SQRT(Parameters!$B$5)*Factors!BK4+SQRT(Parameters!$B$6)*Factors!BK6+SQRT(Parameters!$B$7)*Factors!BK10+SQRT(Parameters!$B$9)*NORM.S.INV(RAND())</f>
        <v/>
      </c>
      <c r="BL16" s="19">
        <f>SQRT(Parameters!$B$5)*Factors!BL4+SQRT(Parameters!$B$6)*Factors!BL6+SQRT(Parameters!$B$7)*Factors!BL10+SQRT(Parameters!$B$9)*NORM.S.INV(RAND())</f>
        <v/>
      </c>
      <c r="BM16" s="19">
        <f>SQRT(Parameters!$B$5)*Factors!BM4+SQRT(Parameters!$B$6)*Factors!BM6+SQRT(Parameters!$B$7)*Factors!BM10+SQRT(Parameters!$B$9)*NORM.S.INV(RAND())</f>
        <v/>
      </c>
      <c r="BN16" s="19">
        <f>SQRT(Parameters!$B$5)*Factors!BN4+SQRT(Parameters!$B$6)*Factors!BN6+SQRT(Parameters!$B$7)*Factors!BN10+SQRT(Parameters!$B$9)*NORM.S.INV(RAND())</f>
        <v/>
      </c>
      <c r="BO16" s="19">
        <f>SQRT(Parameters!$B$5)*Factors!BO4+SQRT(Parameters!$B$6)*Factors!BO6+SQRT(Parameters!$B$7)*Factors!BO10+SQRT(Parameters!$B$9)*NORM.S.INV(RAND())</f>
        <v/>
      </c>
      <c r="BP16" s="19">
        <f>SQRT(Parameters!$B$5)*Factors!BP4+SQRT(Parameters!$B$6)*Factors!BP6+SQRT(Parameters!$B$7)*Factors!BP10+SQRT(Parameters!$B$9)*NORM.S.INV(RAND())</f>
        <v/>
      </c>
      <c r="BQ16" s="19">
        <f>SQRT(Parameters!$B$5)*Factors!BQ4+SQRT(Parameters!$B$6)*Factors!BQ6+SQRT(Parameters!$B$7)*Factors!BQ10+SQRT(Parameters!$B$9)*NORM.S.INV(RAND())</f>
        <v/>
      </c>
      <c r="BR16" s="19">
        <f>SQRT(Parameters!$B$5)*Factors!BR4+SQRT(Parameters!$B$6)*Factors!BR6+SQRT(Parameters!$B$7)*Factors!BR10+SQRT(Parameters!$B$9)*NORM.S.INV(RAND())</f>
        <v/>
      </c>
      <c r="BS16" s="19">
        <f>SQRT(Parameters!$B$5)*Factors!BS4+SQRT(Parameters!$B$6)*Factors!BS6+SQRT(Parameters!$B$7)*Factors!BS10+SQRT(Parameters!$B$9)*NORM.S.INV(RAND())</f>
        <v/>
      </c>
      <c r="BT16" s="19">
        <f>SQRT(Parameters!$B$5)*Factors!BT4+SQRT(Parameters!$B$6)*Factors!BT6+SQRT(Parameters!$B$7)*Factors!BT10+SQRT(Parameters!$B$9)*NORM.S.INV(RAND())</f>
        <v/>
      </c>
      <c r="BU16" s="19">
        <f>SQRT(Parameters!$B$5)*Factors!BU4+SQRT(Parameters!$B$6)*Factors!BU6+SQRT(Parameters!$B$7)*Factors!BU10+SQRT(Parameters!$B$9)*NORM.S.INV(RAND())</f>
        <v/>
      </c>
      <c r="BV16" s="19">
        <f>SQRT(Parameters!$B$5)*Factors!BV4+SQRT(Parameters!$B$6)*Factors!BV6+SQRT(Parameters!$B$7)*Factors!BV10+SQRT(Parameters!$B$9)*NORM.S.INV(RAND())</f>
        <v/>
      </c>
      <c r="BW16" s="19">
        <f>SQRT(Parameters!$B$5)*Factors!BW4+SQRT(Parameters!$B$6)*Factors!BW6+SQRT(Parameters!$B$7)*Factors!BW10+SQRT(Parameters!$B$9)*NORM.S.INV(RAND())</f>
        <v/>
      </c>
      <c r="BX16" s="19">
        <f>SQRT(Parameters!$B$5)*Factors!BX4+SQRT(Parameters!$B$6)*Factors!BX6+SQRT(Parameters!$B$7)*Factors!BX10+SQRT(Parameters!$B$9)*NORM.S.INV(RAND())</f>
        <v/>
      </c>
      <c r="BY16" s="19">
        <f>SQRT(Parameters!$B$5)*Factors!BY4+SQRT(Parameters!$B$6)*Factors!BY6+SQRT(Parameters!$B$7)*Factors!BY10+SQRT(Parameters!$B$9)*NORM.S.INV(RAND())</f>
        <v/>
      </c>
      <c r="BZ16" s="19">
        <f>SQRT(Parameters!$B$5)*Factors!BZ4+SQRT(Parameters!$B$6)*Factors!BZ6+SQRT(Parameters!$B$7)*Factors!BZ10+SQRT(Parameters!$B$9)*NORM.S.INV(RAND())</f>
        <v/>
      </c>
      <c r="CA16" s="19">
        <f>SQRT(Parameters!$B$5)*Factors!CA4+SQRT(Parameters!$B$6)*Factors!CA6+SQRT(Parameters!$B$7)*Factors!CA10+SQRT(Parameters!$B$9)*NORM.S.INV(RAND())</f>
        <v/>
      </c>
      <c r="CB16" s="19">
        <f>SQRT(Parameters!$B$5)*Factors!CB4+SQRT(Parameters!$B$6)*Factors!CB6+SQRT(Parameters!$B$7)*Factors!CB10+SQRT(Parameters!$B$9)*NORM.S.INV(RAND())</f>
        <v/>
      </c>
      <c r="CC16" s="19">
        <f>SQRT(Parameters!$B$5)*Factors!CC4+SQRT(Parameters!$B$6)*Factors!CC6+SQRT(Parameters!$B$7)*Factors!CC10+SQRT(Parameters!$B$9)*NORM.S.INV(RAND())</f>
        <v/>
      </c>
      <c r="CD16" s="19">
        <f>SQRT(Parameters!$B$5)*Factors!CD4+SQRT(Parameters!$B$6)*Factors!CD6+SQRT(Parameters!$B$7)*Factors!CD10+SQRT(Parameters!$B$9)*NORM.S.INV(RAND())</f>
        <v/>
      </c>
      <c r="CE16" s="19">
        <f>SQRT(Parameters!$B$5)*Factors!CE4+SQRT(Parameters!$B$6)*Factors!CE6+SQRT(Parameters!$B$7)*Factors!CE10+SQRT(Parameters!$B$9)*NORM.S.INV(RAND())</f>
        <v/>
      </c>
      <c r="CF16" s="19">
        <f>SQRT(Parameters!$B$5)*Factors!CF4+SQRT(Parameters!$B$6)*Factors!CF6+SQRT(Parameters!$B$7)*Factors!CF10+SQRT(Parameters!$B$9)*NORM.S.INV(RAND())</f>
        <v/>
      </c>
      <c r="CG16" s="19">
        <f>SQRT(Parameters!$B$5)*Factors!CG4+SQRT(Parameters!$B$6)*Factors!CG6+SQRT(Parameters!$B$7)*Factors!CG10+SQRT(Parameters!$B$9)*NORM.S.INV(RAND())</f>
        <v/>
      </c>
      <c r="CH16" s="19">
        <f>SQRT(Parameters!$B$5)*Factors!CH4+SQRT(Parameters!$B$6)*Factors!CH6+SQRT(Parameters!$B$7)*Factors!CH10+SQRT(Parameters!$B$9)*NORM.S.INV(RAND())</f>
        <v/>
      </c>
      <c r="CI16" s="19">
        <f>SQRT(Parameters!$B$5)*Factors!CI4+SQRT(Parameters!$B$6)*Factors!CI6+SQRT(Parameters!$B$7)*Factors!CI10+SQRT(Parameters!$B$9)*NORM.S.INV(RAND())</f>
        <v/>
      </c>
      <c r="CJ16" s="19">
        <f>SQRT(Parameters!$B$5)*Factors!CJ4+SQRT(Parameters!$B$6)*Factors!CJ6+SQRT(Parameters!$B$7)*Factors!CJ10+SQRT(Parameters!$B$9)*NORM.S.INV(RAND())</f>
        <v/>
      </c>
      <c r="CK16" s="19">
        <f>SQRT(Parameters!$B$5)*Factors!CK4+SQRT(Parameters!$B$6)*Factors!CK6+SQRT(Parameters!$B$7)*Factors!CK10+SQRT(Parameters!$B$9)*NORM.S.INV(RAND())</f>
        <v/>
      </c>
      <c r="CL16" s="19">
        <f>SQRT(Parameters!$B$5)*Factors!CL4+SQRT(Parameters!$B$6)*Factors!CL6+SQRT(Parameters!$B$7)*Factors!CL10+SQRT(Parameters!$B$9)*NORM.S.INV(RAND())</f>
        <v/>
      </c>
      <c r="CM16" s="19">
        <f>SQRT(Parameters!$B$5)*Factors!CM4+SQRT(Parameters!$B$6)*Factors!CM6+SQRT(Parameters!$B$7)*Factors!CM10+SQRT(Parameters!$B$9)*NORM.S.INV(RAND())</f>
        <v/>
      </c>
      <c r="CN16" s="19">
        <f>SQRT(Parameters!$B$5)*Factors!CN4+SQRT(Parameters!$B$6)*Factors!CN6+SQRT(Parameters!$B$7)*Factors!CN10+SQRT(Parameters!$B$9)*NORM.S.INV(RAND())</f>
        <v/>
      </c>
      <c r="CO16" s="19">
        <f>SQRT(Parameters!$B$5)*Factors!CO4+SQRT(Parameters!$B$6)*Factors!CO6+SQRT(Parameters!$B$7)*Factors!CO10+SQRT(Parameters!$B$9)*NORM.S.INV(RAND())</f>
        <v/>
      </c>
      <c r="CP16" s="19">
        <f>SQRT(Parameters!$B$5)*Factors!CP4+SQRT(Parameters!$B$6)*Factors!CP6+SQRT(Parameters!$B$7)*Factors!CP10+SQRT(Parameters!$B$9)*NORM.S.INV(RAND())</f>
        <v/>
      </c>
      <c r="CQ16" s="19">
        <f>SQRT(Parameters!$B$5)*Factors!CQ4+SQRT(Parameters!$B$6)*Factors!CQ6+SQRT(Parameters!$B$7)*Factors!CQ10+SQRT(Parameters!$B$9)*NORM.S.INV(RAND())</f>
        <v/>
      </c>
      <c r="CR16" s="19">
        <f>SQRT(Parameters!$B$5)*Factors!CR4+SQRT(Parameters!$B$6)*Factors!CR6+SQRT(Parameters!$B$7)*Factors!CR10+SQRT(Parameters!$B$9)*NORM.S.INV(RAND())</f>
        <v/>
      </c>
      <c r="CS16" s="19">
        <f>SQRT(Parameters!$B$5)*Factors!CS4+SQRT(Parameters!$B$6)*Factors!CS6+SQRT(Parameters!$B$7)*Factors!CS10+SQRT(Parameters!$B$9)*NORM.S.INV(RAND())</f>
        <v/>
      </c>
      <c r="CT16" s="19">
        <f>SQRT(Parameters!$B$5)*Factors!CT4+SQRT(Parameters!$B$6)*Factors!CT6+SQRT(Parameters!$B$7)*Factors!CT10+SQRT(Parameters!$B$9)*NORM.S.INV(RAND())</f>
        <v/>
      </c>
      <c r="CU16" s="19">
        <f>SQRT(Parameters!$B$5)*Factors!CU4+SQRT(Parameters!$B$6)*Factors!CU6+SQRT(Parameters!$B$7)*Factors!CU10+SQRT(Parameters!$B$9)*NORM.S.INV(RAND())</f>
        <v/>
      </c>
      <c r="CV16" s="19">
        <f>SQRT(Parameters!$B$5)*Factors!CV4+SQRT(Parameters!$B$6)*Factors!CV6+SQRT(Parameters!$B$7)*Factors!CV10+SQRT(Parameters!$B$9)*NORM.S.INV(RAND())</f>
        <v/>
      </c>
      <c r="CW16" s="19">
        <f>SQRT(Parameters!$B$5)*Factors!CW4+SQRT(Parameters!$B$6)*Factors!CW6+SQRT(Parameters!$B$7)*Factors!CW10+SQRT(Parameters!$B$9)*NORM.S.INV(RAND())</f>
        <v/>
      </c>
      <c r="CX16" s="19">
        <f>SQRT(Parameters!$B$5)*Factors!CX4+SQRT(Parameters!$B$6)*Factors!CX6+SQRT(Parameters!$B$7)*Factors!CX10+SQRT(Parameters!$B$9)*NORM.S.INV(RAND())</f>
        <v/>
      </c>
      <c r="CY16" s="19">
        <f>SQRT(Parameters!$B$5)*Factors!CY4+SQRT(Parameters!$B$6)*Factors!CY6+SQRT(Parameters!$B$7)*Factors!CY10+SQRT(Parameters!$B$9)*NORM.S.INV(RAND())</f>
        <v/>
      </c>
      <c r="CZ16" s="19">
        <f>SQRT(Parameters!$B$5)*Factors!CZ4+SQRT(Parameters!$B$6)*Factors!CZ6+SQRT(Parameters!$B$7)*Factors!CZ10+SQRT(Parameters!$B$9)*NORM.S.INV(RAND())</f>
        <v/>
      </c>
      <c r="DA16" s="19">
        <f>SQRT(Parameters!$B$5)*Factors!DA4+SQRT(Parameters!$B$6)*Factors!DA6+SQRT(Parameters!$B$7)*Factors!DA10+SQRT(Parameters!$B$9)*NORM.S.INV(RAND())</f>
        <v/>
      </c>
      <c r="DB16" s="19">
        <f>SQRT(Parameters!$B$5)*Factors!DB4+SQRT(Parameters!$B$6)*Factors!DB6+SQRT(Parameters!$B$7)*Factors!DB10+SQRT(Parameters!$B$9)*NORM.S.INV(RAND())</f>
        <v/>
      </c>
      <c r="DC16" s="19">
        <f>SQRT(Parameters!$B$5)*Factors!DC4+SQRT(Parameters!$B$6)*Factors!DC6+SQRT(Parameters!$B$7)*Factors!DC10+SQRT(Parameters!$B$9)*NORM.S.INV(RAND())</f>
        <v/>
      </c>
      <c r="DD16" s="19">
        <f>SQRT(Parameters!$B$5)*Factors!DD4+SQRT(Parameters!$B$6)*Factors!DD6+SQRT(Parameters!$B$7)*Factors!DD10+SQRT(Parameters!$B$9)*NORM.S.INV(RAND())</f>
        <v/>
      </c>
      <c r="DE16" s="19">
        <f>SQRT(Parameters!$B$5)*Factors!DE4+SQRT(Parameters!$B$6)*Factors!DE6+SQRT(Parameters!$B$7)*Factors!DE10+SQRT(Parameters!$B$9)*NORM.S.INV(RAND())</f>
        <v/>
      </c>
      <c r="DF16" s="19">
        <f>SQRT(Parameters!$B$5)*Factors!DF4+SQRT(Parameters!$B$6)*Factors!DF6+SQRT(Parameters!$B$7)*Factors!DF10+SQRT(Parameters!$B$9)*NORM.S.INV(RAND())</f>
        <v/>
      </c>
      <c r="DG16" s="19">
        <f>SQRT(Parameters!$B$5)*Factors!DG4+SQRT(Parameters!$B$6)*Factors!DG6+SQRT(Parameters!$B$7)*Factors!DG10+SQRT(Parameters!$B$9)*NORM.S.INV(RAND())</f>
        <v/>
      </c>
      <c r="DH16" s="19">
        <f>SQRT(Parameters!$B$5)*Factors!DH4+SQRT(Parameters!$B$6)*Factors!DH6+SQRT(Parameters!$B$7)*Factors!DH10+SQRT(Parameters!$B$9)*NORM.S.INV(RAND())</f>
        <v/>
      </c>
      <c r="DI16" s="19">
        <f>SQRT(Parameters!$B$5)*Factors!DI4+SQRT(Parameters!$B$6)*Factors!DI6+SQRT(Parameters!$B$7)*Factors!DI10+SQRT(Parameters!$B$9)*NORM.S.INV(RAND())</f>
        <v/>
      </c>
      <c r="DJ16" s="19">
        <f>SQRT(Parameters!$B$5)*Factors!DJ4+SQRT(Parameters!$B$6)*Factors!DJ6+SQRT(Parameters!$B$7)*Factors!DJ10+SQRT(Parameters!$B$9)*NORM.S.INV(RAND())</f>
        <v/>
      </c>
      <c r="DK16" s="19">
        <f>SQRT(Parameters!$B$5)*Factors!DK4+SQRT(Parameters!$B$6)*Factors!DK6+SQRT(Parameters!$B$7)*Factors!DK10+SQRT(Parameters!$B$9)*NORM.S.INV(RAND())</f>
        <v/>
      </c>
      <c r="DL16" s="19">
        <f>SQRT(Parameters!$B$5)*Factors!DL4+SQRT(Parameters!$B$6)*Factors!DL6+SQRT(Parameters!$B$7)*Factors!DL10+SQRT(Parameters!$B$9)*NORM.S.INV(RAND())</f>
        <v/>
      </c>
      <c r="DM16" s="19">
        <f>SQRT(Parameters!$B$5)*Factors!DM4+SQRT(Parameters!$B$6)*Factors!DM6+SQRT(Parameters!$B$7)*Factors!DM10+SQRT(Parameters!$B$9)*NORM.S.INV(RAND())</f>
        <v/>
      </c>
      <c r="DN16" s="19">
        <f>SQRT(Parameters!$B$5)*Factors!DN4+SQRT(Parameters!$B$6)*Factors!DN6+SQRT(Parameters!$B$7)*Factors!DN10+SQRT(Parameters!$B$9)*NORM.S.INV(RAND())</f>
        <v/>
      </c>
      <c r="DO16" s="19">
        <f>SQRT(Parameters!$B$5)*Factors!DO4+SQRT(Parameters!$B$6)*Factors!DO6+SQRT(Parameters!$B$7)*Factors!DO10+SQRT(Parameters!$B$9)*NORM.S.INV(RAND())</f>
        <v/>
      </c>
      <c r="DP16" s="19">
        <f>SQRT(Parameters!$B$5)*Factors!DP4+SQRT(Parameters!$B$6)*Factors!DP6+SQRT(Parameters!$B$7)*Factors!DP10+SQRT(Parameters!$B$9)*NORM.S.INV(RAND())</f>
        <v/>
      </c>
      <c r="DQ16" s="19">
        <f>SQRT(Parameters!$B$5)*Factors!DQ4+SQRT(Parameters!$B$6)*Factors!DQ6+SQRT(Parameters!$B$7)*Factors!DQ10+SQRT(Parameters!$B$9)*NORM.S.INV(RAND())</f>
        <v/>
      </c>
      <c r="DR16" s="19">
        <f>SQRT(Parameters!$B$5)*Factors!DR4+SQRT(Parameters!$B$6)*Factors!DR6+SQRT(Parameters!$B$7)*Factors!DR10+SQRT(Parameters!$B$9)*NORM.S.INV(RAND())</f>
        <v/>
      </c>
      <c r="DS16" s="19">
        <f>SQRT(Parameters!$B$5)*Factors!DS4+SQRT(Parameters!$B$6)*Factors!DS6+SQRT(Parameters!$B$7)*Factors!DS10+SQRT(Parameters!$B$9)*NORM.S.INV(RAND())</f>
        <v/>
      </c>
      <c r="DT16" s="19">
        <f>SQRT(Parameters!$B$5)*Factors!DT4+SQRT(Parameters!$B$6)*Factors!DT6+SQRT(Parameters!$B$7)*Factors!DT10+SQRT(Parameters!$B$9)*NORM.S.INV(RAND())</f>
        <v/>
      </c>
      <c r="DU16" s="19">
        <f>SQRT(Parameters!$B$5)*Factors!DU4+SQRT(Parameters!$B$6)*Factors!DU6+SQRT(Parameters!$B$7)*Factors!DU10+SQRT(Parameters!$B$9)*NORM.S.INV(RAND())</f>
        <v/>
      </c>
      <c r="DV16" s="19">
        <f>SQRT(Parameters!$B$5)*Factors!DV4+SQRT(Parameters!$B$6)*Factors!DV6+SQRT(Parameters!$B$7)*Factors!DV10+SQRT(Parameters!$B$9)*NORM.S.INV(RAND())</f>
        <v/>
      </c>
      <c r="DW16" s="19">
        <f>SQRT(Parameters!$B$5)*Factors!DW4+SQRT(Parameters!$B$6)*Factors!DW6+SQRT(Parameters!$B$7)*Factors!DW10+SQRT(Parameters!$B$9)*NORM.S.INV(RAND())</f>
        <v/>
      </c>
      <c r="DX16" s="19">
        <f>SQRT(Parameters!$B$5)*Factors!DX4+SQRT(Parameters!$B$6)*Factors!DX6+SQRT(Parameters!$B$7)*Factors!DX10+SQRT(Parameters!$B$9)*NORM.S.INV(RAND())</f>
        <v/>
      </c>
      <c r="DY16" s="19">
        <f>SQRT(Parameters!$B$5)*Factors!DY4+SQRT(Parameters!$B$6)*Factors!DY6+SQRT(Parameters!$B$7)*Factors!DY10+SQRT(Parameters!$B$9)*NORM.S.INV(RAND())</f>
        <v/>
      </c>
      <c r="DZ16" s="19">
        <f>SQRT(Parameters!$B$5)*Factors!DZ4+SQRT(Parameters!$B$6)*Factors!DZ6+SQRT(Parameters!$B$7)*Factors!DZ10+SQRT(Parameters!$B$9)*NORM.S.INV(RAND())</f>
        <v/>
      </c>
      <c r="EA16" s="19">
        <f>SQRT(Parameters!$B$5)*Factors!EA4+SQRT(Parameters!$B$6)*Factors!EA6+SQRT(Parameters!$B$7)*Factors!EA10+SQRT(Parameters!$B$9)*NORM.S.INV(RAND())</f>
        <v/>
      </c>
      <c r="EB16" s="19">
        <f>SQRT(Parameters!$B$5)*Factors!EB4+SQRT(Parameters!$B$6)*Factors!EB6+SQRT(Parameters!$B$7)*Factors!EB10+SQRT(Parameters!$B$9)*NORM.S.INV(RAND())</f>
        <v/>
      </c>
      <c r="EC16" s="19">
        <f>SQRT(Parameters!$B$5)*Factors!EC4+SQRT(Parameters!$B$6)*Factors!EC6+SQRT(Parameters!$B$7)*Factors!EC10+SQRT(Parameters!$B$9)*NORM.S.INV(RAND())</f>
        <v/>
      </c>
      <c r="ED16" s="19">
        <f>SQRT(Parameters!$B$5)*Factors!ED4+SQRT(Parameters!$B$6)*Factors!ED6+SQRT(Parameters!$B$7)*Factors!ED10+SQRT(Parameters!$B$9)*NORM.S.INV(RAND())</f>
        <v/>
      </c>
      <c r="EE16" s="19">
        <f>SQRT(Parameters!$B$5)*Factors!EE4+SQRT(Parameters!$B$6)*Factors!EE6+SQRT(Parameters!$B$7)*Factors!EE10+SQRT(Parameters!$B$9)*NORM.S.INV(RAND())</f>
        <v/>
      </c>
      <c r="EF16" s="19">
        <f>SQRT(Parameters!$B$5)*Factors!EF4+SQRT(Parameters!$B$6)*Factors!EF6+SQRT(Parameters!$B$7)*Factors!EF10+SQRT(Parameters!$B$9)*NORM.S.INV(RAND())</f>
        <v/>
      </c>
      <c r="EG16" s="19">
        <f>SQRT(Parameters!$B$5)*Factors!EG4+SQRT(Parameters!$B$6)*Factors!EG6+SQRT(Parameters!$B$7)*Factors!EG10+SQRT(Parameters!$B$9)*NORM.S.INV(RAND())</f>
        <v/>
      </c>
      <c r="EH16" s="19">
        <f>SQRT(Parameters!$B$5)*Factors!EH4+SQRT(Parameters!$B$6)*Factors!EH6+SQRT(Parameters!$B$7)*Factors!EH10+SQRT(Parameters!$B$9)*NORM.S.INV(RAND())</f>
        <v/>
      </c>
      <c r="EI16" s="19">
        <f>SQRT(Parameters!$B$5)*Factors!EI4+SQRT(Parameters!$B$6)*Factors!EI6+SQRT(Parameters!$B$7)*Factors!EI10+SQRT(Parameters!$B$9)*NORM.S.INV(RAND())</f>
        <v/>
      </c>
      <c r="EJ16" s="19">
        <f>SQRT(Parameters!$B$5)*Factors!EJ4+SQRT(Parameters!$B$6)*Factors!EJ6+SQRT(Parameters!$B$7)*Factors!EJ10+SQRT(Parameters!$B$9)*NORM.S.INV(RAND())</f>
        <v/>
      </c>
      <c r="EK16" s="19">
        <f>SQRT(Parameters!$B$5)*Factors!EK4+SQRT(Parameters!$B$6)*Factors!EK6+SQRT(Parameters!$B$7)*Factors!EK10+SQRT(Parameters!$B$9)*NORM.S.INV(RAND())</f>
        <v/>
      </c>
      <c r="EL16" s="19">
        <f>SQRT(Parameters!$B$5)*Factors!EL4+SQRT(Parameters!$B$6)*Factors!EL6+SQRT(Parameters!$B$7)*Factors!EL10+SQRT(Parameters!$B$9)*NORM.S.INV(RAND())</f>
        <v/>
      </c>
      <c r="EM16" s="19">
        <f>SQRT(Parameters!$B$5)*Factors!EM4+SQRT(Parameters!$B$6)*Factors!EM6+SQRT(Parameters!$B$7)*Factors!EM10+SQRT(Parameters!$B$9)*NORM.S.INV(RAND())</f>
        <v/>
      </c>
      <c r="EN16" s="19">
        <f>SQRT(Parameters!$B$5)*Factors!EN4+SQRT(Parameters!$B$6)*Factors!EN6+SQRT(Parameters!$B$7)*Factors!EN10+SQRT(Parameters!$B$9)*NORM.S.INV(RAND())</f>
        <v/>
      </c>
      <c r="EO16" s="19">
        <f>SQRT(Parameters!$B$5)*Factors!EO4+SQRT(Parameters!$B$6)*Factors!EO6+SQRT(Parameters!$B$7)*Factors!EO10+SQRT(Parameters!$B$9)*NORM.S.INV(RAND())</f>
        <v/>
      </c>
      <c r="EP16" s="19">
        <f>SQRT(Parameters!$B$5)*Factors!EP4+SQRT(Parameters!$B$6)*Factors!EP6+SQRT(Parameters!$B$7)*Factors!EP10+SQRT(Parameters!$B$9)*NORM.S.INV(RAND())</f>
        <v/>
      </c>
      <c r="EQ16" s="19">
        <f>SQRT(Parameters!$B$5)*Factors!EQ4+SQRT(Parameters!$B$6)*Factors!EQ6+SQRT(Parameters!$B$7)*Factors!EQ10+SQRT(Parameters!$B$9)*NORM.S.INV(RAND())</f>
        <v/>
      </c>
      <c r="ER16" s="19">
        <f>SQRT(Parameters!$B$5)*Factors!ER4+SQRT(Parameters!$B$6)*Factors!ER6+SQRT(Parameters!$B$7)*Factors!ER10+SQRT(Parameters!$B$9)*NORM.S.INV(RAND())</f>
        <v/>
      </c>
      <c r="ES16" s="19">
        <f>SQRT(Parameters!$B$5)*Factors!ES4+SQRT(Parameters!$B$6)*Factors!ES6+SQRT(Parameters!$B$7)*Factors!ES10+SQRT(Parameters!$B$9)*NORM.S.INV(RAND())</f>
        <v/>
      </c>
      <c r="ET16" s="19">
        <f>SQRT(Parameters!$B$5)*Factors!ET4+SQRT(Parameters!$B$6)*Factors!ET6+SQRT(Parameters!$B$7)*Factors!ET10+SQRT(Parameters!$B$9)*NORM.S.INV(RAND())</f>
        <v/>
      </c>
      <c r="EU16" s="19">
        <f>SQRT(Parameters!$B$5)*Factors!EU4+SQRT(Parameters!$B$6)*Factors!EU6+SQRT(Parameters!$B$7)*Factors!EU10+SQRT(Parameters!$B$9)*NORM.S.INV(RAND())</f>
        <v/>
      </c>
      <c r="EV16" s="19">
        <f>SQRT(Parameters!$B$5)*Factors!EV4+SQRT(Parameters!$B$6)*Factors!EV6+SQRT(Parameters!$B$7)*Factors!EV10+SQRT(Parameters!$B$9)*NORM.S.INV(RAND())</f>
        <v/>
      </c>
      <c r="EW16" s="19">
        <f>SQRT(Parameters!$B$5)*Factors!EW4+SQRT(Parameters!$B$6)*Factors!EW6+SQRT(Parameters!$B$7)*Factors!EW10+SQRT(Parameters!$B$9)*NORM.S.INV(RAND())</f>
        <v/>
      </c>
      <c r="EX16" s="19">
        <f>SQRT(Parameters!$B$5)*Factors!EX4+SQRT(Parameters!$B$6)*Factors!EX6+SQRT(Parameters!$B$7)*Factors!EX10+SQRT(Parameters!$B$9)*NORM.S.INV(RAND())</f>
        <v/>
      </c>
      <c r="EY16" s="19">
        <f>SQRT(Parameters!$B$5)*Factors!EY4+SQRT(Parameters!$B$6)*Factors!EY6+SQRT(Parameters!$B$7)*Factors!EY10+SQRT(Parameters!$B$9)*NORM.S.INV(RAND())</f>
        <v/>
      </c>
      <c r="EZ16" s="19">
        <f>SQRT(Parameters!$B$5)*Factors!EZ4+SQRT(Parameters!$B$6)*Factors!EZ6+SQRT(Parameters!$B$7)*Factors!EZ10+SQRT(Parameters!$B$9)*NORM.S.INV(RAND())</f>
        <v/>
      </c>
      <c r="FA16" s="19">
        <f>SQRT(Parameters!$B$5)*Factors!FA4+SQRT(Parameters!$B$6)*Factors!FA6+SQRT(Parameters!$B$7)*Factors!FA10+SQRT(Parameters!$B$9)*NORM.S.INV(RAND())</f>
        <v/>
      </c>
      <c r="FB16" s="19">
        <f>SQRT(Parameters!$B$5)*Factors!FB4+SQRT(Parameters!$B$6)*Factors!FB6+SQRT(Parameters!$B$7)*Factors!FB10+SQRT(Parameters!$B$9)*NORM.S.INV(RAND())</f>
        <v/>
      </c>
      <c r="FC16" s="19">
        <f>SQRT(Parameters!$B$5)*Factors!FC4+SQRT(Parameters!$B$6)*Factors!FC6+SQRT(Parameters!$B$7)*Factors!FC10+SQRT(Parameters!$B$9)*NORM.S.INV(RAND())</f>
        <v/>
      </c>
      <c r="FD16" s="19">
        <f>SQRT(Parameters!$B$5)*Factors!FD4+SQRT(Parameters!$B$6)*Factors!FD6+SQRT(Parameters!$B$7)*Factors!FD10+SQRT(Parameters!$B$9)*NORM.S.INV(RAND())</f>
        <v/>
      </c>
      <c r="FE16" s="19">
        <f>SQRT(Parameters!$B$5)*Factors!FE4+SQRT(Parameters!$B$6)*Factors!FE6+SQRT(Parameters!$B$7)*Factors!FE10+SQRT(Parameters!$B$9)*NORM.S.INV(RAND())</f>
        <v/>
      </c>
      <c r="FF16" s="19">
        <f>SQRT(Parameters!$B$5)*Factors!FF4+SQRT(Parameters!$B$6)*Factors!FF6+SQRT(Parameters!$B$7)*Factors!FF10+SQRT(Parameters!$B$9)*NORM.S.INV(RAND())</f>
        <v/>
      </c>
      <c r="FG16" s="19">
        <f>SQRT(Parameters!$B$5)*Factors!FG4+SQRT(Parameters!$B$6)*Factors!FG6+SQRT(Parameters!$B$7)*Factors!FG10+SQRT(Parameters!$B$9)*NORM.S.INV(RAND())</f>
        <v/>
      </c>
      <c r="FH16" s="19">
        <f>SQRT(Parameters!$B$5)*Factors!FH4+SQRT(Parameters!$B$6)*Factors!FH6+SQRT(Parameters!$B$7)*Factors!FH10+SQRT(Parameters!$B$9)*NORM.S.INV(RAND())</f>
        <v/>
      </c>
      <c r="FI16" s="19">
        <f>SQRT(Parameters!$B$5)*Factors!FI4+SQRT(Parameters!$B$6)*Factors!FI6+SQRT(Parameters!$B$7)*Factors!FI10+SQRT(Parameters!$B$9)*NORM.S.INV(RAND())</f>
        <v/>
      </c>
      <c r="FJ16" s="19">
        <f>SQRT(Parameters!$B$5)*Factors!FJ4+SQRT(Parameters!$B$6)*Factors!FJ6+SQRT(Parameters!$B$7)*Factors!FJ10+SQRT(Parameters!$B$9)*NORM.S.INV(RAND())</f>
        <v/>
      </c>
      <c r="FK16" s="19">
        <f>SQRT(Parameters!$B$5)*Factors!FK4+SQRT(Parameters!$B$6)*Factors!FK6+SQRT(Parameters!$B$7)*Factors!FK10+SQRT(Parameters!$B$9)*NORM.S.INV(RAND())</f>
        <v/>
      </c>
      <c r="FL16" s="19">
        <f>SQRT(Parameters!$B$5)*Factors!FL4+SQRT(Parameters!$B$6)*Factors!FL6+SQRT(Parameters!$B$7)*Factors!FL10+SQRT(Parameters!$B$9)*NORM.S.INV(RAND())</f>
        <v/>
      </c>
      <c r="FM16" s="19">
        <f>SQRT(Parameters!$B$5)*Factors!FM4+SQRT(Parameters!$B$6)*Factors!FM6+SQRT(Parameters!$B$7)*Factors!FM10+SQRT(Parameters!$B$9)*NORM.S.INV(RAND())</f>
        <v/>
      </c>
      <c r="FN16" s="19">
        <f>SQRT(Parameters!$B$5)*Factors!FN4+SQRT(Parameters!$B$6)*Factors!FN6+SQRT(Parameters!$B$7)*Factors!FN10+SQRT(Parameters!$B$9)*NORM.S.INV(RAND())</f>
        <v/>
      </c>
      <c r="FO16" s="19">
        <f>SQRT(Parameters!$B$5)*Factors!FO4+SQRT(Parameters!$B$6)*Factors!FO6+SQRT(Parameters!$B$7)*Factors!FO10+SQRT(Parameters!$B$9)*NORM.S.INV(RAND())</f>
        <v/>
      </c>
      <c r="FP16" s="19">
        <f>SQRT(Parameters!$B$5)*Factors!FP4+SQRT(Parameters!$B$6)*Factors!FP6+SQRT(Parameters!$B$7)*Factors!FP10+SQRT(Parameters!$B$9)*NORM.S.INV(RAND())</f>
        <v/>
      </c>
      <c r="FQ16" s="19">
        <f>SQRT(Parameters!$B$5)*Factors!FQ4+SQRT(Parameters!$B$6)*Factors!FQ6+SQRT(Parameters!$B$7)*Factors!FQ10+SQRT(Parameters!$B$9)*NORM.S.INV(RAND())</f>
        <v/>
      </c>
      <c r="FR16" s="19">
        <f>SQRT(Parameters!$B$5)*Factors!FR4+SQRT(Parameters!$B$6)*Factors!FR6+SQRT(Parameters!$B$7)*Factors!FR10+SQRT(Parameters!$B$9)*NORM.S.INV(RAND())</f>
        <v/>
      </c>
      <c r="FS16" s="19">
        <f>SQRT(Parameters!$B$5)*Factors!FS4+SQRT(Parameters!$B$6)*Factors!FS6+SQRT(Parameters!$B$7)*Factors!FS10+SQRT(Parameters!$B$9)*NORM.S.INV(RAND())</f>
        <v/>
      </c>
      <c r="FT16" s="19">
        <f>SQRT(Parameters!$B$5)*Factors!FT4+SQRT(Parameters!$B$6)*Factors!FT6+SQRT(Parameters!$B$7)*Factors!FT10+SQRT(Parameters!$B$9)*NORM.S.INV(RAND())</f>
        <v/>
      </c>
      <c r="FU16" s="19">
        <f>SQRT(Parameters!$B$5)*Factors!FU4+SQRT(Parameters!$B$6)*Factors!FU6+SQRT(Parameters!$B$7)*Factors!FU10+SQRT(Parameters!$B$9)*NORM.S.INV(RAND())</f>
        <v/>
      </c>
      <c r="FV16" s="19">
        <f>SQRT(Parameters!$B$5)*Factors!FV4+SQRT(Parameters!$B$6)*Factors!FV6+SQRT(Parameters!$B$7)*Factors!FV10+SQRT(Parameters!$B$9)*NORM.S.INV(RAND())</f>
        <v/>
      </c>
      <c r="FW16" s="19">
        <f>SQRT(Parameters!$B$5)*Factors!FW4+SQRT(Parameters!$B$6)*Factors!FW6+SQRT(Parameters!$B$7)*Factors!FW10+SQRT(Parameters!$B$9)*NORM.S.INV(RAND())</f>
        <v/>
      </c>
      <c r="FX16" s="19">
        <f>SQRT(Parameters!$B$5)*Factors!FX4+SQRT(Parameters!$B$6)*Factors!FX6+SQRT(Parameters!$B$7)*Factors!FX10+SQRT(Parameters!$B$9)*NORM.S.INV(RAND())</f>
        <v/>
      </c>
      <c r="FY16" s="19">
        <f>SQRT(Parameters!$B$5)*Factors!FY4+SQRT(Parameters!$B$6)*Factors!FY6+SQRT(Parameters!$B$7)*Factors!FY10+SQRT(Parameters!$B$9)*NORM.S.INV(RAND())</f>
        <v/>
      </c>
      <c r="FZ16" s="19">
        <f>SQRT(Parameters!$B$5)*Factors!FZ4+SQRT(Parameters!$B$6)*Factors!FZ6+SQRT(Parameters!$B$7)*Factors!FZ10+SQRT(Parameters!$B$9)*NORM.S.INV(RAND())</f>
        <v/>
      </c>
      <c r="GA16" s="19">
        <f>SQRT(Parameters!$B$5)*Factors!GA4+SQRT(Parameters!$B$6)*Factors!GA6+SQRT(Parameters!$B$7)*Factors!GA10+SQRT(Parameters!$B$9)*NORM.S.INV(RAND())</f>
        <v/>
      </c>
      <c r="GB16" s="19">
        <f>SQRT(Parameters!$B$5)*Factors!GB4+SQRT(Parameters!$B$6)*Factors!GB6+SQRT(Parameters!$B$7)*Factors!GB10+SQRT(Parameters!$B$9)*NORM.S.INV(RAND())</f>
        <v/>
      </c>
      <c r="GC16" s="19">
        <f>SQRT(Parameters!$B$5)*Factors!GC4+SQRT(Parameters!$B$6)*Factors!GC6+SQRT(Parameters!$B$7)*Factors!GC10+SQRT(Parameters!$B$9)*NORM.S.INV(RAND())</f>
        <v/>
      </c>
      <c r="GD16" s="19">
        <f>SQRT(Parameters!$B$5)*Factors!GD4+SQRT(Parameters!$B$6)*Factors!GD6+SQRT(Parameters!$B$7)*Factors!GD10+SQRT(Parameters!$B$9)*NORM.S.INV(RAND())</f>
        <v/>
      </c>
      <c r="GE16" s="19">
        <f>SQRT(Parameters!$B$5)*Factors!GE4+SQRT(Parameters!$B$6)*Factors!GE6+SQRT(Parameters!$B$7)*Factors!GE10+SQRT(Parameters!$B$9)*NORM.S.INV(RAND())</f>
        <v/>
      </c>
      <c r="GF16" s="19">
        <f>SQRT(Parameters!$B$5)*Factors!GF4+SQRT(Parameters!$B$6)*Factors!GF6+SQRT(Parameters!$B$7)*Factors!GF10+SQRT(Parameters!$B$9)*NORM.S.INV(RAND())</f>
        <v/>
      </c>
      <c r="GG16" s="19">
        <f>SQRT(Parameters!$B$5)*Factors!GG4+SQRT(Parameters!$B$6)*Factors!GG6+SQRT(Parameters!$B$7)*Factors!GG10+SQRT(Parameters!$B$9)*NORM.S.INV(RAND())</f>
        <v/>
      </c>
      <c r="GH16" s="19">
        <f>SQRT(Parameters!$B$5)*Factors!GH4+SQRT(Parameters!$B$6)*Factors!GH6+SQRT(Parameters!$B$7)*Factors!GH10+SQRT(Parameters!$B$9)*NORM.S.INV(RAND())</f>
        <v/>
      </c>
      <c r="GI16" s="19">
        <f>SQRT(Parameters!$B$5)*Factors!GI4+SQRT(Parameters!$B$6)*Factors!GI6+SQRT(Parameters!$B$7)*Factors!GI10+SQRT(Parameters!$B$9)*NORM.S.INV(RAND())</f>
        <v/>
      </c>
      <c r="GJ16" s="19">
        <f>SQRT(Parameters!$B$5)*Factors!GJ4+SQRT(Parameters!$B$6)*Factors!GJ6+SQRT(Parameters!$B$7)*Factors!GJ10+SQRT(Parameters!$B$9)*NORM.S.INV(RAND())</f>
        <v/>
      </c>
      <c r="GK16" s="19">
        <f>SQRT(Parameters!$B$5)*Factors!GK4+SQRT(Parameters!$B$6)*Factors!GK6+SQRT(Parameters!$B$7)*Factors!GK10+SQRT(Parameters!$B$9)*NORM.S.INV(RAND())</f>
        <v/>
      </c>
      <c r="GL16" s="19">
        <f>SQRT(Parameters!$B$5)*Factors!GL4+SQRT(Parameters!$B$6)*Factors!GL6+SQRT(Parameters!$B$7)*Factors!GL10+SQRT(Parameters!$B$9)*NORM.S.INV(RAND())</f>
        <v/>
      </c>
      <c r="GM16" s="19">
        <f>SQRT(Parameters!$B$5)*Factors!GM4+SQRT(Parameters!$B$6)*Factors!GM6+SQRT(Parameters!$B$7)*Factors!GM10+SQRT(Parameters!$B$9)*NORM.S.INV(RAND())</f>
        <v/>
      </c>
      <c r="GN16" s="19">
        <f>SQRT(Parameters!$B$5)*Factors!GN4+SQRT(Parameters!$B$6)*Factors!GN6+SQRT(Parameters!$B$7)*Factors!GN10+SQRT(Parameters!$B$9)*NORM.S.INV(RAND())</f>
        <v/>
      </c>
      <c r="GO16" s="19">
        <f>SQRT(Parameters!$B$5)*Factors!GO4+SQRT(Parameters!$B$6)*Factors!GO6+SQRT(Parameters!$B$7)*Factors!GO10+SQRT(Parameters!$B$9)*NORM.S.INV(RAND())</f>
        <v/>
      </c>
      <c r="GP16" s="19">
        <f>SQRT(Parameters!$B$5)*Factors!GP4+SQRT(Parameters!$B$6)*Factors!GP6+SQRT(Parameters!$B$7)*Factors!GP10+SQRT(Parameters!$B$9)*NORM.S.INV(RAND())</f>
        <v/>
      </c>
      <c r="GQ16" s="19">
        <f>SQRT(Parameters!$B$5)*Factors!GQ4+SQRT(Parameters!$B$6)*Factors!GQ6+SQRT(Parameters!$B$7)*Factors!GQ10+SQRT(Parameters!$B$9)*NORM.S.INV(RAND())</f>
        <v/>
      </c>
      <c r="GR16" s="19">
        <f>SQRT(Parameters!$B$5)*Factors!GR4+SQRT(Parameters!$B$6)*Factors!GR6+SQRT(Parameters!$B$7)*Factors!GR10+SQRT(Parameters!$B$9)*NORM.S.INV(RAND())</f>
        <v/>
      </c>
      <c r="GS16" s="19">
        <f>SQRT(Parameters!$B$5)*Factors!GS4+SQRT(Parameters!$B$6)*Factors!GS6+SQRT(Parameters!$B$7)*Factors!GS10+SQRT(Parameters!$B$9)*NORM.S.INV(RAND())</f>
        <v/>
      </c>
      <c r="GT16" s="19">
        <f>SQRT(Parameters!$B$5)*Factors!GT4+SQRT(Parameters!$B$6)*Factors!GT6+SQRT(Parameters!$B$7)*Factors!GT10+SQRT(Parameters!$B$9)*NORM.S.INV(RAND())</f>
        <v/>
      </c>
      <c r="GU16" s="19">
        <f>SQRT(Parameters!$B$5)*Factors!GU4+SQRT(Parameters!$B$6)*Factors!GU6+SQRT(Parameters!$B$7)*Factors!GU10+SQRT(Parameters!$B$9)*NORM.S.INV(RAND())</f>
        <v/>
      </c>
      <c r="GV16" s="19">
        <f>SQRT(Parameters!$B$5)*Factors!GV4+SQRT(Parameters!$B$6)*Factors!GV6+SQRT(Parameters!$B$7)*Factors!GV10+SQRT(Parameters!$B$9)*NORM.S.INV(RAND())</f>
        <v/>
      </c>
      <c r="GW16" s="19">
        <f>SQRT(Parameters!$B$5)*Factors!GW4+SQRT(Parameters!$B$6)*Factors!GW6+SQRT(Parameters!$B$7)*Factors!GW10+SQRT(Parameters!$B$9)*NORM.S.INV(RAND())</f>
        <v/>
      </c>
      <c r="GX16" s="19">
        <f>SQRT(Parameters!$B$5)*Factors!GX4+SQRT(Parameters!$B$6)*Factors!GX6+SQRT(Parameters!$B$7)*Factors!GX10+SQRT(Parameters!$B$9)*NORM.S.INV(RAND())</f>
        <v/>
      </c>
      <c r="GY16" s="19">
        <f>SQRT(Parameters!$B$5)*Factors!GY4+SQRT(Parameters!$B$6)*Factors!GY6+SQRT(Parameters!$B$7)*Factors!GY10+SQRT(Parameters!$B$9)*NORM.S.INV(RAND())</f>
        <v/>
      </c>
      <c r="GZ16" s="19">
        <f>SQRT(Parameters!$B$5)*Factors!GZ4+SQRT(Parameters!$B$6)*Factors!GZ6+SQRT(Parameters!$B$7)*Factors!GZ10+SQRT(Parameters!$B$9)*NORM.S.INV(RAND())</f>
        <v/>
      </c>
      <c r="HA16" s="19">
        <f>SQRT(Parameters!$B$5)*Factors!HA4+SQRT(Parameters!$B$6)*Factors!HA6+SQRT(Parameters!$B$7)*Factors!HA10+SQRT(Parameters!$B$9)*NORM.S.INV(RAND())</f>
        <v/>
      </c>
      <c r="HB16" s="19">
        <f>SQRT(Parameters!$B$5)*Factors!HB4+SQRT(Parameters!$B$6)*Factors!HB6+SQRT(Parameters!$B$7)*Factors!HB10+SQRT(Parameters!$B$9)*NORM.S.INV(RAND())</f>
        <v/>
      </c>
      <c r="HC16" s="19">
        <f>SQRT(Parameters!$B$5)*Factors!HC4+SQRT(Parameters!$B$6)*Factors!HC6+SQRT(Parameters!$B$7)*Factors!HC10+SQRT(Parameters!$B$9)*NORM.S.INV(RAND())</f>
        <v/>
      </c>
      <c r="HD16" s="19">
        <f>SQRT(Parameters!$B$5)*Factors!HD4+SQRT(Parameters!$B$6)*Factors!HD6+SQRT(Parameters!$B$7)*Factors!HD10+SQRT(Parameters!$B$9)*NORM.S.INV(RAND())</f>
        <v/>
      </c>
      <c r="HE16" s="19">
        <f>SQRT(Parameters!$B$5)*Factors!HE4+SQRT(Parameters!$B$6)*Factors!HE6+SQRT(Parameters!$B$7)*Factors!HE10+SQRT(Parameters!$B$9)*NORM.S.INV(RAND())</f>
        <v/>
      </c>
      <c r="HF16" s="19">
        <f>SQRT(Parameters!$B$5)*Factors!HF4+SQRT(Parameters!$B$6)*Factors!HF6+SQRT(Parameters!$B$7)*Factors!HF10+SQRT(Parameters!$B$9)*NORM.S.INV(RAND())</f>
        <v/>
      </c>
      <c r="HG16" s="19">
        <f>SQRT(Parameters!$B$5)*Factors!HG4+SQRT(Parameters!$B$6)*Factors!HG6+SQRT(Parameters!$B$7)*Factors!HG10+SQRT(Parameters!$B$9)*NORM.S.INV(RAND())</f>
        <v/>
      </c>
      <c r="HH16" s="19">
        <f>SQRT(Parameters!$B$5)*Factors!HH4+SQRT(Parameters!$B$6)*Factors!HH6+SQRT(Parameters!$B$7)*Factors!HH10+SQRT(Parameters!$B$9)*NORM.S.INV(RAND())</f>
        <v/>
      </c>
      <c r="HI16" s="19">
        <f>SQRT(Parameters!$B$5)*Factors!HI4+SQRT(Parameters!$B$6)*Factors!HI6+SQRT(Parameters!$B$7)*Factors!HI10+SQRT(Parameters!$B$9)*NORM.S.INV(RAND())</f>
        <v/>
      </c>
      <c r="HJ16" s="19">
        <f>SQRT(Parameters!$B$5)*Factors!HJ4+SQRT(Parameters!$B$6)*Factors!HJ6+SQRT(Parameters!$B$7)*Factors!HJ10+SQRT(Parameters!$B$9)*NORM.S.INV(RAND())</f>
        <v/>
      </c>
      <c r="HK16" s="19">
        <f>SQRT(Parameters!$B$5)*Factors!HK4+SQRT(Parameters!$B$6)*Factors!HK6+SQRT(Parameters!$B$7)*Factors!HK10+SQRT(Parameters!$B$9)*NORM.S.INV(RAND())</f>
        <v/>
      </c>
      <c r="HL16" s="19">
        <f>SQRT(Parameters!$B$5)*Factors!HL4+SQRT(Parameters!$B$6)*Factors!HL6+SQRT(Parameters!$B$7)*Factors!HL10+SQRT(Parameters!$B$9)*NORM.S.INV(RAND())</f>
        <v/>
      </c>
      <c r="HM16" s="19">
        <f>SQRT(Parameters!$B$5)*Factors!HM4+SQRT(Parameters!$B$6)*Factors!HM6+SQRT(Parameters!$B$7)*Factors!HM10+SQRT(Parameters!$B$9)*NORM.S.INV(RAND())</f>
        <v/>
      </c>
      <c r="HN16" s="19">
        <f>SQRT(Parameters!$B$5)*Factors!HN4+SQRT(Parameters!$B$6)*Factors!HN6+SQRT(Parameters!$B$7)*Factors!HN10+SQRT(Parameters!$B$9)*NORM.S.INV(RAND())</f>
        <v/>
      </c>
      <c r="HO16" s="19">
        <f>SQRT(Parameters!$B$5)*Factors!HO4+SQRT(Parameters!$B$6)*Factors!HO6+SQRT(Parameters!$B$7)*Factors!HO10+SQRT(Parameters!$B$9)*NORM.S.INV(RAND())</f>
        <v/>
      </c>
      <c r="HP16" s="19">
        <f>SQRT(Parameters!$B$5)*Factors!HP4+SQRT(Parameters!$B$6)*Factors!HP6+SQRT(Parameters!$B$7)*Factors!HP10+SQRT(Parameters!$B$9)*NORM.S.INV(RAND())</f>
        <v/>
      </c>
      <c r="HQ16" s="19">
        <f>SQRT(Parameters!$B$5)*Factors!HQ4+SQRT(Parameters!$B$6)*Factors!HQ6+SQRT(Parameters!$B$7)*Factors!HQ10+SQRT(Parameters!$B$9)*NORM.S.INV(RAND())</f>
        <v/>
      </c>
      <c r="HR16" s="19">
        <f>SQRT(Parameters!$B$5)*Factors!HR4+SQRT(Parameters!$B$6)*Factors!HR6+SQRT(Parameters!$B$7)*Factors!HR10+SQRT(Parameters!$B$9)*NORM.S.INV(RAND())</f>
        <v/>
      </c>
      <c r="HS16" s="19">
        <f>SQRT(Parameters!$B$5)*Factors!HS4+SQRT(Parameters!$B$6)*Factors!HS6+SQRT(Parameters!$B$7)*Factors!HS10+SQRT(Parameters!$B$9)*NORM.S.INV(RAND())</f>
        <v/>
      </c>
      <c r="HT16" s="19">
        <f>SQRT(Parameters!$B$5)*Factors!HT4+SQRT(Parameters!$B$6)*Factors!HT6+SQRT(Parameters!$B$7)*Factors!HT10+SQRT(Parameters!$B$9)*NORM.S.INV(RAND())</f>
        <v/>
      </c>
      <c r="HU16" s="19">
        <f>SQRT(Parameters!$B$5)*Factors!HU4+SQRT(Parameters!$B$6)*Factors!HU6+SQRT(Parameters!$B$7)*Factors!HU10+SQRT(Parameters!$B$9)*NORM.S.INV(RAND())</f>
        <v/>
      </c>
      <c r="HV16" s="19">
        <f>SQRT(Parameters!$B$5)*Factors!HV4+SQRT(Parameters!$B$6)*Factors!HV6+SQRT(Parameters!$B$7)*Factors!HV10+SQRT(Parameters!$B$9)*NORM.S.INV(RAND())</f>
        <v/>
      </c>
      <c r="HW16" s="19">
        <f>SQRT(Parameters!$B$5)*Factors!HW4+SQRT(Parameters!$B$6)*Factors!HW6+SQRT(Parameters!$B$7)*Factors!HW10+SQRT(Parameters!$B$9)*NORM.S.INV(RAND())</f>
        <v/>
      </c>
      <c r="HX16" s="19">
        <f>SQRT(Parameters!$B$5)*Factors!HX4+SQRT(Parameters!$B$6)*Factors!HX6+SQRT(Parameters!$B$7)*Factors!HX10+SQRT(Parameters!$B$9)*NORM.S.INV(RAND())</f>
        <v/>
      </c>
      <c r="HY16" s="19">
        <f>SQRT(Parameters!$B$5)*Factors!HY4+SQRT(Parameters!$B$6)*Factors!HY6+SQRT(Parameters!$B$7)*Factors!HY10+SQRT(Parameters!$B$9)*NORM.S.INV(RAND())</f>
        <v/>
      </c>
      <c r="HZ16" s="19">
        <f>SQRT(Parameters!$B$5)*Factors!HZ4+SQRT(Parameters!$B$6)*Factors!HZ6+SQRT(Parameters!$B$7)*Factors!HZ10+SQRT(Parameters!$B$9)*NORM.S.INV(RAND())</f>
        <v/>
      </c>
      <c r="IA16" s="19">
        <f>SQRT(Parameters!$B$5)*Factors!IA4+SQRT(Parameters!$B$6)*Factors!IA6+SQRT(Parameters!$B$7)*Factors!IA10+SQRT(Parameters!$B$9)*NORM.S.INV(RAND())</f>
        <v/>
      </c>
      <c r="IB16" s="19">
        <f>SQRT(Parameters!$B$5)*Factors!IB4+SQRT(Parameters!$B$6)*Factors!IB6+SQRT(Parameters!$B$7)*Factors!IB10+SQRT(Parameters!$B$9)*NORM.S.INV(RAND())</f>
        <v/>
      </c>
      <c r="IC16" s="19">
        <f>SQRT(Parameters!$B$5)*Factors!IC4+SQRT(Parameters!$B$6)*Factors!IC6+SQRT(Parameters!$B$7)*Factors!IC10+SQRT(Parameters!$B$9)*NORM.S.INV(RAND())</f>
        <v/>
      </c>
      <c r="ID16" s="19">
        <f>SQRT(Parameters!$B$5)*Factors!ID4+SQRT(Parameters!$B$6)*Factors!ID6+SQRT(Parameters!$B$7)*Factors!ID10+SQRT(Parameters!$B$9)*NORM.S.INV(RAND())</f>
        <v/>
      </c>
      <c r="IE16" s="19">
        <f>SQRT(Parameters!$B$5)*Factors!IE4+SQRT(Parameters!$B$6)*Factors!IE6+SQRT(Parameters!$B$7)*Factors!IE10+SQRT(Parameters!$B$9)*NORM.S.INV(RAND())</f>
        <v/>
      </c>
      <c r="IF16" s="19">
        <f>SQRT(Parameters!$B$5)*Factors!IF4+SQRT(Parameters!$B$6)*Factors!IF6+SQRT(Parameters!$B$7)*Factors!IF10+SQRT(Parameters!$B$9)*NORM.S.INV(RAND())</f>
        <v/>
      </c>
      <c r="IG16" s="19">
        <f>SQRT(Parameters!$B$5)*Factors!IG4+SQRT(Parameters!$B$6)*Factors!IG6+SQRT(Parameters!$B$7)*Factors!IG10+SQRT(Parameters!$B$9)*NORM.S.INV(RAND())</f>
        <v/>
      </c>
      <c r="IH16" s="19">
        <f>SQRT(Parameters!$B$5)*Factors!IH4+SQRT(Parameters!$B$6)*Factors!IH6+SQRT(Parameters!$B$7)*Factors!IH10+SQRT(Parameters!$B$9)*NORM.S.INV(RAND())</f>
        <v/>
      </c>
      <c r="II16" s="19">
        <f>SQRT(Parameters!$B$5)*Factors!II4+SQRT(Parameters!$B$6)*Factors!II6+SQRT(Parameters!$B$7)*Factors!II10+SQRT(Parameters!$B$9)*NORM.S.INV(RAND())</f>
        <v/>
      </c>
      <c r="IJ16" s="19">
        <f>SQRT(Parameters!$B$5)*Factors!IJ4+SQRT(Parameters!$B$6)*Factors!IJ6+SQRT(Parameters!$B$7)*Factors!IJ10+SQRT(Parameters!$B$9)*NORM.S.INV(RAND())</f>
        <v/>
      </c>
      <c r="IK16" s="19">
        <f>SQRT(Parameters!$B$5)*Factors!IK4+SQRT(Parameters!$B$6)*Factors!IK6+SQRT(Parameters!$B$7)*Factors!IK10+SQRT(Parameters!$B$9)*NORM.S.INV(RAND())</f>
        <v/>
      </c>
      <c r="IL16" s="19">
        <f>SQRT(Parameters!$B$5)*Factors!IL4+SQRT(Parameters!$B$6)*Factors!IL6+SQRT(Parameters!$B$7)*Factors!IL10+SQRT(Parameters!$B$9)*NORM.S.INV(RAND())</f>
        <v/>
      </c>
      <c r="IM16" s="19">
        <f>SQRT(Parameters!$B$5)*Factors!IM4+SQRT(Parameters!$B$6)*Factors!IM6+SQRT(Parameters!$B$7)*Factors!IM10+SQRT(Parameters!$B$9)*NORM.S.INV(RAND())</f>
        <v/>
      </c>
      <c r="IN16" s="19">
        <f>SQRT(Parameters!$B$5)*Factors!IN4+SQRT(Parameters!$B$6)*Factors!IN6+SQRT(Parameters!$B$7)*Factors!IN10+SQRT(Parameters!$B$9)*NORM.S.INV(RAND())</f>
        <v/>
      </c>
      <c r="IO16" s="19">
        <f>SQRT(Parameters!$B$5)*Factors!IO4+SQRT(Parameters!$B$6)*Factors!IO6+SQRT(Parameters!$B$7)*Factors!IO10+SQRT(Parameters!$B$9)*NORM.S.INV(RAND())</f>
        <v/>
      </c>
      <c r="IP16" s="19">
        <f>SQRT(Parameters!$B$5)*Factors!IP4+SQRT(Parameters!$B$6)*Factors!IP6+SQRT(Parameters!$B$7)*Factors!IP10+SQRT(Parameters!$B$9)*NORM.S.INV(RAND())</f>
        <v/>
      </c>
      <c r="IQ16" s="19">
        <f>SQRT(Parameters!$B$5)*Factors!IQ4+SQRT(Parameters!$B$6)*Factors!IQ6+SQRT(Parameters!$B$7)*Factors!IQ10+SQRT(Parameters!$B$9)*NORM.S.INV(RAND())</f>
        <v/>
      </c>
      <c r="IR16" s="19">
        <f>SQRT(Parameters!$B$5)*Factors!IR4+SQRT(Parameters!$B$6)*Factors!IR6+SQRT(Parameters!$B$7)*Factors!IR10+SQRT(Parameters!$B$9)*NORM.S.INV(RAND())</f>
        <v/>
      </c>
      <c r="IS16" s="19">
        <f>SQRT(Parameters!$B$5)*Factors!IS4+SQRT(Parameters!$B$6)*Factors!IS6+SQRT(Parameters!$B$7)*Factors!IS10+SQRT(Parameters!$B$9)*NORM.S.INV(RAND())</f>
        <v/>
      </c>
      <c r="IT16" s="19">
        <f>SQRT(Parameters!$B$5)*Factors!IT4+SQRT(Parameters!$B$6)*Factors!IT6+SQRT(Parameters!$B$7)*Factors!IT10+SQRT(Parameters!$B$9)*NORM.S.INV(RAND())</f>
        <v/>
      </c>
      <c r="IU16" s="19">
        <f>SQRT(Parameters!$B$5)*Factors!IU4+SQRT(Parameters!$B$6)*Factors!IU6+SQRT(Parameters!$B$7)*Factors!IU10+SQRT(Parameters!$B$9)*NORM.S.INV(RAND())</f>
        <v/>
      </c>
      <c r="IV16" s="19">
        <f>SQRT(Parameters!$B$5)*Factors!IV4+SQRT(Parameters!$B$6)*Factors!IV6+SQRT(Parameters!$B$7)*Factors!IV10+SQRT(Parameters!$B$9)*NORM.S.INV(RAND())</f>
        <v/>
      </c>
      <c r="IW16" s="19">
        <f>SQRT(Parameters!$B$5)*Factors!IW4+SQRT(Parameters!$B$6)*Factors!IW6+SQRT(Parameters!$B$7)*Factors!IW10+SQRT(Parameters!$B$9)*NORM.S.INV(RAND())</f>
        <v/>
      </c>
      <c r="IX16" s="19">
        <f>SQRT(Parameters!$B$5)*Factors!IX4+SQRT(Parameters!$B$6)*Factors!IX6+SQRT(Parameters!$B$7)*Factors!IX10+SQRT(Parameters!$B$9)*NORM.S.INV(RAND())</f>
        <v/>
      </c>
      <c r="IY16" s="19">
        <f>SQRT(Parameters!$B$5)*Factors!IY4+SQRT(Parameters!$B$6)*Factors!IY6+SQRT(Parameters!$B$7)*Factors!IY10+SQRT(Parameters!$B$9)*NORM.S.INV(RAND())</f>
        <v/>
      </c>
      <c r="IZ16" s="19">
        <f>SQRT(Parameters!$B$5)*Factors!IZ4+SQRT(Parameters!$B$6)*Factors!IZ6+SQRT(Parameters!$B$7)*Factors!IZ10+SQRT(Parameters!$B$9)*NORM.S.INV(RAND())</f>
        <v/>
      </c>
      <c r="JA16" s="19">
        <f>SQRT(Parameters!$B$5)*Factors!JA4+SQRT(Parameters!$B$6)*Factors!JA6+SQRT(Parameters!$B$7)*Factors!JA10+SQRT(Parameters!$B$9)*NORM.S.INV(RAND())</f>
        <v/>
      </c>
      <c r="JB16" s="19">
        <f>SQRT(Parameters!$B$5)*Factors!JB4+SQRT(Parameters!$B$6)*Factors!JB6+SQRT(Parameters!$B$7)*Factors!JB10+SQRT(Parameters!$B$9)*NORM.S.INV(RAND())</f>
        <v/>
      </c>
      <c r="JC16" s="19">
        <f>SQRT(Parameters!$B$5)*Factors!JC4+SQRT(Parameters!$B$6)*Factors!JC6+SQRT(Parameters!$B$7)*Factors!JC10+SQRT(Parameters!$B$9)*NORM.S.INV(RAND())</f>
        <v/>
      </c>
      <c r="JD16" s="19">
        <f>SQRT(Parameters!$B$5)*Factors!JD4+SQRT(Parameters!$B$6)*Factors!JD6+SQRT(Parameters!$B$7)*Factors!JD10+SQRT(Parameters!$B$9)*NORM.S.INV(RAND())</f>
        <v/>
      </c>
      <c r="JE16" s="19">
        <f>SQRT(Parameters!$B$5)*Factors!JE4+SQRT(Parameters!$B$6)*Factors!JE6+SQRT(Parameters!$B$7)*Factors!JE10+SQRT(Parameters!$B$9)*NORM.S.INV(RAND())</f>
        <v/>
      </c>
      <c r="JF16" s="19">
        <f>SQRT(Parameters!$B$5)*Factors!JF4+SQRT(Parameters!$B$6)*Factors!JF6+SQRT(Parameters!$B$7)*Factors!JF10+SQRT(Parameters!$B$9)*NORM.S.INV(RAND())</f>
        <v/>
      </c>
      <c r="JG16" s="19">
        <f>SQRT(Parameters!$B$5)*Factors!JG4+SQRT(Parameters!$B$6)*Factors!JG6+SQRT(Parameters!$B$7)*Factors!JG10+SQRT(Parameters!$B$9)*NORM.S.INV(RAND())</f>
        <v/>
      </c>
      <c r="JH16" s="19">
        <f>SQRT(Parameters!$B$5)*Factors!JH4+SQRT(Parameters!$B$6)*Factors!JH6+SQRT(Parameters!$B$7)*Factors!JH10+SQRT(Parameters!$B$9)*NORM.S.INV(RAND())</f>
        <v/>
      </c>
      <c r="JI16" s="19">
        <f>SQRT(Parameters!$B$5)*Factors!JI4+SQRT(Parameters!$B$6)*Factors!JI6+SQRT(Parameters!$B$7)*Factors!JI10+SQRT(Parameters!$B$9)*NORM.S.INV(RAND())</f>
        <v/>
      </c>
      <c r="JJ16" s="19">
        <f>SQRT(Parameters!$B$5)*Factors!JJ4+SQRT(Parameters!$B$6)*Factors!JJ6+SQRT(Parameters!$B$7)*Factors!JJ10+SQRT(Parameters!$B$9)*NORM.S.INV(RAND())</f>
        <v/>
      </c>
      <c r="JK16" s="19">
        <f>SQRT(Parameters!$B$5)*Factors!JK4+SQRT(Parameters!$B$6)*Factors!JK6+SQRT(Parameters!$B$7)*Factors!JK10+SQRT(Parameters!$B$9)*NORM.S.INV(RAND())</f>
        <v/>
      </c>
      <c r="JL16" s="19">
        <f>SQRT(Parameters!$B$5)*Factors!JL4+SQRT(Parameters!$B$6)*Factors!JL6+SQRT(Parameters!$B$7)*Factors!JL10+SQRT(Parameters!$B$9)*NORM.S.INV(RAND())</f>
        <v/>
      </c>
      <c r="JM16" s="19">
        <f>SQRT(Parameters!$B$5)*Factors!JM4+SQRT(Parameters!$B$6)*Factors!JM6+SQRT(Parameters!$B$7)*Factors!JM10+SQRT(Parameters!$B$9)*NORM.S.INV(RAND())</f>
        <v/>
      </c>
      <c r="JN16" s="19">
        <f>SQRT(Parameters!$B$5)*Factors!JN4+SQRT(Parameters!$B$6)*Factors!JN6+SQRT(Parameters!$B$7)*Factors!JN10+SQRT(Parameters!$B$9)*NORM.S.INV(RAND())</f>
        <v/>
      </c>
      <c r="JO16" s="19">
        <f>SQRT(Parameters!$B$5)*Factors!JO4+SQRT(Parameters!$B$6)*Factors!JO6+SQRT(Parameters!$B$7)*Factors!JO10+SQRT(Parameters!$B$9)*NORM.S.INV(RAND())</f>
        <v/>
      </c>
      <c r="JP16" s="19">
        <f>SQRT(Parameters!$B$5)*Factors!JP4+SQRT(Parameters!$B$6)*Factors!JP6+SQRT(Parameters!$B$7)*Factors!JP10+SQRT(Parameters!$B$9)*NORM.S.INV(RAND())</f>
        <v/>
      </c>
      <c r="JQ16" s="19">
        <f>SQRT(Parameters!$B$5)*Factors!JQ4+SQRT(Parameters!$B$6)*Factors!JQ6+SQRT(Parameters!$B$7)*Factors!JQ10+SQRT(Parameters!$B$9)*NORM.S.INV(RAND())</f>
        <v/>
      </c>
      <c r="JR16" s="19">
        <f>SQRT(Parameters!$B$5)*Factors!JR4+SQRT(Parameters!$B$6)*Factors!JR6+SQRT(Parameters!$B$7)*Factors!JR10+SQRT(Parameters!$B$9)*NORM.S.INV(RAND())</f>
        <v/>
      </c>
      <c r="JS16" s="19">
        <f>SQRT(Parameters!$B$5)*Factors!JS4+SQRT(Parameters!$B$6)*Factors!JS6+SQRT(Parameters!$B$7)*Factors!JS10+SQRT(Parameters!$B$9)*NORM.S.INV(RAND())</f>
        <v/>
      </c>
      <c r="JT16" s="19">
        <f>SQRT(Parameters!$B$5)*Factors!JT4+SQRT(Parameters!$B$6)*Factors!JT6+SQRT(Parameters!$B$7)*Factors!JT10+SQRT(Parameters!$B$9)*NORM.S.INV(RAND())</f>
        <v/>
      </c>
      <c r="JU16" s="19">
        <f>SQRT(Parameters!$B$5)*Factors!JU4+SQRT(Parameters!$B$6)*Factors!JU6+SQRT(Parameters!$B$7)*Factors!JU10+SQRT(Parameters!$B$9)*NORM.S.INV(RAND())</f>
        <v/>
      </c>
      <c r="JV16" s="19">
        <f>SQRT(Parameters!$B$5)*Factors!JV4+SQRT(Parameters!$B$6)*Factors!JV6+SQRT(Parameters!$B$7)*Factors!JV10+SQRT(Parameters!$B$9)*NORM.S.INV(RAND())</f>
        <v/>
      </c>
      <c r="JW16" s="19">
        <f>SQRT(Parameters!$B$5)*Factors!JW4+SQRT(Parameters!$B$6)*Factors!JW6+SQRT(Parameters!$B$7)*Factors!JW10+SQRT(Parameters!$B$9)*NORM.S.INV(RAND())</f>
        <v/>
      </c>
      <c r="JX16" s="19">
        <f>SQRT(Parameters!$B$5)*Factors!JX4+SQRT(Parameters!$B$6)*Factors!JX6+SQRT(Parameters!$B$7)*Factors!JX10+SQRT(Parameters!$B$9)*NORM.S.INV(RAND())</f>
        <v/>
      </c>
      <c r="JY16" s="19">
        <f>SQRT(Parameters!$B$5)*Factors!JY4+SQRT(Parameters!$B$6)*Factors!JY6+SQRT(Parameters!$B$7)*Factors!JY10+SQRT(Parameters!$B$9)*NORM.S.INV(RAND())</f>
        <v/>
      </c>
      <c r="JZ16" s="19">
        <f>SQRT(Parameters!$B$5)*Factors!JZ4+SQRT(Parameters!$B$6)*Factors!JZ6+SQRT(Parameters!$B$7)*Factors!JZ10+SQRT(Parameters!$B$9)*NORM.S.INV(RAND())</f>
        <v/>
      </c>
      <c r="KA16" s="19">
        <f>SQRT(Parameters!$B$5)*Factors!KA4+SQRT(Parameters!$B$6)*Factors!KA6+SQRT(Parameters!$B$7)*Factors!KA10+SQRT(Parameters!$B$9)*NORM.S.INV(RAND())</f>
        <v/>
      </c>
      <c r="KB16" s="19">
        <f>SQRT(Parameters!$B$5)*Factors!KB4+SQRT(Parameters!$B$6)*Factors!KB6+SQRT(Parameters!$B$7)*Factors!KB10+SQRT(Parameters!$B$9)*NORM.S.INV(RAND())</f>
        <v/>
      </c>
      <c r="KC16" s="19">
        <f>SQRT(Parameters!$B$5)*Factors!KC4+SQRT(Parameters!$B$6)*Factors!KC6+SQRT(Parameters!$B$7)*Factors!KC10+SQRT(Parameters!$B$9)*NORM.S.INV(RAND())</f>
        <v/>
      </c>
      <c r="KD16" s="19">
        <f>SQRT(Parameters!$B$5)*Factors!KD4+SQRT(Parameters!$B$6)*Factors!KD6+SQRT(Parameters!$B$7)*Factors!KD10+SQRT(Parameters!$B$9)*NORM.S.INV(RAND())</f>
        <v/>
      </c>
      <c r="KE16" s="19">
        <f>SQRT(Parameters!$B$5)*Factors!KE4+SQRT(Parameters!$B$6)*Factors!KE6+SQRT(Parameters!$B$7)*Factors!KE10+SQRT(Parameters!$B$9)*NORM.S.INV(RAND())</f>
        <v/>
      </c>
      <c r="KF16" s="19">
        <f>SQRT(Parameters!$B$5)*Factors!KF4+SQRT(Parameters!$B$6)*Factors!KF6+SQRT(Parameters!$B$7)*Factors!KF10+SQRT(Parameters!$B$9)*NORM.S.INV(RAND())</f>
        <v/>
      </c>
      <c r="KG16" s="19">
        <f>SQRT(Parameters!$B$5)*Factors!KG4+SQRT(Parameters!$B$6)*Factors!KG6+SQRT(Parameters!$B$7)*Factors!KG10+SQRT(Parameters!$B$9)*NORM.S.INV(RAND())</f>
        <v/>
      </c>
      <c r="KH16" s="19">
        <f>SQRT(Parameters!$B$5)*Factors!KH4+SQRT(Parameters!$B$6)*Factors!KH6+SQRT(Parameters!$B$7)*Factors!KH10+SQRT(Parameters!$B$9)*NORM.S.INV(RAND())</f>
        <v/>
      </c>
      <c r="KI16" s="19">
        <f>SQRT(Parameters!$B$5)*Factors!KI4+SQRT(Parameters!$B$6)*Factors!KI6+SQRT(Parameters!$B$7)*Factors!KI10+SQRT(Parameters!$B$9)*NORM.S.INV(RAND())</f>
        <v/>
      </c>
      <c r="KJ16" s="19">
        <f>SQRT(Parameters!$B$5)*Factors!KJ4+SQRT(Parameters!$B$6)*Factors!KJ6+SQRT(Parameters!$B$7)*Factors!KJ10+SQRT(Parameters!$B$9)*NORM.S.INV(RAND())</f>
        <v/>
      </c>
      <c r="KK16" s="19">
        <f>SQRT(Parameters!$B$5)*Factors!KK4+SQRT(Parameters!$B$6)*Factors!KK6+SQRT(Parameters!$B$7)*Factors!KK10+SQRT(Parameters!$B$9)*NORM.S.INV(RAND())</f>
        <v/>
      </c>
      <c r="KL16" s="19">
        <f>SQRT(Parameters!$B$5)*Factors!KL4+SQRT(Parameters!$B$6)*Factors!KL6+SQRT(Parameters!$B$7)*Factors!KL10+SQRT(Parameters!$B$9)*NORM.S.INV(RAND())</f>
        <v/>
      </c>
      <c r="KM16" s="19">
        <f>SQRT(Parameters!$B$5)*Factors!KM4+SQRT(Parameters!$B$6)*Factors!KM6+SQRT(Parameters!$B$7)*Factors!KM10+SQRT(Parameters!$B$9)*NORM.S.INV(RAND())</f>
        <v/>
      </c>
      <c r="KN16" s="19">
        <f>SQRT(Parameters!$B$5)*Factors!KN4+SQRT(Parameters!$B$6)*Factors!KN6+SQRT(Parameters!$B$7)*Factors!KN10+SQRT(Parameters!$B$9)*NORM.S.INV(RAND())</f>
        <v/>
      </c>
      <c r="KO16" s="19">
        <f>SQRT(Parameters!$B$5)*Factors!KO4+SQRT(Parameters!$B$6)*Factors!KO6+SQRT(Parameters!$B$7)*Factors!KO10+SQRT(Parameters!$B$9)*NORM.S.INV(RAND())</f>
        <v/>
      </c>
      <c r="KP16" s="19">
        <f>SQRT(Parameters!$B$5)*Factors!KP4+SQRT(Parameters!$B$6)*Factors!KP6+SQRT(Parameters!$B$7)*Factors!KP10+SQRT(Parameters!$B$9)*NORM.S.INV(RAND())</f>
        <v/>
      </c>
      <c r="KQ16" s="19">
        <f>SQRT(Parameters!$B$5)*Factors!KQ4+SQRT(Parameters!$B$6)*Factors!KQ6+SQRT(Parameters!$B$7)*Factors!KQ10+SQRT(Parameters!$B$9)*NORM.S.INV(RAND())</f>
        <v/>
      </c>
      <c r="KR16" s="19">
        <f>SQRT(Parameters!$B$5)*Factors!KR4+SQRT(Parameters!$B$6)*Factors!KR6+SQRT(Parameters!$B$7)*Factors!KR10+SQRT(Parameters!$B$9)*NORM.S.INV(RAND())</f>
        <v/>
      </c>
      <c r="KS16" s="19">
        <f>SQRT(Parameters!$B$5)*Factors!KS4+SQRT(Parameters!$B$6)*Factors!KS6+SQRT(Parameters!$B$7)*Factors!KS10+SQRT(Parameters!$B$9)*NORM.S.INV(RAND())</f>
        <v/>
      </c>
      <c r="KT16" s="19">
        <f>SQRT(Parameters!$B$5)*Factors!KT4+SQRT(Parameters!$B$6)*Factors!KT6+SQRT(Parameters!$B$7)*Factors!KT10+SQRT(Parameters!$B$9)*NORM.S.INV(RAND())</f>
        <v/>
      </c>
      <c r="KU16" s="19">
        <f>SQRT(Parameters!$B$5)*Factors!KU4+SQRT(Parameters!$B$6)*Factors!KU6+SQRT(Parameters!$B$7)*Factors!KU10+SQRT(Parameters!$B$9)*NORM.S.INV(RAND())</f>
        <v/>
      </c>
      <c r="KV16" s="19">
        <f>SQRT(Parameters!$B$5)*Factors!KV4+SQRT(Parameters!$B$6)*Factors!KV6+SQRT(Parameters!$B$7)*Factors!KV10+SQRT(Parameters!$B$9)*NORM.S.INV(RAND())</f>
        <v/>
      </c>
      <c r="KW16" s="19">
        <f>SQRT(Parameters!$B$5)*Factors!KW4+SQRT(Parameters!$B$6)*Factors!KW6+SQRT(Parameters!$B$7)*Factors!KW10+SQRT(Parameters!$B$9)*NORM.S.INV(RAND())</f>
        <v/>
      </c>
      <c r="KX16" s="19">
        <f>SQRT(Parameters!$B$5)*Factors!KX4+SQRT(Parameters!$B$6)*Factors!KX6+SQRT(Parameters!$B$7)*Factors!KX10+SQRT(Parameters!$B$9)*NORM.S.INV(RAND())</f>
        <v/>
      </c>
      <c r="KY16" s="19">
        <f>SQRT(Parameters!$B$5)*Factors!KY4+SQRT(Parameters!$B$6)*Factors!KY6+SQRT(Parameters!$B$7)*Factors!KY10+SQRT(Parameters!$B$9)*NORM.S.INV(RAND())</f>
        <v/>
      </c>
      <c r="KZ16" s="19">
        <f>SQRT(Parameters!$B$5)*Factors!KZ4+SQRT(Parameters!$B$6)*Factors!KZ6+SQRT(Parameters!$B$7)*Factors!KZ10+SQRT(Parameters!$B$9)*NORM.S.INV(RAND())</f>
        <v/>
      </c>
      <c r="LA16" s="19">
        <f>SQRT(Parameters!$B$5)*Factors!LA4+SQRT(Parameters!$B$6)*Factors!LA6+SQRT(Parameters!$B$7)*Factors!LA10+SQRT(Parameters!$B$9)*NORM.S.INV(RAND())</f>
        <v/>
      </c>
      <c r="LB16" s="19">
        <f>SQRT(Parameters!$B$5)*Factors!LB4+SQRT(Parameters!$B$6)*Factors!LB6+SQRT(Parameters!$B$7)*Factors!LB10+SQRT(Parameters!$B$9)*NORM.S.INV(RAND())</f>
        <v/>
      </c>
      <c r="LC16" s="19">
        <f>SQRT(Parameters!$B$5)*Factors!LC4+SQRT(Parameters!$B$6)*Factors!LC6+SQRT(Parameters!$B$7)*Factors!LC10+SQRT(Parameters!$B$9)*NORM.S.INV(RAND())</f>
        <v/>
      </c>
      <c r="LD16" s="19">
        <f>SQRT(Parameters!$B$5)*Factors!LD4+SQRT(Parameters!$B$6)*Factors!LD6+SQRT(Parameters!$B$7)*Factors!LD10+SQRT(Parameters!$B$9)*NORM.S.INV(RAND())</f>
        <v/>
      </c>
      <c r="LE16" s="19">
        <f>SQRT(Parameters!$B$5)*Factors!LE4+SQRT(Parameters!$B$6)*Factors!LE6+SQRT(Parameters!$B$7)*Factors!LE10+SQRT(Parameters!$B$9)*NORM.S.INV(RAND())</f>
        <v/>
      </c>
      <c r="LF16" s="19">
        <f>SQRT(Parameters!$B$5)*Factors!LF4+SQRT(Parameters!$B$6)*Factors!LF6+SQRT(Parameters!$B$7)*Factors!LF10+SQRT(Parameters!$B$9)*NORM.S.INV(RAND())</f>
        <v/>
      </c>
      <c r="LG16" s="19">
        <f>SQRT(Parameters!$B$5)*Factors!LG4+SQRT(Parameters!$B$6)*Factors!LG6+SQRT(Parameters!$B$7)*Factors!LG10+SQRT(Parameters!$B$9)*NORM.S.INV(RAND())</f>
        <v/>
      </c>
      <c r="LH16" s="19">
        <f>SQRT(Parameters!$B$5)*Factors!LH4+SQRT(Parameters!$B$6)*Factors!LH6+SQRT(Parameters!$B$7)*Factors!LH10+SQRT(Parameters!$B$9)*NORM.S.INV(RAND())</f>
        <v/>
      </c>
      <c r="LI16" s="19">
        <f>SQRT(Parameters!$B$5)*Factors!LI4+SQRT(Parameters!$B$6)*Factors!LI6+SQRT(Parameters!$B$7)*Factors!LI10+SQRT(Parameters!$B$9)*NORM.S.INV(RAND())</f>
        <v/>
      </c>
      <c r="LJ16" s="19">
        <f>SQRT(Parameters!$B$5)*Factors!LJ4+SQRT(Parameters!$B$6)*Factors!LJ6+SQRT(Parameters!$B$7)*Factors!LJ10+SQRT(Parameters!$B$9)*NORM.S.INV(RAND())</f>
        <v/>
      </c>
      <c r="LK16" s="19">
        <f>SQRT(Parameters!$B$5)*Factors!LK4+SQRT(Parameters!$B$6)*Factors!LK6+SQRT(Parameters!$B$7)*Factors!LK10+SQRT(Parameters!$B$9)*NORM.S.INV(RAND())</f>
        <v/>
      </c>
      <c r="LL16" s="19">
        <f>SQRT(Parameters!$B$5)*Factors!LL4+SQRT(Parameters!$B$6)*Factors!LL6+SQRT(Parameters!$B$7)*Factors!LL10+SQRT(Parameters!$B$9)*NORM.S.INV(RAND())</f>
        <v/>
      </c>
      <c r="LM16" s="19">
        <f>SQRT(Parameters!$B$5)*Factors!LM4+SQRT(Parameters!$B$6)*Factors!LM6+SQRT(Parameters!$B$7)*Factors!LM10+SQRT(Parameters!$B$9)*NORM.S.INV(RAND())</f>
        <v/>
      </c>
      <c r="LN16" s="19">
        <f>SQRT(Parameters!$B$5)*Factors!LN4+SQRT(Parameters!$B$6)*Factors!LN6+SQRT(Parameters!$B$7)*Factors!LN10+SQRT(Parameters!$B$9)*NORM.S.INV(RAND())</f>
        <v/>
      </c>
      <c r="LO16" s="19">
        <f>SQRT(Parameters!$B$5)*Factors!LO4+SQRT(Parameters!$B$6)*Factors!LO6+SQRT(Parameters!$B$7)*Factors!LO10+SQRT(Parameters!$B$9)*NORM.S.INV(RAND())</f>
        <v/>
      </c>
      <c r="LP16" s="19">
        <f>SQRT(Parameters!$B$5)*Factors!LP4+SQRT(Parameters!$B$6)*Factors!LP6+SQRT(Parameters!$B$7)*Factors!LP10+SQRT(Parameters!$B$9)*NORM.S.INV(RAND())</f>
        <v/>
      </c>
      <c r="LQ16" s="19">
        <f>SQRT(Parameters!$B$5)*Factors!LQ4+SQRT(Parameters!$B$6)*Factors!LQ6+SQRT(Parameters!$B$7)*Factors!LQ10+SQRT(Parameters!$B$9)*NORM.S.INV(RAND())</f>
        <v/>
      </c>
      <c r="LR16" s="19">
        <f>SQRT(Parameters!$B$5)*Factors!LR4+SQRT(Parameters!$B$6)*Factors!LR6+SQRT(Parameters!$B$7)*Factors!LR10+SQRT(Parameters!$B$9)*NORM.S.INV(RAND())</f>
        <v/>
      </c>
      <c r="LS16" s="19">
        <f>SQRT(Parameters!$B$5)*Factors!LS4+SQRT(Parameters!$B$6)*Factors!LS6+SQRT(Parameters!$B$7)*Factors!LS10+SQRT(Parameters!$B$9)*NORM.S.INV(RAND())</f>
        <v/>
      </c>
      <c r="LT16" s="19">
        <f>SQRT(Parameters!$B$5)*Factors!LT4+SQRT(Parameters!$B$6)*Factors!LT6+SQRT(Parameters!$B$7)*Factors!LT10+SQRT(Parameters!$B$9)*NORM.S.INV(RAND())</f>
        <v/>
      </c>
      <c r="LU16" s="19">
        <f>SQRT(Parameters!$B$5)*Factors!LU4+SQRT(Parameters!$B$6)*Factors!LU6+SQRT(Parameters!$B$7)*Factors!LU10+SQRT(Parameters!$B$9)*NORM.S.INV(RAND())</f>
        <v/>
      </c>
      <c r="LV16" s="19">
        <f>SQRT(Parameters!$B$5)*Factors!LV4+SQRT(Parameters!$B$6)*Factors!LV6+SQRT(Parameters!$B$7)*Factors!LV10+SQRT(Parameters!$B$9)*NORM.S.INV(RAND())</f>
        <v/>
      </c>
      <c r="LW16" s="19">
        <f>SQRT(Parameters!$B$5)*Factors!LW4+SQRT(Parameters!$B$6)*Factors!LW6+SQRT(Parameters!$B$7)*Factors!LW10+SQRT(Parameters!$B$9)*NORM.S.INV(RAND())</f>
        <v/>
      </c>
      <c r="LX16" s="19">
        <f>SQRT(Parameters!$B$5)*Factors!LX4+SQRT(Parameters!$B$6)*Factors!LX6+SQRT(Parameters!$B$7)*Factors!LX10+SQRT(Parameters!$B$9)*NORM.S.INV(RAND())</f>
        <v/>
      </c>
      <c r="LY16" s="19">
        <f>SQRT(Parameters!$B$5)*Factors!LY4+SQRT(Parameters!$B$6)*Factors!LY6+SQRT(Parameters!$B$7)*Factors!LY10+SQRT(Parameters!$B$9)*NORM.S.INV(RAND())</f>
        <v/>
      </c>
      <c r="LZ16" s="19">
        <f>SQRT(Parameters!$B$5)*Factors!LZ4+SQRT(Parameters!$B$6)*Factors!LZ6+SQRT(Parameters!$B$7)*Factors!LZ10+SQRT(Parameters!$B$9)*NORM.S.INV(RAND())</f>
        <v/>
      </c>
      <c r="MA16" s="19">
        <f>SQRT(Parameters!$B$5)*Factors!MA4+SQRT(Parameters!$B$6)*Factors!MA6+SQRT(Parameters!$B$7)*Factors!MA10+SQRT(Parameters!$B$9)*NORM.S.INV(RAND())</f>
        <v/>
      </c>
      <c r="MB16" s="19">
        <f>SQRT(Parameters!$B$5)*Factors!MB4+SQRT(Parameters!$B$6)*Factors!MB6+SQRT(Parameters!$B$7)*Factors!MB10+SQRT(Parameters!$B$9)*NORM.S.INV(RAND())</f>
        <v/>
      </c>
      <c r="MC16" s="19">
        <f>SQRT(Parameters!$B$5)*Factors!MC4+SQRT(Parameters!$B$6)*Factors!MC6+SQRT(Parameters!$B$7)*Factors!MC10+SQRT(Parameters!$B$9)*NORM.S.INV(RAND())</f>
        <v/>
      </c>
      <c r="MD16" s="19">
        <f>SQRT(Parameters!$B$5)*Factors!MD4+SQRT(Parameters!$B$6)*Factors!MD6+SQRT(Parameters!$B$7)*Factors!MD10+SQRT(Parameters!$B$9)*NORM.S.INV(RAND())</f>
        <v/>
      </c>
      <c r="ME16" s="19">
        <f>SQRT(Parameters!$B$5)*Factors!ME4+SQRT(Parameters!$B$6)*Factors!ME6+SQRT(Parameters!$B$7)*Factors!ME10+SQRT(Parameters!$B$9)*NORM.S.INV(RAND())</f>
        <v/>
      </c>
      <c r="MF16" s="19">
        <f>SQRT(Parameters!$B$5)*Factors!MF4+SQRT(Parameters!$B$6)*Factors!MF6+SQRT(Parameters!$B$7)*Factors!MF10+SQRT(Parameters!$B$9)*NORM.S.INV(RAND())</f>
        <v/>
      </c>
      <c r="MG16" s="19">
        <f>SQRT(Parameters!$B$5)*Factors!MG4+SQRT(Parameters!$B$6)*Factors!MG6+SQRT(Parameters!$B$7)*Factors!MG10+SQRT(Parameters!$B$9)*NORM.S.INV(RAND())</f>
        <v/>
      </c>
      <c r="MH16" s="19">
        <f>SQRT(Parameters!$B$5)*Factors!MH4+SQRT(Parameters!$B$6)*Factors!MH6+SQRT(Parameters!$B$7)*Factors!MH10+SQRT(Parameters!$B$9)*NORM.S.INV(RAND())</f>
        <v/>
      </c>
      <c r="MI16" s="19">
        <f>SQRT(Parameters!$B$5)*Factors!MI4+SQRT(Parameters!$B$6)*Factors!MI6+SQRT(Parameters!$B$7)*Factors!MI10+SQRT(Parameters!$B$9)*NORM.S.INV(RAND())</f>
        <v/>
      </c>
      <c r="MJ16" s="19">
        <f>SQRT(Parameters!$B$5)*Factors!MJ4+SQRT(Parameters!$B$6)*Factors!MJ6+SQRT(Parameters!$B$7)*Factors!MJ10+SQRT(Parameters!$B$9)*NORM.S.INV(RAND())</f>
        <v/>
      </c>
      <c r="MK16" s="19">
        <f>SQRT(Parameters!$B$5)*Factors!MK4+SQRT(Parameters!$B$6)*Factors!MK6+SQRT(Parameters!$B$7)*Factors!MK10+SQRT(Parameters!$B$9)*NORM.S.INV(RAND())</f>
        <v/>
      </c>
      <c r="ML16" s="19">
        <f>SQRT(Parameters!$B$5)*Factors!ML4+SQRT(Parameters!$B$6)*Factors!ML6+SQRT(Parameters!$B$7)*Factors!ML10+SQRT(Parameters!$B$9)*NORM.S.INV(RAND())</f>
        <v/>
      </c>
      <c r="MM16" s="19">
        <f>SQRT(Parameters!$B$5)*Factors!MM4+SQRT(Parameters!$B$6)*Factors!MM6+SQRT(Parameters!$B$7)*Factors!MM10+SQRT(Parameters!$B$9)*NORM.S.INV(RAND())</f>
        <v/>
      </c>
      <c r="MN16" s="19">
        <f>SQRT(Parameters!$B$5)*Factors!MN4+SQRT(Parameters!$B$6)*Factors!MN6+SQRT(Parameters!$B$7)*Factors!MN10+SQRT(Parameters!$B$9)*NORM.S.INV(RAND())</f>
        <v/>
      </c>
      <c r="MO16" s="19">
        <f>SQRT(Parameters!$B$5)*Factors!MO4+SQRT(Parameters!$B$6)*Factors!MO6+SQRT(Parameters!$B$7)*Factors!MO10+SQRT(Parameters!$B$9)*NORM.S.INV(RAND())</f>
        <v/>
      </c>
      <c r="MP16" s="19">
        <f>SQRT(Parameters!$B$5)*Factors!MP4+SQRT(Parameters!$B$6)*Factors!MP6+SQRT(Parameters!$B$7)*Factors!MP10+SQRT(Parameters!$B$9)*NORM.S.INV(RAND())</f>
        <v/>
      </c>
      <c r="MQ16" s="19">
        <f>SQRT(Parameters!$B$5)*Factors!MQ4+SQRT(Parameters!$B$6)*Factors!MQ6+SQRT(Parameters!$B$7)*Factors!MQ10+SQRT(Parameters!$B$9)*NORM.S.INV(RAND())</f>
        <v/>
      </c>
      <c r="MR16" s="19">
        <f>SQRT(Parameters!$B$5)*Factors!MR4+SQRT(Parameters!$B$6)*Factors!MR6+SQRT(Parameters!$B$7)*Factors!MR10+SQRT(Parameters!$B$9)*NORM.S.INV(RAND())</f>
        <v/>
      </c>
      <c r="MS16" s="19">
        <f>SQRT(Parameters!$B$5)*Factors!MS4+SQRT(Parameters!$B$6)*Factors!MS6+SQRT(Parameters!$B$7)*Factors!MS10+SQRT(Parameters!$B$9)*NORM.S.INV(RAND())</f>
        <v/>
      </c>
      <c r="MT16" s="19">
        <f>SQRT(Parameters!$B$5)*Factors!MT4+SQRT(Parameters!$B$6)*Factors!MT6+SQRT(Parameters!$B$7)*Factors!MT10+SQRT(Parameters!$B$9)*NORM.S.INV(RAND())</f>
        <v/>
      </c>
      <c r="MU16" s="19">
        <f>SQRT(Parameters!$B$5)*Factors!MU4+SQRT(Parameters!$B$6)*Factors!MU6+SQRT(Parameters!$B$7)*Factors!MU10+SQRT(Parameters!$B$9)*NORM.S.INV(RAND())</f>
        <v/>
      </c>
      <c r="MV16" s="19">
        <f>SQRT(Parameters!$B$5)*Factors!MV4+SQRT(Parameters!$B$6)*Factors!MV6+SQRT(Parameters!$B$7)*Factors!MV10+SQRT(Parameters!$B$9)*NORM.S.INV(RAND())</f>
        <v/>
      </c>
      <c r="MW16" s="19">
        <f>SQRT(Parameters!$B$5)*Factors!MW4+SQRT(Parameters!$B$6)*Factors!MW6+SQRT(Parameters!$B$7)*Factors!MW10+SQRT(Parameters!$B$9)*NORM.S.INV(RAND())</f>
        <v/>
      </c>
      <c r="MX16" s="19">
        <f>SQRT(Parameters!$B$5)*Factors!MX4+SQRT(Parameters!$B$6)*Factors!MX6+SQRT(Parameters!$B$7)*Factors!MX10+SQRT(Parameters!$B$9)*NORM.S.INV(RAND())</f>
        <v/>
      </c>
      <c r="MY16" s="19">
        <f>SQRT(Parameters!$B$5)*Factors!MY4+SQRT(Parameters!$B$6)*Factors!MY6+SQRT(Parameters!$B$7)*Factors!MY10+SQRT(Parameters!$B$9)*NORM.S.INV(RAND())</f>
        <v/>
      </c>
      <c r="MZ16" s="19">
        <f>SQRT(Parameters!$B$5)*Factors!MZ4+SQRT(Parameters!$B$6)*Factors!MZ6+SQRT(Parameters!$B$7)*Factors!MZ10+SQRT(Parameters!$B$9)*NORM.S.INV(RAND())</f>
        <v/>
      </c>
      <c r="NA16" s="19">
        <f>SQRT(Parameters!$B$5)*Factors!NA4+SQRT(Parameters!$B$6)*Factors!NA6+SQRT(Parameters!$B$7)*Factors!NA10+SQRT(Parameters!$B$9)*NORM.S.INV(RAND())</f>
        <v/>
      </c>
      <c r="NB16" s="19">
        <f>SQRT(Parameters!$B$5)*Factors!NB4+SQRT(Parameters!$B$6)*Factors!NB6+SQRT(Parameters!$B$7)*Factors!NB10+SQRT(Parameters!$B$9)*NORM.S.INV(RAND())</f>
        <v/>
      </c>
      <c r="NC16" s="19">
        <f>SQRT(Parameters!$B$5)*Factors!NC4+SQRT(Parameters!$B$6)*Factors!NC6+SQRT(Parameters!$B$7)*Factors!NC10+SQRT(Parameters!$B$9)*NORM.S.INV(RAND())</f>
        <v/>
      </c>
      <c r="ND16" s="19">
        <f>SQRT(Parameters!$B$5)*Factors!ND4+SQRT(Parameters!$B$6)*Factors!ND6+SQRT(Parameters!$B$7)*Factors!ND10+SQRT(Parameters!$B$9)*NORM.S.INV(RAND())</f>
        <v/>
      </c>
      <c r="NE16" s="19">
        <f>SQRT(Parameters!$B$5)*Factors!NE4+SQRT(Parameters!$B$6)*Factors!NE6+SQRT(Parameters!$B$7)*Factors!NE10+SQRT(Parameters!$B$9)*NORM.S.INV(RAND())</f>
        <v/>
      </c>
      <c r="NF16" s="19">
        <f>SQRT(Parameters!$B$5)*Factors!NF4+SQRT(Parameters!$B$6)*Factors!NF6+SQRT(Parameters!$B$7)*Factors!NF10+SQRT(Parameters!$B$9)*NORM.S.INV(RAND())</f>
        <v/>
      </c>
      <c r="NG16" s="19">
        <f>SQRT(Parameters!$B$5)*Factors!NG4+SQRT(Parameters!$B$6)*Factors!NG6+SQRT(Parameters!$B$7)*Factors!NG10+SQRT(Parameters!$B$9)*NORM.S.INV(RAND())</f>
        <v/>
      </c>
      <c r="NH16" s="19">
        <f>SQRT(Parameters!$B$5)*Factors!NH4+SQRT(Parameters!$B$6)*Factors!NH6+SQRT(Parameters!$B$7)*Factors!NH10+SQRT(Parameters!$B$9)*NORM.S.INV(RAND())</f>
        <v/>
      </c>
      <c r="NI16" s="19">
        <f>SQRT(Parameters!$B$5)*Factors!NI4+SQRT(Parameters!$B$6)*Factors!NI6+SQRT(Parameters!$B$7)*Factors!NI10+SQRT(Parameters!$B$9)*NORM.S.INV(RAND())</f>
        <v/>
      </c>
      <c r="NJ16" s="19">
        <f>SQRT(Parameters!$B$5)*Factors!NJ4+SQRT(Parameters!$B$6)*Factors!NJ6+SQRT(Parameters!$B$7)*Factors!NJ10+SQRT(Parameters!$B$9)*NORM.S.INV(RAND())</f>
        <v/>
      </c>
      <c r="NK16" s="19">
        <f>SQRT(Parameters!$B$5)*Factors!NK4+SQRT(Parameters!$B$6)*Factors!NK6+SQRT(Parameters!$B$7)*Factors!NK10+SQRT(Parameters!$B$9)*NORM.S.INV(RAND())</f>
        <v/>
      </c>
      <c r="NL16" s="19">
        <f>SQRT(Parameters!$B$5)*Factors!NL4+SQRT(Parameters!$B$6)*Factors!NL6+SQRT(Parameters!$B$7)*Factors!NL10+SQRT(Parameters!$B$9)*NORM.S.INV(RAND())</f>
        <v/>
      </c>
      <c r="NM16" s="19">
        <f>SQRT(Parameters!$B$5)*Factors!NM4+SQRT(Parameters!$B$6)*Factors!NM6+SQRT(Parameters!$B$7)*Factors!NM10+SQRT(Parameters!$B$9)*NORM.S.INV(RAND())</f>
        <v/>
      </c>
      <c r="NN16" s="19">
        <f>SQRT(Parameters!$B$5)*Factors!NN4+SQRT(Parameters!$B$6)*Factors!NN6+SQRT(Parameters!$B$7)*Factors!NN10+SQRT(Parameters!$B$9)*NORM.S.INV(RAND())</f>
        <v/>
      </c>
      <c r="NO16" s="19">
        <f>SQRT(Parameters!$B$5)*Factors!NO4+SQRT(Parameters!$B$6)*Factors!NO6+SQRT(Parameters!$B$7)*Factors!NO10+SQRT(Parameters!$B$9)*NORM.S.INV(RAND())</f>
        <v/>
      </c>
      <c r="NP16" s="19">
        <f>SQRT(Parameters!$B$5)*Factors!NP4+SQRT(Parameters!$B$6)*Factors!NP6+SQRT(Parameters!$B$7)*Factors!NP10+SQRT(Parameters!$B$9)*NORM.S.INV(RAND())</f>
        <v/>
      </c>
      <c r="NQ16" s="19">
        <f>SQRT(Parameters!$B$5)*Factors!NQ4+SQRT(Parameters!$B$6)*Factors!NQ6+SQRT(Parameters!$B$7)*Factors!NQ10+SQRT(Parameters!$B$9)*NORM.S.INV(RAND())</f>
        <v/>
      </c>
      <c r="NR16" s="19">
        <f>SQRT(Parameters!$B$5)*Factors!NR4+SQRT(Parameters!$B$6)*Factors!NR6+SQRT(Parameters!$B$7)*Factors!NR10+SQRT(Parameters!$B$9)*NORM.S.INV(RAND())</f>
        <v/>
      </c>
      <c r="NS16" s="19">
        <f>SQRT(Parameters!$B$5)*Factors!NS4+SQRT(Parameters!$B$6)*Factors!NS6+SQRT(Parameters!$B$7)*Factors!NS10+SQRT(Parameters!$B$9)*NORM.S.INV(RAND())</f>
        <v/>
      </c>
      <c r="NT16" s="19">
        <f>SQRT(Parameters!$B$5)*Factors!NT4+SQRT(Parameters!$B$6)*Factors!NT6+SQRT(Parameters!$B$7)*Factors!NT10+SQRT(Parameters!$B$9)*NORM.S.INV(RAND())</f>
        <v/>
      </c>
      <c r="NU16" s="19">
        <f>SQRT(Parameters!$B$5)*Factors!NU4+SQRT(Parameters!$B$6)*Factors!NU6+SQRT(Parameters!$B$7)*Factors!NU10+SQRT(Parameters!$B$9)*NORM.S.INV(RAND())</f>
        <v/>
      </c>
      <c r="NV16" s="19">
        <f>SQRT(Parameters!$B$5)*Factors!NV4+SQRT(Parameters!$B$6)*Factors!NV6+SQRT(Parameters!$B$7)*Factors!NV10+SQRT(Parameters!$B$9)*NORM.S.INV(RAND())</f>
        <v/>
      </c>
      <c r="NW16" s="19">
        <f>SQRT(Parameters!$B$5)*Factors!NW4+SQRT(Parameters!$B$6)*Factors!NW6+SQRT(Parameters!$B$7)*Factors!NW10+SQRT(Parameters!$B$9)*NORM.S.INV(RAND())</f>
        <v/>
      </c>
      <c r="NX16" s="19">
        <f>SQRT(Parameters!$B$5)*Factors!NX4+SQRT(Parameters!$B$6)*Factors!NX6+SQRT(Parameters!$B$7)*Factors!NX10+SQRT(Parameters!$B$9)*NORM.S.INV(RAND())</f>
        <v/>
      </c>
      <c r="NY16" s="19">
        <f>SQRT(Parameters!$B$5)*Factors!NY4+SQRT(Parameters!$B$6)*Factors!NY6+SQRT(Parameters!$B$7)*Factors!NY10+SQRT(Parameters!$B$9)*NORM.S.INV(RAND())</f>
        <v/>
      </c>
      <c r="NZ16" s="19">
        <f>SQRT(Parameters!$B$5)*Factors!NZ4+SQRT(Parameters!$B$6)*Factors!NZ6+SQRT(Parameters!$B$7)*Factors!NZ10+SQRT(Parameters!$B$9)*NORM.S.INV(RAND())</f>
        <v/>
      </c>
      <c r="OA16" s="19">
        <f>SQRT(Parameters!$B$5)*Factors!OA4+SQRT(Parameters!$B$6)*Factors!OA6+SQRT(Parameters!$B$7)*Factors!OA10+SQRT(Parameters!$B$9)*NORM.S.INV(RAND())</f>
        <v/>
      </c>
      <c r="OB16" s="19">
        <f>SQRT(Parameters!$B$5)*Factors!OB4+SQRT(Parameters!$B$6)*Factors!OB6+SQRT(Parameters!$B$7)*Factors!OB10+SQRT(Parameters!$B$9)*NORM.S.INV(RAND())</f>
        <v/>
      </c>
      <c r="OC16" s="19">
        <f>SQRT(Parameters!$B$5)*Factors!OC4+SQRT(Parameters!$B$6)*Factors!OC6+SQRT(Parameters!$B$7)*Factors!OC10+SQRT(Parameters!$B$9)*NORM.S.INV(RAND())</f>
        <v/>
      </c>
      <c r="OD16" s="19">
        <f>SQRT(Parameters!$B$5)*Factors!OD4+SQRT(Parameters!$B$6)*Factors!OD6+SQRT(Parameters!$B$7)*Factors!OD10+SQRT(Parameters!$B$9)*NORM.S.INV(RAND())</f>
        <v/>
      </c>
      <c r="OE16" s="19">
        <f>SQRT(Parameters!$B$5)*Factors!OE4+SQRT(Parameters!$B$6)*Factors!OE6+SQRT(Parameters!$B$7)*Factors!OE10+SQRT(Parameters!$B$9)*NORM.S.INV(RAND())</f>
        <v/>
      </c>
      <c r="OF16" s="19">
        <f>SQRT(Parameters!$B$5)*Factors!OF4+SQRT(Parameters!$B$6)*Factors!OF6+SQRT(Parameters!$B$7)*Factors!OF10+SQRT(Parameters!$B$9)*NORM.S.INV(RAND())</f>
        <v/>
      </c>
      <c r="OG16" s="19">
        <f>SQRT(Parameters!$B$5)*Factors!OG4+SQRT(Parameters!$B$6)*Factors!OG6+SQRT(Parameters!$B$7)*Factors!OG10+SQRT(Parameters!$B$9)*NORM.S.INV(RAND())</f>
        <v/>
      </c>
      <c r="OH16" s="19">
        <f>SQRT(Parameters!$B$5)*Factors!OH4+SQRT(Parameters!$B$6)*Factors!OH6+SQRT(Parameters!$B$7)*Factors!OH10+SQRT(Parameters!$B$9)*NORM.S.INV(RAND())</f>
        <v/>
      </c>
      <c r="OI16" s="19">
        <f>SQRT(Parameters!$B$5)*Factors!OI4+SQRT(Parameters!$B$6)*Factors!OI6+SQRT(Parameters!$B$7)*Factors!OI10+SQRT(Parameters!$B$9)*NORM.S.INV(RAND())</f>
        <v/>
      </c>
      <c r="OJ16" s="19">
        <f>SQRT(Parameters!$B$5)*Factors!OJ4+SQRT(Parameters!$B$6)*Factors!OJ6+SQRT(Parameters!$B$7)*Factors!OJ10+SQRT(Parameters!$B$9)*NORM.S.INV(RAND())</f>
        <v/>
      </c>
      <c r="OK16" s="19">
        <f>SQRT(Parameters!$B$5)*Factors!OK4+SQRT(Parameters!$B$6)*Factors!OK6+SQRT(Parameters!$B$7)*Factors!OK10+SQRT(Parameters!$B$9)*NORM.S.INV(RAND())</f>
        <v/>
      </c>
      <c r="OL16" s="19">
        <f>SQRT(Parameters!$B$5)*Factors!OL4+SQRT(Parameters!$B$6)*Factors!OL6+SQRT(Parameters!$B$7)*Factors!OL10+SQRT(Parameters!$B$9)*NORM.S.INV(RAND())</f>
        <v/>
      </c>
      <c r="OM16" s="19">
        <f>SQRT(Parameters!$B$5)*Factors!OM4+SQRT(Parameters!$B$6)*Factors!OM6+SQRT(Parameters!$B$7)*Factors!OM10+SQRT(Parameters!$B$9)*NORM.S.INV(RAND())</f>
        <v/>
      </c>
      <c r="ON16" s="19">
        <f>SQRT(Parameters!$B$5)*Factors!ON4+SQRT(Parameters!$B$6)*Factors!ON6+SQRT(Parameters!$B$7)*Factors!ON10+SQRT(Parameters!$B$9)*NORM.S.INV(RAND())</f>
        <v/>
      </c>
      <c r="OO16" s="19">
        <f>SQRT(Parameters!$B$5)*Factors!OO4+SQRT(Parameters!$B$6)*Factors!OO6+SQRT(Parameters!$B$7)*Factors!OO10+SQRT(Parameters!$B$9)*NORM.S.INV(RAND())</f>
        <v/>
      </c>
      <c r="OP16" s="19">
        <f>SQRT(Parameters!$B$5)*Factors!OP4+SQRT(Parameters!$B$6)*Factors!OP6+SQRT(Parameters!$B$7)*Factors!OP10+SQRT(Parameters!$B$9)*NORM.S.INV(RAND())</f>
        <v/>
      </c>
      <c r="OQ16" s="19">
        <f>SQRT(Parameters!$B$5)*Factors!OQ4+SQRT(Parameters!$B$6)*Factors!OQ6+SQRT(Parameters!$B$7)*Factors!OQ10+SQRT(Parameters!$B$9)*NORM.S.INV(RAND())</f>
        <v/>
      </c>
      <c r="OR16" s="19">
        <f>SQRT(Parameters!$B$5)*Factors!OR4+SQRT(Parameters!$B$6)*Factors!OR6+SQRT(Parameters!$B$7)*Factors!OR10+SQRT(Parameters!$B$9)*NORM.S.INV(RAND())</f>
        <v/>
      </c>
      <c r="OS16" s="19">
        <f>SQRT(Parameters!$B$5)*Factors!OS4+SQRT(Parameters!$B$6)*Factors!OS6+SQRT(Parameters!$B$7)*Factors!OS10+SQRT(Parameters!$B$9)*NORM.S.INV(RAND())</f>
        <v/>
      </c>
      <c r="OT16" s="19">
        <f>SQRT(Parameters!$B$5)*Factors!OT4+SQRT(Parameters!$B$6)*Factors!OT6+SQRT(Parameters!$B$7)*Factors!OT10+SQRT(Parameters!$B$9)*NORM.S.INV(RAND())</f>
        <v/>
      </c>
      <c r="OU16" s="19">
        <f>SQRT(Parameters!$B$5)*Factors!OU4+SQRT(Parameters!$B$6)*Factors!OU6+SQRT(Parameters!$B$7)*Factors!OU10+SQRT(Parameters!$B$9)*NORM.S.INV(RAND())</f>
        <v/>
      </c>
      <c r="OV16" s="19">
        <f>SQRT(Parameters!$B$5)*Factors!OV4+SQRT(Parameters!$B$6)*Factors!OV6+SQRT(Parameters!$B$7)*Factors!OV10+SQRT(Parameters!$B$9)*NORM.S.INV(RAND())</f>
        <v/>
      </c>
      <c r="OW16" s="19">
        <f>SQRT(Parameters!$B$5)*Factors!OW4+SQRT(Parameters!$B$6)*Factors!OW6+SQRT(Parameters!$B$7)*Factors!OW10+SQRT(Parameters!$B$9)*NORM.S.INV(RAND())</f>
        <v/>
      </c>
      <c r="OX16" s="19">
        <f>SQRT(Parameters!$B$5)*Factors!OX4+SQRT(Parameters!$B$6)*Factors!OX6+SQRT(Parameters!$B$7)*Factors!OX10+SQRT(Parameters!$B$9)*NORM.S.INV(RAND())</f>
        <v/>
      </c>
      <c r="OY16" s="19">
        <f>SQRT(Parameters!$B$5)*Factors!OY4+SQRT(Parameters!$B$6)*Factors!OY6+SQRT(Parameters!$B$7)*Factors!OY10+SQRT(Parameters!$B$9)*NORM.S.INV(RAND())</f>
        <v/>
      </c>
      <c r="OZ16" s="19">
        <f>SQRT(Parameters!$B$5)*Factors!OZ4+SQRT(Parameters!$B$6)*Factors!OZ6+SQRT(Parameters!$B$7)*Factors!OZ10+SQRT(Parameters!$B$9)*NORM.S.INV(RAND())</f>
        <v/>
      </c>
      <c r="PA16" s="19">
        <f>SQRT(Parameters!$B$5)*Factors!PA4+SQRT(Parameters!$B$6)*Factors!PA6+SQRT(Parameters!$B$7)*Factors!PA10+SQRT(Parameters!$B$9)*NORM.S.INV(RAND())</f>
        <v/>
      </c>
      <c r="PB16" s="19">
        <f>SQRT(Parameters!$B$5)*Factors!PB4+SQRT(Parameters!$B$6)*Factors!PB6+SQRT(Parameters!$B$7)*Factors!PB10+SQRT(Parameters!$B$9)*NORM.S.INV(RAND())</f>
        <v/>
      </c>
      <c r="PC16" s="19">
        <f>SQRT(Parameters!$B$5)*Factors!PC4+SQRT(Parameters!$B$6)*Factors!PC6+SQRT(Parameters!$B$7)*Factors!PC10+SQRT(Parameters!$B$9)*NORM.S.INV(RAND())</f>
        <v/>
      </c>
      <c r="PD16" s="19">
        <f>SQRT(Parameters!$B$5)*Factors!PD4+SQRT(Parameters!$B$6)*Factors!PD6+SQRT(Parameters!$B$7)*Factors!PD10+SQRT(Parameters!$B$9)*NORM.S.INV(RAND())</f>
        <v/>
      </c>
      <c r="PE16" s="19">
        <f>SQRT(Parameters!$B$5)*Factors!PE4+SQRT(Parameters!$B$6)*Factors!PE6+SQRT(Parameters!$B$7)*Factors!PE10+SQRT(Parameters!$B$9)*NORM.S.INV(RAND())</f>
        <v/>
      </c>
      <c r="PF16" s="19">
        <f>SQRT(Parameters!$B$5)*Factors!PF4+SQRT(Parameters!$B$6)*Factors!PF6+SQRT(Parameters!$B$7)*Factors!PF10+SQRT(Parameters!$B$9)*NORM.S.INV(RAND())</f>
        <v/>
      </c>
      <c r="PG16" s="19">
        <f>SQRT(Parameters!$B$5)*Factors!PG4+SQRT(Parameters!$B$6)*Factors!PG6+SQRT(Parameters!$B$7)*Factors!PG10+SQRT(Parameters!$B$9)*NORM.S.INV(RAND())</f>
        <v/>
      </c>
      <c r="PH16" s="19">
        <f>SQRT(Parameters!$B$5)*Factors!PH4+SQRT(Parameters!$B$6)*Factors!PH6+SQRT(Parameters!$B$7)*Factors!PH10+SQRT(Parameters!$B$9)*NORM.S.INV(RAND())</f>
        <v/>
      </c>
      <c r="PI16" s="19">
        <f>SQRT(Parameters!$B$5)*Factors!PI4+SQRT(Parameters!$B$6)*Factors!PI6+SQRT(Parameters!$B$7)*Factors!PI10+SQRT(Parameters!$B$9)*NORM.S.INV(RAND())</f>
        <v/>
      </c>
      <c r="PJ16" s="19">
        <f>SQRT(Parameters!$B$5)*Factors!PJ4+SQRT(Parameters!$B$6)*Factors!PJ6+SQRT(Parameters!$B$7)*Factors!PJ10+SQRT(Parameters!$B$9)*NORM.S.INV(RAND())</f>
        <v/>
      </c>
      <c r="PK16" s="19">
        <f>SQRT(Parameters!$B$5)*Factors!PK4+SQRT(Parameters!$B$6)*Factors!PK6+SQRT(Parameters!$B$7)*Factors!PK10+SQRT(Parameters!$B$9)*NORM.S.INV(RAND())</f>
        <v/>
      </c>
      <c r="PL16" s="19">
        <f>SQRT(Parameters!$B$5)*Factors!PL4+SQRT(Parameters!$B$6)*Factors!PL6+SQRT(Parameters!$B$7)*Factors!PL10+SQRT(Parameters!$B$9)*NORM.S.INV(RAND())</f>
        <v/>
      </c>
      <c r="PM16" s="19">
        <f>SQRT(Parameters!$B$5)*Factors!PM4+SQRT(Parameters!$B$6)*Factors!PM6+SQRT(Parameters!$B$7)*Factors!PM10+SQRT(Parameters!$B$9)*NORM.S.INV(RAND())</f>
        <v/>
      </c>
      <c r="PN16" s="19">
        <f>SQRT(Parameters!$B$5)*Factors!PN4+SQRT(Parameters!$B$6)*Factors!PN6+SQRT(Parameters!$B$7)*Factors!PN10+SQRT(Parameters!$B$9)*NORM.S.INV(RAND())</f>
        <v/>
      </c>
      <c r="PO16" s="19">
        <f>SQRT(Parameters!$B$5)*Factors!PO4+SQRT(Parameters!$B$6)*Factors!PO6+SQRT(Parameters!$B$7)*Factors!PO10+SQRT(Parameters!$B$9)*NORM.S.INV(RAND())</f>
        <v/>
      </c>
      <c r="PP16" s="19">
        <f>SQRT(Parameters!$B$5)*Factors!PP4+SQRT(Parameters!$B$6)*Factors!PP6+SQRT(Parameters!$B$7)*Factors!PP10+SQRT(Parameters!$B$9)*NORM.S.INV(RAND())</f>
        <v/>
      </c>
      <c r="PQ16" s="19">
        <f>SQRT(Parameters!$B$5)*Factors!PQ4+SQRT(Parameters!$B$6)*Factors!PQ6+SQRT(Parameters!$B$7)*Factors!PQ10+SQRT(Parameters!$B$9)*NORM.S.INV(RAND())</f>
        <v/>
      </c>
      <c r="PR16" s="19">
        <f>SQRT(Parameters!$B$5)*Factors!PR4+SQRT(Parameters!$B$6)*Factors!PR6+SQRT(Parameters!$B$7)*Factors!PR10+SQRT(Parameters!$B$9)*NORM.S.INV(RAND())</f>
        <v/>
      </c>
      <c r="PS16" s="19">
        <f>SQRT(Parameters!$B$5)*Factors!PS4+SQRT(Parameters!$B$6)*Factors!PS6+SQRT(Parameters!$B$7)*Factors!PS10+SQRT(Parameters!$B$9)*NORM.S.INV(RAND())</f>
        <v/>
      </c>
      <c r="PT16" s="19">
        <f>SQRT(Parameters!$B$5)*Factors!PT4+SQRT(Parameters!$B$6)*Factors!PT6+SQRT(Parameters!$B$7)*Factors!PT10+SQRT(Parameters!$B$9)*NORM.S.INV(RAND())</f>
        <v/>
      </c>
      <c r="PU16" s="19">
        <f>SQRT(Parameters!$B$5)*Factors!PU4+SQRT(Parameters!$B$6)*Factors!PU6+SQRT(Parameters!$B$7)*Factors!PU10+SQRT(Parameters!$B$9)*NORM.S.INV(RAND())</f>
        <v/>
      </c>
      <c r="PV16" s="19">
        <f>SQRT(Parameters!$B$5)*Factors!PV4+SQRT(Parameters!$B$6)*Factors!PV6+SQRT(Parameters!$B$7)*Factors!PV10+SQRT(Parameters!$B$9)*NORM.S.INV(RAND())</f>
        <v/>
      </c>
      <c r="PW16" s="19">
        <f>SQRT(Parameters!$B$5)*Factors!PW4+SQRT(Parameters!$B$6)*Factors!PW6+SQRT(Parameters!$B$7)*Factors!PW10+SQRT(Parameters!$B$9)*NORM.S.INV(RAND())</f>
        <v/>
      </c>
      <c r="PX16" s="19">
        <f>SQRT(Parameters!$B$5)*Factors!PX4+SQRT(Parameters!$B$6)*Factors!PX6+SQRT(Parameters!$B$7)*Factors!PX10+SQRT(Parameters!$B$9)*NORM.S.INV(RAND())</f>
        <v/>
      </c>
      <c r="PY16" s="19">
        <f>SQRT(Parameters!$B$5)*Factors!PY4+SQRT(Parameters!$B$6)*Factors!PY6+SQRT(Parameters!$B$7)*Factors!PY10+SQRT(Parameters!$B$9)*NORM.S.INV(RAND())</f>
        <v/>
      </c>
      <c r="PZ16" s="19">
        <f>SQRT(Parameters!$B$5)*Factors!PZ4+SQRT(Parameters!$B$6)*Factors!PZ6+SQRT(Parameters!$B$7)*Factors!PZ10+SQRT(Parameters!$B$9)*NORM.S.INV(RAND())</f>
        <v/>
      </c>
      <c r="QA16" s="19">
        <f>SQRT(Parameters!$B$5)*Factors!QA4+SQRT(Parameters!$B$6)*Factors!QA6+SQRT(Parameters!$B$7)*Factors!QA10+SQRT(Parameters!$B$9)*NORM.S.INV(RAND())</f>
        <v/>
      </c>
      <c r="QB16" s="19">
        <f>SQRT(Parameters!$B$5)*Factors!QB4+SQRT(Parameters!$B$6)*Factors!QB6+SQRT(Parameters!$B$7)*Factors!QB10+SQRT(Parameters!$B$9)*NORM.S.INV(RAND())</f>
        <v/>
      </c>
      <c r="QC16" s="19">
        <f>SQRT(Parameters!$B$5)*Factors!QC4+SQRT(Parameters!$B$6)*Factors!QC6+SQRT(Parameters!$B$7)*Factors!QC10+SQRT(Parameters!$B$9)*NORM.S.INV(RAND())</f>
        <v/>
      </c>
      <c r="QD16" s="19">
        <f>SQRT(Parameters!$B$5)*Factors!QD4+SQRT(Parameters!$B$6)*Factors!QD6+SQRT(Parameters!$B$7)*Factors!QD10+SQRT(Parameters!$B$9)*NORM.S.INV(RAND())</f>
        <v/>
      </c>
      <c r="QE16" s="19">
        <f>SQRT(Parameters!$B$5)*Factors!QE4+SQRT(Parameters!$B$6)*Factors!QE6+SQRT(Parameters!$B$7)*Factors!QE10+SQRT(Parameters!$B$9)*NORM.S.INV(RAND())</f>
        <v/>
      </c>
      <c r="QF16" s="19">
        <f>SQRT(Parameters!$B$5)*Factors!QF4+SQRT(Parameters!$B$6)*Factors!QF6+SQRT(Parameters!$B$7)*Factors!QF10+SQRT(Parameters!$B$9)*NORM.S.INV(RAND())</f>
        <v/>
      </c>
      <c r="QG16" s="19">
        <f>SQRT(Parameters!$B$5)*Factors!QG4+SQRT(Parameters!$B$6)*Factors!QG6+SQRT(Parameters!$B$7)*Factors!QG10+SQRT(Parameters!$B$9)*NORM.S.INV(RAND())</f>
        <v/>
      </c>
      <c r="QH16" s="19">
        <f>SQRT(Parameters!$B$5)*Factors!QH4+SQRT(Parameters!$B$6)*Factors!QH6+SQRT(Parameters!$B$7)*Factors!QH10+SQRT(Parameters!$B$9)*NORM.S.INV(RAND())</f>
        <v/>
      </c>
      <c r="QI16" s="19">
        <f>SQRT(Parameters!$B$5)*Factors!QI4+SQRT(Parameters!$B$6)*Factors!QI6+SQRT(Parameters!$B$7)*Factors!QI10+SQRT(Parameters!$B$9)*NORM.S.INV(RAND())</f>
        <v/>
      </c>
      <c r="QJ16" s="19">
        <f>SQRT(Parameters!$B$5)*Factors!QJ4+SQRT(Parameters!$B$6)*Factors!QJ6+SQRT(Parameters!$B$7)*Factors!QJ10+SQRT(Parameters!$B$9)*NORM.S.INV(RAND())</f>
        <v/>
      </c>
      <c r="QK16" s="19">
        <f>SQRT(Parameters!$B$5)*Factors!QK4+SQRT(Parameters!$B$6)*Factors!QK6+SQRT(Parameters!$B$7)*Factors!QK10+SQRT(Parameters!$B$9)*NORM.S.INV(RAND())</f>
        <v/>
      </c>
      <c r="QL16" s="19">
        <f>SQRT(Parameters!$B$5)*Factors!QL4+SQRT(Parameters!$B$6)*Factors!QL6+SQRT(Parameters!$B$7)*Factors!QL10+SQRT(Parameters!$B$9)*NORM.S.INV(RAND())</f>
        <v/>
      </c>
      <c r="QM16" s="19">
        <f>SQRT(Parameters!$B$5)*Factors!QM4+SQRT(Parameters!$B$6)*Factors!QM6+SQRT(Parameters!$B$7)*Factors!QM10+SQRT(Parameters!$B$9)*NORM.S.INV(RAND())</f>
        <v/>
      </c>
      <c r="QN16" s="19">
        <f>SQRT(Parameters!$B$5)*Factors!QN4+SQRT(Parameters!$B$6)*Factors!QN6+SQRT(Parameters!$B$7)*Factors!QN10+SQRT(Parameters!$B$9)*NORM.S.INV(RAND())</f>
        <v/>
      </c>
      <c r="QO16" s="19">
        <f>SQRT(Parameters!$B$5)*Factors!QO4+SQRT(Parameters!$B$6)*Factors!QO6+SQRT(Parameters!$B$7)*Factors!QO10+SQRT(Parameters!$B$9)*NORM.S.INV(RAND())</f>
        <v/>
      </c>
      <c r="QP16" s="19">
        <f>SQRT(Parameters!$B$5)*Factors!QP4+SQRT(Parameters!$B$6)*Factors!QP6+SQRT(Parameters!$B$7)*Factors!QP10+SQRT(Parameters!$B$9)*NORM.S.INV(RAND())</f>
        <v/>
      </c>
      <c r="QQ16" s="19">
        <f>SQRT(Parameters!$B$5)*Factors!QQ4+SQRT(Parameters!$B$6)*Factors!QQ6+SQRT(Parameters!$B$7)*Factors!QQ10+SQRT(Parameters!$B$9)*NORM.S.INV(RAND())</f>
        <v/>
      </c>
      <c r="QR16" s="19">
        <f>SQRT(Parameters!$B$5)*Factors!QR4+SQRT(Parameters!$B$6)*Factors!QR6+SQRT(Parameters!$B$7)*Factors!QR10+SQRT(Parameters!$B$9)*NORM.S.INV(RAND())</f>
        <v/>
      </c>
      <c r="QS16" s="19">
        <f>SQRT(Parameters!$B$5)*Factors!QS4+SQRT(Parameters!$B$6)*Factors!QS6+SQRT(Parameters!$B$7)*Factors!QS10+SQRT(Parameters!$B$9)*NORM.S.INV(RAND())</f>
        <v/>
      </c>
      <c r="QT16" s="19">
        <f>SQRT(Parameters!$B$5)*Factors!QT4+SQRT(Parameters!$B$6)*Factors!QT6+SQRT(Parameters!$B$7)*Factors!QT10+SQRT(Parameters!$B$9)*NORM.S.INV(RAND())</f>
        <v/>
      </c>
      <c r="QU16" s="19">
        <f>SQRT(Parameters!$B$5)*Factors!QU4+SQRT(Parameters!$B$6)*Factors!QU6+SQRT(Parameters!$B$7)*Factors!QU10+SQRT(Parameters!$B$9)*NORM.S.INV(RAND())</f>
        <v/>
      </c>
      <c r="QV16" s="19">
        <f>SQRT(Parameters!$B$5)*Factors!QV4+SQRT(Parameters!$B$6)*Factors!QV6+SQRT(Parameters!$B$7)*Factors!QV10+SQRT(Parameters!$B$9)*NORM.S.INV(RAND())</f>
        <v/>
      </c>
      <c r="QW16" s="19">
        <f>SQRT(Parameters!$B$5)*Factors!QW4+SQRT(Parameters!$B$6)*Factors!QW6+SQRT(Parameters!$B$7)*Factors!QW10+SQRT(Parameters!$B$9)*NORM.S.INV(RAND())</f>
        <v/>
      </c>
      <c r="QX16" s="19">
        <f>SQRT(Parameters!$B$5)*Factors!QX4+SQRT(Parameters!$B$6)*Factors!QX6+SQRT(Parameters!$B$7)*Factors!QX10+SQRT(Parameters!$B$9)*NORM.S.INV(RAND())</f>
        <v/>
      </c>
      <c r="QY16" s="19">
        <f>SQRT(Parameters!$B$5)*Factors!QY4+SQRT(Parameters!$B$6)*Factors!QY6+SQRT(Parameters!$B$7)*Factors!QY10+SQRT(Parameters!$B$9)*NORM.S.INV(RAND())</f>
        <v/>
      </c>
      <c r="QZ16" s="19">
        <f>SQRT(Parameters!$B$5)*Factors!QZ4+SQRT(Parameters!$B$6)*Factors!QZ6+SQRT(Parameters!$B$7)*Factors!QZ10+SQRT(Parameters!$B$9)*NORM.S.INV(RAND())</f>
        <v/>
      </c>
      <c r="RA16" s="19">
        <f>SQRT(Parameters!$B$5)*Factors!RA4+SQRT(Parameters!$B$6)*Factors!RA6+SQRT(Parameters!$B$7)*Factors!RA10+SQRT(Parameters!$B$9)*NORM.S.INV(RAND())</f>
        <v/>
      </c>
      <c r="RB16" s="19">
        <f>SQRT(Parameters!$B$5)*Factors!RB4+SQRT(Parameters!$B$6)*Factors!RB6+SQRT(Parameters!$B$7)*Factors!RB10+SQRT(Parameters!$B$9)*NORM.S.INV(RAND())</f>
        <v/>
      </c>
      <c r="RC16" s="19">
        <f>SQRT(Parameters!$B$5)*Factors!RC4+SQRT(Parameters!$B$6)*Factors!RC6+SQRT(Parameters!$B$7)*Factors!RC10+SQRT(Parameters!$B$9)*NORM.S.INV(RAND())</f>
        <v/>
      </c>
      <c r="RD16" s="19">
        <f>SQRT(Parameters!$B$5)*Factors!RD4+SQRT(Parameters!$B$6)*Factors!RD6+SQRT(Parameters!$B$7)*Factors!RD10+SQRT(Parameters!$B$9)*NORM.S.INV(RAND())</f>
        <v/>
      </c>
      <c r="RE16" s="19">
        <f>SQRT(Parameters!$B$5)*Factors!RE4+SQRT(Parameters!$B$6)*Factors!RE6+SQRT(Parameters!$B$7)*Factors!RE10+SQRT(Parameters!$B$9)*NORM.S.INV(RAND())</f>
        <v/>
      </c>
      <c r="RF16" s="19">
        <f>SQRT(Parameters!$B$5)*Factors!RF4+SQRT(Parameters!$B$6)*Factors!RF6+SQRT(Parameters!$B$7)*Factors!RF10+SQRT(Parameters!$B$9)*NORM.S.INV(RAND())</f>
        <v/>
      </c>
      <c r="RG16" s="19">
        <f>SQRT(Parameters!$B$5)*Factors!RG4+SQRT(Parameters!$B$6)*Factors!RG6+SQRT(Parameters!$B$7)*Factors!RG10+SQRT(Parameters!$B$9)*NORM.S.INV(RAND())</f>
        <v/>
      </c>
      <c r="RH16" s="19">
        <f>SQRT(Parameters!$B$5)*Factors!RH4+SQRT(Parameters!$B$6)*Factors!RH6+SQRT(Parameters!$B$7)*Factors!RH10+SQRT(Parameters!$B$9)*NORM.S.INV(RAND())</f>
        <v/>
      </c>
      <c r="RI16" s="19">
        <f>SQRT(Parameters!$B$5)*Factors!RI4+SQRT(Parameters!$B$6)*Factors!RI6+SQRT(Parameters!$B$7)*Factors!RI10+SQRT(Parameters!$B$9)*NORM.S.INV(RAND())</f>
        <v/>
      </c>
      <c r="RJ16" s="19">
        <f>SQRT(Parameters!$B$5)*Factors!RJ4+SQRT(Parameters!$B$6)*Factors!RJ6+SQRT(Parameters!$B$7)*Factors!RJ10+SQRT(Parameters!$B$9)*NORM.S.INV(RAND())</f>
        <v/>
      </c>
      <c r="RK16" s="19">
        <f>SQRT(Parameters!$B$5)*Factors!RK4+SQRT(Parameters!$B$6)*Factors!RK6+SQRT(Parameters!$B$7)*Factors!RK10+SQRT(Parameters!$B$9)*NORM.S.INV(RAND())</f>
        <v/>
      </c>
      <c r="RL16" s="19">
        <f>SQRT(Parameters!$B$5)*Factors!RL4+SQRT(Parameters!$B$6)*Factors!RL6+SQRT(Parameters!$B$7)*Factors!RL10+SQRT(Parameters!$B$9)*NORM.S.INV(RAND())</f>
        <v/>
      </c>
      <c r="RM16" s="19">
        <f>SQRT(Parameters!$B$5)*Factors!RM4+SQRT(Parameters!$B$6)*Factors!RM6+SQRT(Parameters!$B$7)*Factors!RM10+SQRT(Parameters!$B$9)*NORM.S.INV(RAND())</f>
        <v/>
      </c>
      <c r="RN16" s="19">
        <f>SQRT(Parameters!$B$5)*Factors!RN4+SQRT(Parameters!$B$6)*Factors!RN6+SQRT(Parameters!$B$7)*Factors!RN10+SQRT(Parameters!$B$9)*NORM.S.INV(RAND())</f>
        <v/>
      </c>
      <c r="RO16" s="19">
        <f>SQRT(Parameters!$B$5)*Factors!RO4+SQRT(Parameters!$B$6)*Factors!RO6+SQRT(Parameters!$B$7)*Factors!RO10+SQRT(Parameters!$B$9)*NORM.S.INV(RAND())</f>
        <v/>
      </c>
      <c r="RP16" s="19">
        <f>SQRT(Parameters!$B$5)*Factors!RP4+SQRT(Parameters!$B$6)*Factors!RP6+SQRT(Parameters!$B$7)*Factors!RP10+SQRT(Parameters!$B$9)*NORM.S.INV(RAND())</f>
        <v/>
      </c>
      <c r="RQ16" s="19">
        <f>SQRT(Parameters!$B$5)*Factors!RQ4+SQRT(Parameters!$B$6)*Factors!RQ6+SQRT(Parameters!$B$7)*Factors!RQ10+SQRT(Parameters!$B$9)*NORM.S.INV(RAND())</f>
        <v/>
      </c>
      <c r="RR16" s="19">
        <f>SQRT(Parameters!$B$5)*Factors!RR4+SQRT(Parameters!$B$6)*Factors!RR6+SQRT(Parameters!$B$7)*Factors!RR10+SQRT(Parameters!$B$9)*NORM.S.INV(RAND())</f>
        <v/>
      </c>
      <c r="RS16" s="19">
        <f>SQRT(Parameters!$B$5)*Factors!RS4+SQRT(Parameters!$B$6)*Factors!RS6+SQRT(Parameters!$B$7)*Factors!RS10+SQRT(Parameters!$B$9)*NORM.S.INV(RAND())</f>
        <v/>
      </c>
      <c r="RT16" s="19">
        <f>SQRT(Parameters!$B$5)*Factors!RT4+SQRT(Parameters!$B$6)*Factors!RT6+SQRT(Parameters!$B$7)*Factors!RT10+SQRT(Parameters!$B$9)*NORM.S.INV(RAND())</f>
        <v/>
      </c>
      <c r="RU16" s="19">
        <f>SQRT(Parameters!$B$5)*Factors!RU4+SQRT(Parameters!$B$6)*Factors!RU6+SQRT(Parameters!$B$7)*Factors!RU10+SQRT(Parameters!$B$9)*NORM.S.INV(RAND())</f>
        <v/>
      </c>
      <c r="RV16" s="19">
        <f>SQRT(Parameters!$B$5)*Factors!RV4+SQRT(Parameters!$B$6)*Factors!RV6+SQRT(Parameters!$B$7)*Factors!RV10+SQRT(Parameters!$B$9)*NORM.S.INV(RAND())</f>
        <v/>
      </c>
      <c r="RW16" s="19">
        <f>SQRT(Parameters!$B$5)*Factors!RW4+SQRT(Parameters!$B$6)*Factors!RW6+SQRT(Parameters!$B$7)*Factors!RW10+SQRT(Parameters!$B$9)*NORM.S.INV(RAND())</f>
        <v/>
      </c>
      <c r="RX16" s="19">
        <f>SQRT(Parameters!$B$5)*Factors!RX4+SQRT(Parameters!$B$6)*Factors!RX6+SQRT(Parameters!$B$7)*Factors!RX10+SQRT(Parameters!$B$9)*NORM.S.INV(RAND())</f>
        <v/>
      </c>
      <c r="RY16" s="19">
        <f>SQRT(Parameters!$B$5)*Factors!RY4+SQRT(Parameters!$B$6)*Factors!RY6+SQRT(Parameters!$B$7)*Factors!RY10+SQRT(Parameters!$B$9)*NORM.S.INV(RAND())</f>
        <v/>
      </c>
      <c r="RZ16" s="19">
        <f>SQRT(Parameters!$B$5)*Factors!RZ4+SQRT(Parameters!$B$6)*Factors!RZ6+SQRT(Parameters!$B$7)*Factors!RZ10+SQRT(Parameters!$B$9)*NORM.S.INV(RAND())</f>
        <v/>
      </c>
      <c r="SA16" s="19">
        <f>SQRT(Parameters!$B$5)*Factors!SA4+SQRT(Parameters!$B$6)*Factors!SA6+SQRT(Parameters!$B$7)*Factors!SA10+SQRT(Parameters!$B$9)*NORM.S.INV(RAND())</f>
        <v/>
      </c>
      <c r="SB16" s="19">
        <f>SQRT(Parameters!$B$5)*Factors!SB4+SQRT(Parameters!$B$6)*Factors!SB6+SQRT(Parameters!$B$7)*Factors!SB10+SQRT(Parameters!$B$9)*NORM.S.INV(RAND())</f>
        <v/>
      </c>
      <c r="SC16" s="19">
        <f>SQRT(Parameters!$B$5)*Factors!SC4+SQRT(Parameters!$B$6)*Factors!SC6+SQRT(Parameters!$B$7)*Factors!SC10+SQRT(Parameters!$B$9)*NORM.S.INV(RAND())</f>
        <v/>
      </c>
      <c r="SD16" s="19">
        <f>SQRT(Parameters!$B$5)*Factors!SD4+SQRT(Parameters!$B$6)*Factors!SD6+SQRT(Parameters!$B$7)*Factors!SD10+SQRT(Parameters!$B$9)*NORM.S.INV(RAND())</f>
        <v/>
      </c>
      <c r="SE16" s="19">
        <f>SQRT(Parameters!$B$5)*Factors!SE4+SQRT(Parameters!$B$6)*Factors!SE6+SQRT(Parameters!$B$7)*Factors!SE10+SQRT(Parameters!$B$9)*NORM.S.INV(RAND())</f>
        <v/>
      </c>
      <c r="SF16" s="19">
        <f>SQRT(Parameters!$B$5)*Factors!SF4+SQRT(Parameters!$B$6)*Factors!SF6+SQRT(Parameters!$B$7)*Factors!SF10+SQRT(Parameters!$B$9)*NORM.S.INV(RAND())</f>
        <v/>
      </c>
      <c r="SG16" s="19">
        <f>SQRT(Parameters!$B$5)*Factors!SG4+SQRT(Parameters!$B$6)*Factors!SG6+SQRT(Parameters!$B$7)*Factors!SG10+SQRT(Parameters!$B$9)*NORM.S.INV(RAND())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SG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5" t="inlineStr">
        <is>
          <t>Obligor \ Trial</t>
        </is>
      </c>
      <c r="B1" s="16" t="inlineStr">
        <is>
          <t>Trial 1</t>
        </is>
      </c>
      <c r="C1" s="16" t="inlineStr">
        <is>
          <t>Trial 2</t>
        </is>
      </c>
      <c r="D1" s="16" t="inlineStr">
        <is>
          <t>Trial 3</t>
        </is>
      </c>
      <c r="E1" s="16" t="inlineStr">
        <is>
          <t>Trial 4</t>
        </is>
      </c>
      <c r="F1" s="16" t="inlineStr">
        <is>
          <t>Trial 5</t>
        </is>
      </c>
      <c r="G1" s="16" t="inlineStr">
        <is>
          <t>Trial 6</t>
        </is>
      </c>
      <c r="H1" s="16" t="inlineStr">
        <is>
          <t>Trial 7</t>
        </is>
      </c>
      <c r="I1" s="16" t="inlineStr">
        <is>
          <t>Trial 8</t>
        </is>
      </c>
      <c r="J1" s="16" t="inlineStr">
        <is>
          <t>Trial 9</t>
        </is>
      </c>
      <c r="K1" s="16" t="inlineStr">
        <is>
          <t>Trial 10</t>
        </is>
      </c>
      <c r="L1" s="16" t="inlineStr">
        <is>
          <t>Trial 11</t>
        </is>
      </c>
      <c r="M1" s="16" t="inlineStr">
        <is>
          <t>Trial 12</t>
        </is>
      </c>
      <c r="N1" s="16" t="inlineStr">
        <is>
          <t>Trial 13</t>
        </is>
      </c>
      <c r="O1" s="16" t="inlineStr">
        <is>
          <t>Trial 14</t>
        </is>
      </c>
      <c r="P1" s="16" t="inlineStr">
        <is>
          <t>Trial 15</t>
        </is>
      </c>
      <c r="Q1" s="16" t="inlineStr">
        <is>
          <t>Trial 16</t>
        </is>
      </c>
      <c r="R1" s="16" t="inlineStr">
        <is>
          <t>Trial 17</t>
        </is>
      </c>
      <c r="S1" s="16" t="inlineStr">
        <is>
          <t>Trial 18</t>
        </is>
      </c>
      <c r="T1" s="16" t="inlineStr">
        <is>
          <t>Trial 19</t>
        </is>
      </c>
      <c r="U1" s="16" t="inlineStr">
        <is>
          <t>Trial 20</t>
        </is>
      </c>
      <c r="V1" s="16" t="inlineStr">
        <is>
          <t>Trial 21</t>
        </is>
      </c>
      <c r="W1" s="16" t="inlineStr">
        <is>
          <t>Trial 22</t>
        </is>
      </c>
      <c r="X1" s="16" t="inlineStr">
        <is>
          <t>Trial 23</t>
        </is>
      </c>
      <c r="Y1" s="16" t="inlineStr">
        <is>
          <t>Trial 24</t>
        </is>
      </c>
      <c r="Z1" s="16" t="inlineStr">
        <is>
          <t>Trial 25</t>
        </is>
      </c>
      <c r="AA1" s="16" t="inlineStr">
        <is>
          <t>Trial 26</t>
        </is>
      </c>
      <c r="AB1" s="16" t="inlineStr">
        <is>
          <t>Trial 27</t>
        </is>
      </c>
      <c r="AC1" s="16" t="inlineStr">
        <is>
          <t>Trial 28</t>
        </is>
      </c>
      <c r="AD1" s="16" t="inlineStr">
        <is>
          <t>Trial 29</t>
        </is>
      </c>
      <c r="AE1" s="16" t="inlineStr">
        <is>
          <t>Trial 30</t>
        </is>
      </c>
      <c r="AF1" s="16" t="inlineStr">
        <is>
          <t>Trial 31</t>
        </is>
      </c>
      <c r="AG1" s="16" t="inlineStr">
        <is>
          <t>Trial 32</t>
        </is>
      </c>
      <c r="AH1" s="16" t="inlineStr">
        <is>
          <t>Trial 33</t>
        </is>
      </c>
      <c r="AI1" s="16" t="inlineStr">
        <is>
          <t>Trial 34</t>
        </is>
      </c>
      <c r="AJ1" s="16" t="inlineStr">
        <is>
          <t>Trial 35</t>
        </is>
      </c>
      <c r="AK1" s="16" t="inlineStr">
        <is>
          <t>Trial 36</t>
        </is>
      </c>
      <c r="AL1" s="16" t="inlineStr">
        <is>
          <t>Trial 37</t>
        </is>
      </c>
      <c r="AM1" s="16" t="inlineStr">
        <is>
          <t>Trial 38</t>
        </is>
      </c>
      <c r="AN1" s="16" t="inlineStr">
        <is>
          <t>Trial 39</t>
        </is>
      </c>
      <c r="AO1" s="16" t="inlineStr">
        <is>
          <t>Trial 40</t>
        </is>
      </c>
      <c r="AP1" s="16" t="inlineStr">
        <is>
          <t>Trial 41</t>
        </is>
      </c>
      <c r="AQ1" s="16" t="inlineStr">
        <is>
          <t>Trial 42</t>
        </is>
      </c>
      <c r="AR1" s="16" t="inlineStr">
        <is>
          <t>Trial 43</t>
        </is>
      </c>
      <c r="AS1" s="16" t="inlineStr">
        <is>
          <t>Trial 44</t>
        </is>
      </c>
      <c r="AT1" s="16" t="inlineStr">
        <is>
          <t>Trial 45</t>
        </is>
      </c>
      <c r="AU1" s="16" t="inlineStr">
        <is>
          <t>Trial 46</t>
        </is>
      </c>
      <c r="AV1" s="16" t="inlineStr">
        <is>
          <t>Trial 47</t>
        </is>
      </c>
      <c r="AW1" s="16" t="inlineStr">
        <is>
          <t>Trial 48</t>
        </is>
      </c>
      <c r="AX1" s="16" t="inlineStr">
        <is>
          <t>Trial 49</t>
        </is>
      </c>
      <c r="AY1" s="16" t="inlineStr">
        <is>
          <t>Trial 50</t>
        </is>
      </c>
      <c r="AZ1" s="16" t="inlineStr">
        <is>
          <t>Trial 51</t>
        </is>
      </c>
      <c r="BA1" s="16" t="inlineStr">
        <is>
          <t>Trial 52</t>
        </is>
      </c>
      <c r="BB1" s="16" t="inlineStr">
        <is>
          <t>Trial 53</t>
        </is>
      </c>
      <c r="BC1" s="16" t="inlineStr">
        <is>
          <t>Trial 54</t>
        </is>
      </c>
      <c r="BD1" s="16" t="inlineStr">
        <is>
          <t>Trial 55</t>
        </is>
      </c>
      <c r="BE1" s="16" t="inlineStr">
        <is>
          <t>Trial 56</t>
        </is>
      </c>
      <c r="BF1" s="16" t="inlineStr">
        <is>
          <t>Trial 57</t>
        </is>
      </c>
      <c r="BG1" s="16" t="inlineStr">
        <is>
          <t>Trial 58</t>
        </is>
      </c>
      <c r="BH1" s="16" t="inlineStr">
        <is>
          <t>Trial 59</t>
        </is>
      </c>
      <c r="BI1" s="16" t="inlineStr">
        <is>
          <t>Trial 60</t>
        </is>
      </c>
      <c r="BJ1" s="16" t="inlineStr">
        <is>
          <t>Trial 61</t>
        </is>
      </c>
      <c r="BK1" s="16" t="inlineStr">
        <is>
          <t>Trial 62</t>
        </is>
      </c>
      <c r="BL1" s="16" t="inlineStr">
        <is>
          <t>Trial 63</t>
        </is>
      </c>
      <c r="BM1" s="16" t="inlineStr">
        <is>
          <t>Trial 64</t>
        </is>
      </c>
      <c r="BN1" s="16" t="inlineStr">
        <is>
          <t>Trial 65</t>
        </is>
      </c>
      <c r="BO1" s="16" t="inlineStr">
        <is>
          <t>Trial 66</t>
        </is>
      </c>
      <c r="BP1" s="16" t="inlineStr">
        <is>
          <t>Trial 67</t>
        </is>
      </c>
      <c r="BQ1" s="16" t="inlineStr">
        <is>
          <t>Trial 68</t>
        </is>
      </c>
      <c r="BR1" s="16" t="inlineStr">
        <is>
          <t>Trial 69</t>
        </is>
      </c>
      <c r="BS1" s="16" t="inlineStr">
        <is>
          <t>Trial 70</t>
        </is>
      </c>
      <c r="BT1" s="16" t="inlineStr">
        <is>
          <t>Trial 71</t>
        </is>
      </c>
      <c r="BU1" s="16" t="inlineStr">
        <is>
          <t>Trial 72</t>
        </is>
      </c>
      <c r="BV1" s="16" t="inlineStr">
        <is>
          <t>Trial 73</t>
        </is>
      </c>
      <c r="BW1" s="16" t="inlineStr">
        <is>
          <t>Trial 74</t>
        </is>
      </c>
      <c r="BX1" s="16" t="inlineStr">
        <is>
          <t>Trial 75</t>
        </is>
      </c>
      <c r="BY1" s="16" t="inlineStr">
        <is>
          <t>Trial 76</t>
        </is>
      </c>
      <c r="BZ1" s="16" t="inlineStr">
        <is>
          <t>Trial 77</t>
        </is>
      </c>
      <c r="CA1" s="16" t="inlineStr">
        <is>
          <t>Trial 78</t>
        </is>
      </c>
      <c r="CB1" s="16" t="inlineStr">
        <is>
          <t>Trial 79</t>
        </is>
      </c>
      <c r="CC1" s="16" t="inlineStr">
        <is>
          <t>Trial 80</t>
        </is>
      </c>
      <c r="CD1" s="16" t="inlineStr">
        <is>
          <t>Trial 81</t>
        </is>
      </c>
      <c r="CE1" s="16" t="inlineStr">
        <is>
          <t>Trial 82</t>
        </is>
      </c>
      <c r="CF1" s="16" t="inlineStr">
        <is>
          <t>Trial 83</t>
        </is>
      </c>
      <c r="CG1" s="16" t="inlineStr">
        <is>
          <t>Trial 84</t>
        </is>
      </c>
      <c r="CH1" s="16" t="inlineStr">
        <is>
          <t>Trial 85</t>
        </is>
      </c>
      <c r="CI1" s="16" t="inlineStr">
        <is>
          <t>Trial 86</t>
        </is>
      </c>
      <c r="CJ1" s="16" t="inlineStr">
        <is>
          <t>Trial 87</t>
        </is>
      </c>
      <c r="CK1" s="16" t="inlineStr">
        <is>
          <t>Trial 88</t>
        </is>
      </c>
      <c r="CL1" s="16" t="inlineStr">
        <is>
          <t>Trial 89</t>
        </is>
      </c>
      <c r="CM1" s="16" t="inlineStr">
        <is>
          <t>Trial 90</t>
        </is>
      </c>
      <c r="CN1" s="16" t="inlineStr">
        <is>
          <t>Trial 91</t>
        </is>
      </c>
      <c r="CO1" s="16" t="inlineStr">
        <is>
          <t>Trial 92</t>
        </is>
      </c>
      <c r="CP1" s="16" t="inlineStr">
        <is>
          <t>Trial 93</t>
        </is>
      </c>
      <c r="CQ1" s="16" t="inlineStr">
        <is>
          <t>Trial 94</t>
        </is>
      </c>
      <c r="CR1" s="16" t="inlineStr">
        <is>
          <t>Trial 95</t>
        </is>
      </c>
      <c r="CS1" s="16" t="inlineStr">
        <is>
          <t>Trial 96</t>
        </is>
      </c>
      <c r="CT1" s="16" t="inlineStr">
        <is>
          <t>Trial 97</t>
        </is>
      </c>
      <c r="CU1" s="16" t="inlineStr">
        <is>
          <t>Trial 98</t>
        </is>
      </c>
      <c r="CV1" s="16" t="inlineStr">
        <is>
          <t>Trial 99</t>
        </is>
      </c>
      <c r="CW1" s="16" t="inlineStr">
        <is>
          <t>Trial 100</t>
        </is>
      </c>
      <c r="CX1" s="16" t="inlineStr">
        <is>
          <t>Trial 101</t>
        </is>
      </c>
      <c r="CY1" s="16" t="inlineStr">
        <is>
          <t>Trial 102</t>
        </is>
      </c>
      <c r="CZ1" s="16" t="inlineStr">
        <is>
          <t>Trial 103</t>
        </is>
      </c>
      <c r="DA1" s="16" t="inlineStr">
        <is>
          <t>Trial 104</t>
        </is>
      </c>
      <c r="DB1" s="16" t="inlineStr">
        <is>
          <t>Trial 105</t>
        </is>
      </c>
      <c r="DC1" s="16" t="inlineStr">
        <is>
          <t>Trial 106</t>
        </is>
      </c>
      <c r="DD1" s="16" t="inlineStr">
        <is>
          <t>Trial 107</t>
        </is>
      </c>
      <c r="DE1" s="16" t="inlineStr">
        <is>
          <t>Trial 108</t>
        </is>
      </c>
      <c r="DF1" s="16" t="inlineStr">
        <is>
          <t>Trial 109</t>
        </is>
      </c>
      <c r="DG1" s="16" t="inlineStr">
        <is>
          <t>Trial 110</t>
        </is>
      </c>
      <c r="DH1" s="16" t="inlineStr">
        <is>
          <t>Trial 111</t>
        </is>
      </c>
      <c r="DI1" s="16" t="inlineStr">
        <is>
          <t>Trial 112</t>
        </is>
      </c>
      <c r="DJ1" s="16" t="inlineStr">
        <is>
          <t>Trial 113</t>
        </is>
      </c>
      <c r="DK1" s="16" t="inlineStr">
        <is>
          <t>Trial 114</t>
        </is>
      </c>
      <c r="DL1" s="16" t="inlineStr">
        <is>
          <t>Trial 115</t>
        </is>
      </c>
      <c r="DM1" s="16" t="inlineStr">
        <is>
          <t>Trial 116</t>
        </is>
      </c>
      <c r="DN1" s="16" t="inlineStr">
        <is>
          <t>Trial 117</t>
        </is>
      </c>
      <c r="DO1" s="16" t="inlineStr">
        <is>
          <t>Trial 118</t>
        </is>
      </c>
      <c r="DP1" s="16" t="inlineStr">
        <is>
          <t>Trial 119</t>
        </is>
      </c>
      <c r="DQ1" s="16" t="inlineStr">
        <is>
          <t>Trial 120</t>
        </is>
      </c>
      <c r="DR1" s="16" t="inlineStr">
        <is>
          <t>Trial 121</t>
        </is>
      </c>
      <c r="DS1" s="16" t="inlineStr">
        <is>
          <t>Trial 122</t>
        </is>
      </c>
      <c r="DT1" s="16" t="inlineStr">
        <is>
          <t>Trial 123</t>
        </is>
      </c>
      <c r="DU1" s="16" t="inlineStr">
        <is>
          <t>Trial 124</t>
        </is>
      </c>
      <c r="DV1" s="16" t="inlineStr">
        <is>
          <t>Trial 125</t>
        </is>
      </c>
      <c r="DW1" s="16" t="inlineStr">
        <is>
          <t>Trial 126</t>
        </is>
      </c>
      <c r="DX1" s="16" t="inlineStr">
        <is>
          <t>Trial 127</t>
        </is>
      </c>
      <c r="DY1" s="16" t="inlineStr">
        <is>
          <t>Trial 128</t>
        </is>
      </c>
      <c r="DZ1" s="16" t="inlineStr">
        <is>
          <t>Trial 129</t>
        </is>
      </c>
      <c r="EA1" s="16" t="inlineStr">
        <is>
          <t>Trial 130</t>
        </is>
      </c>
      <c r="EB1" s="16" t="inlineStr">
        <is>
          <t>Trial 131</t>
        </is>
      </c>
      <c r="EC1" s="16" t="inlineStr">
        <is>
          <t>Trial 132</t>
        </is>
      </c>
      <c r="ED1" s="16" t="inlineStr">
        <is>
          <t>Trial 133</t>
        </is>
      </c>
      <c r="EE1" s="16" t="inlineStr">
        <is>
          <t>Trial 134</t>
        </is>
      </c>
      <c r="EF1" s="16" t="inlineStr">
        <is>
          <t>Trial 135</t>
        </is>
      </c>
      <c r="EG1" s="16" t="inlineStr">
        <is>
          <t>Trial 136</t>
        </is>
      </c>
      <c r="EH1" s="16" t="inlineStr">
        <is>
          <t>Trial 137</t>
        </is>
      </c>
      <c r="EI1" s="16" t="inlineStr">
        <is>
          <t>Trial 138</t>
        </is>
      </c>
      <c r="EJ1" s="16" t="inlineStr">
        <is>
          <t>Trial 139</t>
        </is>
      </c>
      <c r="EK1" s="16" t="inlineStr">
        <is>
          <t>Trial 140</t>
        </is>
      </c>
      <c r="EL1" s="16" t="inlineStr">
        <is>
          <t>Trial 141</t>
        </is>
      </c>
      <c r="EM1" s="16" t="inlineStr">
        <is>
          <t>Trial 142</t>
        </is>
      </c>
      <c r="EN1" s="16" t="inlineStr">
        <is>
          <t>Trial 143</t>
        </is>
      </c>
      <c r="EO1" s="16" t="inlineStr">
        <is>
          <t>Trial 144</t>
        </is>
      </c>
      <c r="EP1" s="16" t="inlineStr">
        <is>
          <t>Trial 145</t>
        </is>
      </c>
      <c r="EQ1" s="16" t="inlineStr">
        <is>
          <t>Trial 146</t>
        </is>
      </c>
      <c r="ER1" s="16" t="inlineStr">
        <is>
          <t>Trial 147</t>
        </is>
      </c>
      <c r="ES1" s="16" t="inlineStr">
        <is>
          <t>Trial 148</t>
        </is>
      </c>
      <c r="ET1" s="16" t="inlineStr">
        <is>
          <t>Trial 149</t>
        </is>
      </c>
      <c r="EU1" s="16" t="inlineStr">
        <is>
          <t>Trial 150</t>
        </is>
      </c>
      <c r="EV1" s="16" t="inlineStr">
        <is>
          <t>Trial 151</t>
        </is>
      </c>
      <c r="EW1" s="16" t="inlineStr">
        <is>
          <t>Trial 152</t>
        </is>
      </c>
      <c r="EX1" s="16" t="inlineStr">
        <is>
          <t>Trial 153</t>
        </is>
      </c>
      <c r="EY1" s="16" t="inlineStr">
        <is>
          <t>Trial 154</t>
        </is>
      </c>
      <c r="EZ1" s="16" t="inlineStr">
        <is>
          <t>Trial 155</t>
        </is>
      </c>
      <c r="FA1" s="16" t="inlineStr">
        <is>
          <t>Trial 156</t>
        </is>
      </c>
      <c r="FB1" s="16" t="inlineStr">
        <is>
          <t>Trial 157</t>
        </is>
      </c>
      <c r="FC1" s="16" t="inlineStr">
        <is>
          <t>Trial 158</t>
        </is>
      </c>
      <c r="FD1" s="16" t="inlineStr">
        <is>
          <t>Trial 159</t>
        </is>
      </c>
      <c r="FE1" s="16" t="inlineStr">
        <is>
          <t>Trial 160</t>
        </is>
      </c>
      <c r="FF1" s="16" t="inlineStr">
        <is>
          <t>Trial 161</t>
        </is>
      </c>
      <c r="FG1" s="16" t="inlineStr">
        <is>
          <t>Trial 162</t>
        </is>
      </c>
      <c r="FH1" s="16" t="inlineStr">
        <is>
          <t>Trial 163</t>
        </is>
      </c>
      <c r="FI1" s="16" t="inlineStr">
        <is>
          <t>Trial 164</t>
        </is>
      </c>
      <c r="FJ1" s="16" t="inlineStr">
        <is>
          <t>Trial 165</t>
        </is>
      </c>
      <c r="FK1" s="16" t="inlineStr">
        <is>
          <t>Trial 166</t>
        </is>
      </c>
      <c r="FL1" s="16" t="inlineStr">
        <is>
          <t>Trial 167</t>
        </is>
      </c>
      <c r="FM1" s="16" t="inlineStr">
        <is>
          <t>Trial 168</t>
        </is>
      </c>
      <c r="FN1" s="16" t="inlineStr">
        <is>
          <t>Trial 169</t>
        </is>
      </c>
      <c r="FO1" s="16" t="inlineStr">
        <is>
          <t>Trial 170</t>
        </is>
      </c>
      <c r="FP1" s="16" t="inlineStr">
        <is>
          <t>Trial 171</t>
        </is>
      </c>
      <c r="FQ1" s="16" t="inlineStr">
        <is>
          <t>Trial 172</t>
        </is>
      </c>
      <c r="FR1" s="16" t="inlineStr">
        <is>
          <t>Trial 173</t>
        </is>
      </c>
      <c r="FS1" s="16" t="inlineStr">
        <is>
          <t>Trial 174</t>
        </is>
      </c>
      <c r="FT1" s="16" t="inlineStr">
        <is>
          <t>Trial 175</t>
        </is>
      </c>
      <c r="FU1" s="16" t="inlineStr">
        <is>
          <t>Trial 176</t>
        </is>
      </c>
      <c r="FV1" s="16" t="inlineStr">
        <is>
          <t>Trial 177</t>
        </is>
      </c>
      <c r="FW1" s="16" t="inlineStr">
        <is>
          <t>Trial 178</t>
        </is>
      </c>
      <c r="FX1" s="16" t="inlineStr">
        <is>
          <t>Trial 179</t>
        </is>
      </c>
      <c r="FY1" s="16" t="inlineStr">
        <is>
          <t>Trial 180</t>
        </is>
      </c>
      <c r="FZ1" s="16" t="inlineStr">
        <is>
          <t>Trial 181</t>
        </is>
      </c>
      <c r="GA1" s="16" t="inlineStr">
        <is>
          <t>Trial 182</t>
        </is>
      </c>
      <c r="GB1" s="16" t="inlineStr">
        <is>
          <t>Trial 183</t>
        </is>
      </c>
      <c r="GC1" s="16" t="inlineStr">
        <is>
          <t>Trial 184</t>
        </is>
      </c>
      <c r="GD1" s="16" t="inlineStr">
        <is>
          <t>Trial 185</t>
        </is>
      </c>
      <c r="GE1" s="16" t="inlineStr">
        <is>
          <t>Trial 186</t>
        </is>
      </c>
      <c r="GF1" s="16" t="inlineStr">
        <is>
          <t>Trial 187</t>
        </is>
      </c>
      <c r="GG1" s="16" t="inlineStr">
        <is>
          <t>Trial 188</t>
        </is>
      </c>
      <c r="GH1" s="16" t="inlineStr">
        <is>
          <t>Trial 189</t>
        </is>
      </c>
      <c r="GI1" s="16" t="inlineStr">
        <is>
          <t>Trial 190</t>
        </is>
      </c>
      <c r="GJ1" s="16" t="inlineStr">
        <is>
          <t>Trial 191</t>
        </is>
      </c>
      <c r="GK1" s="16" t="inlineStr">
        <is>
          <t>Trial 192</t>
        </is>
      </c>
      <c r="GL1" s="16" t="inlineStr">
        <is>
          <t>Trial 193</t>
        </is>
      </c>
      <c r="GM1" s="16" t="inlineStr">
        <is>
          <t>Trial 194</t>
        </is>
      </c>
      <c r="GN1" s="16" t="inlineStr">
        <is>
          <t>Trial 195</t>
        </is>
      </c>
      <c r="GO1" s="16" t="inlineStr">
        <is>
          <t>Trial 196</t>
        </is>
      </c>
      <c r="GP1" s="16" t="inlineStr">
        <is>
          <t>Trial 197</t>
        </is>
      </c>
      <c r="GQ1" s="16" t="inlineStr">
        <is>
          <t>Trial 198</t>
        </is>
      </c>
      <c r="GR1" s="16" t="inlineStr">
        <is>
          <t>Trial 199</t>
        </is>
      </c>
      <c r="GS1" s="16" t="inlineStr">
        <is>
          <t>Trial 200</t>
        </is>
      </c>
      <c r="GT1" s="16" t="inlineStr">
        <is>
          <t>Trial 201</t>
        </is>
      </c>
      <c r="GU1" s="16" t="inlineStr">
        <is>
          <t>Trial 202</t>
        </is>
      </c>
      <c r="GV1" s="16" t="inlineStr">
        <is>
          <t>Trial 203</t>
        </is>
      </c>
      <c r="GW1" s="16" t="inlineStr">
        <is>
          <t>Trial 204</t>
        </is>
      </c>
      <c r="GX1" s="16" t="inlineStr">
        <is>
          <t>Trial 205</t>
        </is>
      </c>
      <c r="GY1" s="16" t="inlineStr">
        <is>
          <t>Trial 206</t>
        </is>
      </c>
      <c r="GZ1" s="16" t="inlineStr">
        <is>
          <t>Trial 207</t>
        </is>
      </c>
      <c r="HA1" s="16" t="inlineStr">
        <is>
          <t>Trial 208</t>
        </is>
      </c>
      <c r="HB1" s="16" t="inlineStr">
        <is>
          <t>Trial 209</t>
        </is>
      </c>
      <c r="HC1" s="16" t="inlineStr">
        <is>
          <t>Trial 210</t>
        </is>
      </c>
      <c r="HD1" s="16" t="inlineStr">
        <is>
          <t>Trial 211</t>
        </is>
      </c>
      <c r="HE1" s="16" t="inlineStr">
        <is>
          <t>Trial 212</t>
        </is>
      </c>
      <c r="HF1" s="16" t="inlineStr">
        <is>
          <t>Trial 213</t>
        </is>
      </c>
      <c r="HG1" s="16" t="inlineStr">
        <is>
          <t>Trial 214</t>
        </is>
      </c>
      <c r="HH1" s="16" t="inlineStr">
        <is>
          <t>Trial 215</t>
        </is>
      </c>
      <c r="HI1" s="16" t="inlineStr">
        <is>
          <t>Trial 216</t>
        </is>
      </c>
      <c r="HJ1" s="16" t="inlineStr">
        <is>
          <t>Trial 217</t>
        </is>
      </c>
      <c r="HK1" s="16" t="inlineStr">
        <is>
          <t>Trial 218</t>
        </is>
      </c>
      <c r="HL1" s="16" t="inlineStr">
        <is>
          <t>Trial 219</t>
        </is>
      </c>
      <c r="HM1" s="16" t="inlineStr">
        <is>
          <t>Trial 220</t>
        </is>
      </c>
      <c r="HN1" s="16" t="inlineStr">
        <is>
          <t>Trial 221</t>
        </is>
      </c>
      <c r="HO1" s="16" t="inlineStr">
        <is>
          <t>Trial 222</t>
        </is>
      </c>
      <c r="HP1" s="16" t="inlineStr">
        <is>
          <t>Trial 223</t>
        </is>
      </c>
      <c r="HQ1" s="16" t="inlineStr">
        <is>
          <t>Trial 224</t>
        </is>
      </c>
      <c r="HR1" s="16" t="inlineStr">
        <is>
          <t>Trial 225</t>
        </is>
      </c>
      <c r="HS1" s="16" t="inlineStr">
        <is>
          <t>Trial 226</t>
        </is>
      </c>
      <c r="HT1" s="16" t="inlineStr">
        <is>
          <t>Trial 227</t>
        </is>
      </c>
      <c r="HU1" s="16" t="inlineStr">
        <is>
          <t>Trial 228</t>
        </is>
      </c>
      <c r="HV1" s="16" t="inlineStr">
        <is>
          <t>Trial 229</t>
        </is>
      </c>
      <c r="HW1" s="16" t="inlineStr">
        <is>
          <t>Trial 230</t>
        </is>
      </c>
      <c r="HX1" s="16" t="inlineStr">
        <is>
          <t>Trial 231</t>
        </is>
      </c>
      <c r="HY1" s="16" t="inlineStr">
        <is>
          <t>Trial 232</t>
        </is>
      </c>
      <c r="HZ1" s="16" t="inlineStr">
        <is>
          <t>Trial 233</t>
        </is>
      </c>
      <c r="IA1" s="16" t="inlineStr">
        <is>
          <t>Trial 234</t>
        </is>
      </c>
      <c r="IB1" s="16" t="inlineStr">
        <is>
          <t>Trial 235</t>
        </is>
      </c>
      <c r="IC1" s="16" t="inlineStr">
        <is>
          <t>Trial 236</t>
        </is>
      </c>
      <c r="ID1" s="16" t="inlineStr">
        <is>
          <t>Trial 237</t>
        </is>
      </c>
      <c r="IE1" s="16" t="inlineStr">
        <is>
          <t>Trial 238</t>
        </is>
      </c>
      <c r="IF1" s="16" t="inlineStr">
        <is>
          <t>Trial 239</t>
        </is>
      </c>
      <c r="IG1" s="16" t="inlineStr">
        <is>
          <t>Trial 240</t>
        </is>
      </c>
      <c r="IH1" s="16" t="inlineStr">
        <is>
          <t>Trial 241</t>
        </is>
      </c>
      <c r="II1" s="16" t="inlineStr">
        <is>
          <t>Trial 242</t>
        </is>
      </c>
      <c r="IJ1" s="16" t="inlineStr">
        <is>
          <t>Trial 243</t>
        </is>
      </c>
      <c r="IK1" s="16" t="inlineStr">
        <is>
          <t>Trial 244</t>
        </is>
      </c>
      <c r="IL1" s="16" t="inlineStr">
        <is>
          <t>Trial 245</t>
        </is>
      </c>
      <c r="IM1" s="16" t="inlineStr">
        <is>
          <t>Trial 246</t>
        </is>
      </c>
      <c r="IN1" s="16" t="inlineStr">
        <is>
          <t>Trial 247</t>
        </is>
      </c>
      <c r="IO1" s="16" t="inlineStr">
        <is>
          <t>Trial 248</t>
        </is>
      </c>
      <c r="IP1" s="16" t="inlineStr">
        <is>
          <t>Trial 249</t>
        </is>
      </c>
      <c r="IQ1" s="16" t="inlineStr">
        <is>
          <t>Trial 250</t>
        </is>
      </c>
      <c r="IR1" s="16" t="inlineStr">
        <is>
          <t>Trial 251</t>
        </is>
      </c>
      <c r="IS1" s="16" t="inlineStr">
        <is>
          <t>Trial 252</t>
        </is>
      </c>
      <c r="IT1" s="16" t="inlineStr">
        <is>
          <t>Trial 253</t>
        </is>
      </c>
      <c r="IU1" s="16" t="inlineStr">
        <is>
          <t>Trial 254</t>
        </is>
      </c>
      <c r="IV1" s="16" t="inlineStr">
        <is>
          <t>Trial 255</t>
        </is>
      </c>
      <c r="IW1" s="16" t="inlineStr">
        <is>
          <t>Trial 256</t>
        </is>
      </c>
      <c r="IX1" s="16" t="inlineStr">
        <is>
          <t>Trial 257</t>
        </is>
      </c>
      <c r="IY1" s="16" t="inlineStr">
        <is>
          <t>Trial 258</t>
        </is>
      </c>
      <c r="IZ1" s="16" t="inlineStr">
        <is>
          <t>Trial 259</t>
        </is>
      </c>
      <c r="JA1" s="16" t="inlineStr">
        <is>
          <t>Trial 260</t>
        </is>
      </c>
      <c r="JB1" s="16" t="inlineStr">
        <is>
          <t>Trial 261</t>
        </is>
      </c>
      <c r="JC1" s="16" t="inlineStr">
        <is>
          <t>Trial 262</t>
        </is>
      </c>
      <c r="JD1" s="16" t="inlineStr">
        <is>
          <t>Trial 263</t>
        </is>
      </c>
      <c r="JE1" s="16" t="inlineStr">
        <is>
          <t>Trial 264</t>
        </is>
      </c>
      <c r="JF1" s="16" t="inlineStr">
        <is>
          <t>Trial 265</t>
        </is>
      </c>
      <c r="JG1" s="16" t="inlineStr">
        <is>
          <t>Trial 266</t>
        </is>
      </c>
      <c r="JH1" s="16" t="inlineStr">
        <is>
          <t>Trial 267</t>
        </is>
      </c>
      <c r="JI1" s="16" t="inlineStr">
        <is>
          <t>Trial 268</t>
        </is>
      </c>
      <c r="JJ1" s="16" t="inlineStr">
        <is>
          <t>Trial 269</t>
        </is>
      </c>
      <c r="JK1" s="16" t="inlineStr">
        <is>
          <t>Trial 270</t>
        </is>
      </c>
      <c r="JL1" s="16" t="inlineStr">
        <is>
          <t>Trial 271</t>
        </is>
      </c>
      <c r="JM1" s="16" t="inlineStr">
        <is>
          <t>Trial 272</t>
        </is>
      </c>
      <c r="JN1" s="16" t="inlineStr">
        <is>
          <t>Trial 273</t>
        </is>
      </c>
      <c r="JO1" s="16" t="inlineStr">
        <is>
          <t>Trial 274</t>
        </is>
      </c>
      <c r="JP1" s="16" t="inlineStr">
        <is>
          <t>Trial 275</t>
        </is>
      </c>
      <c r="JQ1" s="16" t="inlineStr">
        <is>
          <t>Trial 276</t>
        </is>
      </c>
      <c r="JR1" s="16" t="inlineStr">
        <is>
          <t>Trial 277</t>
        </is>
      </c>
      <c r="JS1" s="16" t="inlineStr">
        <is>
          <t>Trial 278</t>
        </is>
      </c>
      <c r="JT1" s="16" t="inlineStr">
        <is>
          <t>Trial 279</t>
        </is>
      </c>
      <c r="JU1" s="16" t="inlineStr">
        <is>
          <t>Trial 280</t>
        </is>
      </c>
      <c r="JV1" s="16" t="inlineStr">
        <is>
          <t>Trial 281</t>
        </is>
      </c>
      <c r="JW1" s="16" t="inlineStr">
        <is>
          <t>Trial 282</t>
        </is>
      </c>
      <c r="JX1" s="16" t="inlineStr">
        <is>
          <t>Trial 283</t>
        </is>
      </c>
      <c r="JY1" s="16" t="inlineStr">
        <is>
          <t>Trial 284</t>
        </is>
      </c>
      <c r="JZ1" s="16" t="inlineStr">
        <is>
          <t>Trial 285</t>
        </is>
      </c>
      <c r="KA1" s="16" t="inlineStr">
        <is>
          <t>Trial 286</t>
        </is>
      </c>
      <c r="KB1" s="16" t="inlineStr">
        <is>
          <t>Trial 287</t>
        </is>
      </c>
      <c r="KC1" s="16" t="inlineStr">
        <is>
          <t>Trial 288</t>
        </is>
      </c>
      <c r="KD1" s="16" t="inlineStr">
        <is>
          <t>Trial 289</t>
        </is>
      </c>
      <c r="KE1" s="16" t="inlineStr">
        <is>
          <t>Trial 290</t>
        </is>
      </c>
      <c r="KF1" s="16" t="inlineStr">
        <is>
          <t>Trial 291</t>
        </is>
      </c>
      <c r="KG1" s="16" t="inlineStr">
        <is>
          <t>Trial 292</t>
        </is>
      </c>
      <c r="KH1" s="16" t="inlineStr">
        <is>
          <t>Trial 293</t>
        </is>
      </c>
      <c r="KI1" s="16" t="inlineStr">
        <is>
          <t>Trial 294</t>
        </is>
      </c>
      <c r="KJ1" s="16" t="inlineStr">
        <is>
          <t>Trial 295</t>
        </is>
      </c>
      <c r="KK1" s="16" t="inlineStr">
        <is>
          <t>Trial 296</t>
        </is>
      </c>
      <c r="KL1" s="16" t="inlineStr">
        <is>
          <t>Trial 297</t>
        </is>
      </c>
      <c r="KM1" s="16" t="inlineStr">
        <is>
          <t>Trial 298</t>
        </is>
      </c>
      <c r="KN1" s="16" t="inlineStr">
        <is>
          <t>Trial 299</t>
        </is>
      </c>
      <c r="KO1" s="16" t="inlineStr">
        <is>
          <t>Trial 300</t>
        </is>
      </c>
      <c r="KP1" s="16" t="inlineStr">
        <is>
          <t>Trial 301</t>
        </is>
      </c>
      <c r="KQ1" s="16" t="inlineStr">
        <is>
          <t>Trial 302</t>
        </is>
      </c>
      <c r="KR1" s="16" t="inlineStr">
        <is>
          <t>Trial 303</t>
        </is>
      </c>
      <c r="KS1" s="16" t="inlineStr">
        <is>
          <t>Trial 304</t>
        </is>
      </c>
      <c r="KT1" s="16" t="inlineStr">
        <is>
          <t>Trial 305</t>
        </is>
      </c>
      <c r="KU1" s="16" t="inlineStr">
        <is>
          <t>Trial 306</t>
        </is>
      </c>
      <c r="KV1" s="16" t="inlineStr">
        <is>
          <t>Trial 307</t>
        </is>
      </c>
      <c r="KW1" s="16" t="inlineStr">
        <is>
          <t>Trial 308</t>
        </is>
      </c>
      <c r="KX1" s="16" t="inlineStr">
        <is>
          <t>Trial 309</t>
        </is>
      </c>
      <c r="KY1" s="16" t="inlineStr">
        <is>
          <t>Trial 310</t>
        </is>
      </c>
      <c r="KZ1" s="16" t="inlineStr">
        <is>
          <t>Trial 311</t>
        </is>
      </c>
      <c r="LA1" s="16" t="inlineStr">
        <is>
          <t>Trial 312</t>
        </is>
      </c>
      <c r="LB1" s="16" t="inlineStr">
        <is>
          <t>Trial 313</t>
        </is>
      </c>
      <c r="LC1" s="16" t="inlineStr">
        <is>
          <t>Trial 314</t>
        </is>
      </c>
      <c r="LD1" s="16" t="inlineStr">
        <is>
          <t>Trial 315</t>
        </is>
      </c>
      <c r="LE1" s="16" t="inlineStr">
        <is>
          <t>Trial 316</t>
        </is>
      </c>
      <c r="LF1" s="16" t="inlineStr">
        <is>
          <t>Trial 317</t>
        </is>
      </c>
      <c r="LG1" s="16" t="inlineStr">
        <is>
          <t>Trial 318</t>
        </is>
      </c>
      <c r="LH1" s="16" t="inlineStr">
        <is>
          <t>Trial 319</t>
        </is>
      </c>
      <c r="LI1" s="16" t="inlineStr">
        <is>
          <t>Trial 320</t>
        </is>
      </c>
      <c r="LJ1" s="16" t="inlineStr">
        <is>
          <t>Trial 321</t>
        </is>
      </c>
      <c r="LK1" s="16" t="inlineStr">
        <is>
          <t>Trial 322</t>
        </is>
      </c>
      <c r="LL1" s="16" t="inlineStr">
        <is>
          <t>Trial 323</t>
        </is>
      </c>
      <c r="LM1" s="16" t="inlineStr">
        <is>
          <t>Trial 324</t>
        </is>
      </c>
      <c r="LN1" s="16" t="inlineStr">
        <is>
          <t>Trial 325</t>
        </is>
      </c>
      <c r="LO1" s="16" t="inlineStr">
        <is>
          <t>Trial 326</t>
        </is>
      </c>
      <c r="LP1" s="16" t="inlineStr">
        <is>
          <t>Trial 327</t>
        </is>
      </c>
      <c r="LQ1" s="16" t="inlineStr">
        <is>
          <t>Trial 328</t>
        </is>
      </c>
      <c r="LR1" s="16" t="inlineStr">
        <is>
          <t>Trial 329</t>
        </is>
      </c>
      <c r="LS1" s="16" t="inlineStr">
        <is>
          <t>Trial 330</t>
        </is>
      </c>
      <c r="LT1" s="16" t="inlineStr">
        <is>
          <t>Trial 331</t>
        </is>
      </c>
      <c r="LU1" s="16" t="inlineStr">
        <is>
          <t>Trial 332</t>
        </is>
      </c>
      <c r="LV1" s="16" t="inlineStr">
        <is>
          <t>Trial 333</t>
        </is>
      </c>
      <c r="LW1" s="16" t="inlineStr">
        <is>
          <t>Trial 334</t>
        </is>
      </c>
      <c r="LX1" s="16" t="inlineStr">
        <is>
          <t>Trial 335</t>
        </is>
      </c>
      <c r="LY1" s="16" t="inlineStr">
        <is>
          <t>Trial 336</t>
        </is>
      </c>
      <c r="LZ1" s="16" t="inlineStr">
        <is>
          <t>Trial 337</t>
        </is>
      </c>
      <c r="MA1" s="16" t="inlineStr">
        <is>
          <t>Trial 338</t>
        </is>
      </c>
      <c r="MB1" s="16" t="inlineStr">
        <is>
          <t>Trial 339</t>
        </is>
      </c>
      <c r="MC1" s="16" t="inlineStr">
        <is>
          <t>Trial 340</t>
        </is>
      </c>
      <c r="MD1" s="16" t="inlineStr">
        <is>
          <t>Trial 341</t>
        </is>
      </c>
      <c r="ME1" s="16" t="inlineStr">
        <is>
          <t>Trial 342</t>
        </is>
      </c>
      <c r="MF1" s="16" t="inlineStr">
        <is>
          <t>Trial 343</t>
        </is>
      </c>
      <c r="MG1" s="16" t="inlineStr">
        <is>
          <t>Trial 344</t>
        </is>
      </c>
      <c r="MH1" s="16" t="inlineStr">
        <is>
          <t>Trial 345</t>
        </is>
      </c>
      <c r="MI1" s="16" t="inlineStr">
        <is>
          <t>Trial 346</t>
        </is>
      </c>
      <c r="MJ1" s="16" t="inlineStr">
        <is>
          <t>Trial 347</t>
        </is>
      </c>
      <c r="MK1" s="16" t="inlineStr">
        <is>
          <t>Trial 348</t>
        </is>
      </c>
      <c r="ML1" s="16" t="inlineStr">
        <is>
          <t>Trial 349</t>
        </is>
      </c>
      <c r="MM1" s="16" t="inlineStr">
        <is>
          <t>Trial 350</t>
        </is>
      </c>
      <c r="MN1" s="16" t="inlineStr">
        <is>
          <t>Trial 351</t>
        </is>
      </c>
      <c r="MO1" s="16" t="inlineStr">
        <is>
          <t>Trial 352</t>
        </is>
      </c>
      <c r="MP1" s="16" t="inlineStr">
        <is>
          <t>Trial 353</t>
        </is>
      </c>
      <c r="MQ1" s="16" t="inlineStr">
        <is>
          <t>Trial 354</t>
        </is>
      </c>
      <c r="MR1" s="16" t="inlineStr">
        <is>
          <t>Trial 355</t>
        </is>
      </c>
      <c r="MS1" s="16" t="inlineStr">
        <is>
          <t>Trial 356</t>
        </is>
      </c>
      <c r="MT1" s="16" t="inlineStr">
        <is>
          <t>Trial 357</t>
        </is>
      </c>
      <c r="MU1" s="16" t="inlineStr">
        <is>
          <t>Trial 358</t>
        </is>
      </c>
      <c r="MV1" s="16" t="inlineStr">
        <is>
          <t>Trial 359</t>
        </is>
      </c>
      <c r="MW1" s="16" t="inlineStr">
        <is>
          <t>Trial 360</t>
        </is>
      </c>
      <c r="MX1" s="16" t="inlineStr">
        <is>
          <t>Trial 361</t>
        </is>
      </c>
      <c r="MY1" s="16" t="inlineStr">
        <is>
          <t>Trial 362</t>
        </is>
      </c>
      <c r="MZ1" s="16" t="inlineStr">
        <is>
          <t>Trial 363</t>
        </is>
      </c>
      <c r="NA1" s="16" t="inlineStr">
        <is>
          <t>Trial 364</t>
        </is>
      </c>
      <c r="NB1" s="16" t="inlineStr">
        <is>
          <t>Trial 365</t>
        </is>
      </c>
      <c r="NC1" s="16" t="inlineStr">
        <is>
          <t>Trial 366</t>
        </is>
      </c>
      <c r="ND1" s="16" t="inlineStr">
        <is>
          <t>Trial 367</t>
        </is>
      </c>
      <c r="NE1" s="16" t="inlineStr">
        <is>
          <t>Trial 368</t>
        </is>
      </c>
      <c r="NF1" s="16" t="inlineStr">
        <is>
          <t>Trial 369</t>
        </is>
      </c>
      <c r="NG1" s="16" t="inlineStr">
        <is>
          <t>Trial 370</t>
        </is>
      </c>
      <c r="NH1" s="16" t="inlineStr">
        <is>
          <t>Trial 371</t>
        </is>
      </c>
      <c r="NI1" s="16" t="inlineStr">
        <is>
          <t>Trial 372</t>
        </is>
      </c>
      <c r="NJ1" s="16" t="inlineStr">
        <is>
          <t>Trial 373</t>
        </is>
      </c>
      <c r="NK1" s="16" t="inlineStr">
        <is>
          <t>Trial 374</t>
        </is>
      </c>
      <c r="NL1" s="16" t="inlineStr">
        <is>
          <t>Trial 375</t>
        </is>
      </c>
      <c r="NM1" s="16" t="inlineStr">
        <is>
          <t>Trial 376</t>
        </is>
      </c>
      <c r="NN1" s="16" t="inlineStr">
        <is>
          <t>Trial 377</t>
        </is>
      </c>
      <c r="NO1" s="16" t="inlineStr">
        <is>
          <t>Trial 378</t>
        </is>
      </c>
      <c r="NP1" s="16" t="inlineStr">
        <is>
          <t>Trial 379</t>
        </is>
      </c>
      <c r="NQ1" s="16" t="inlineStr">
        <is>
          <t>Trial 380</t>
        </is>
      </c>
      <c r="NR1" s="16" t="inlineStr">
        <is>
          <t>Trial 381</t>
        </is>
      </c>
      <c r="NS1" s="16" t="inlineStr">
        <is>
          <t>Trial 382</t>
        </is>
      </c>
      <c r="NT1" s="16" t="inlineStr">
        <is>
          <t>Trial 383</t>
        </is>
      </c>
      <c r="NU1" s="16" t="inlineStr">
        <is>
          <t>Trial 384</t>
        </is>
      </c>
      <c r="NV1" s="16" t="inlineStr">
        <is>
          <t>Trial 385</t>
        </is>
      </c>
      <c r="NW1" s="16" t="inlineStr">
        <is>
          <t>Trial 386</t>
        </is>
      </c>
      <c r="NX1" s="16" t="inlineStr">
        <is>
          <t>Trial 387</t>
        </is>
      </c>
      <c r="NY1" s="16" t="inlineStr">
        <is>
          <t>Trial 388</t>
        </is>
      </c>
      <c r="NZ1" s="16" t="inlineStr">
        <is>
          <t>Trial 389</t>
        </is>
      </c>
      <c r="OA1" s="16" t="inlineStr">
        <is>
          <t>Trial 390</t>
        </is>
      </c>
      <c r="OB1" s="16" t="inlineStr">
        <is>
          <t>Trial 391</t>
        </is>
      </c>
      <c r="OC1" s="16" t="inlineStr">
        <is>
          <t>Trial 392</t>
        </is>
      </c>
      <c r="OD1" s="16" t="inlineStr">
        <is>
          <t>Trial 393</t>
        </is>
      </c>
      <c r="OE1" s="16" t="inlineStr">
        <is>
          <t>Trial 394</t>
        </is>
      </c>
      <c r="OF1" s="16" t="inlineStr">
        <is>
          <t>Trial 395</t>
        </is>
      </c>
      <c r="OG1" s="16" t="inlineStr">
        <is>
          <t>Trial 396</t>
        </is>
      </c>
      <c r="OH1" s="16" t="inlineStr">
        <is>
          <t>Trial 397</t>
        </is>
      </c>
      <c r="OI1" s="16" t="inlineStr">
        <is>
          <t>Trial 398</t>
        </is>
      </c>
      <c r="OJ1" s="16" t="inlineStr">
        <is>
          <t>Trial 399</t>
        </is>
      </c>
      <c r="OK1" s="16" t="inlineStr">
        <is>
          <t>Trial 400</t>
        </is>
      </c>
      <c r="OL1" s="16" t="inlineStr">
        <is>
          <t>Trial 401</t>
        </is>
      </c>
      <c r="OM1" s="16" t="inlineStr">
        <is>
          <t>Trial 402</t>
        </is>
      </c>
      <c r="ON1" s="16" t="inlineStr">
        <is>
          <t>Trial 403</t>
        </is>
      </c>
      <c r="OO1" s="16" t="inlineStr">
        <is>
          <t>Trial 404</t>
        </is>
      </c>
      <c r="OP1" s="16" t="inlineStr">
        <is>
          <t>Trial 405</t>
        </is>
      </c>
      <c r="OQ1" s="16" t="inlineStr">
        <is>
          <t>Trial 406</t>
        </is>
      </c>
      <c r="OR1" s="16" t="inlineStr">
        <is>
          <t>Trial 407</t>
        </is>
      </c>
      <c r="OS1" s="16" t="inlineStr">
        <is>
          <t>Trial 408</t>
        </is>
      </c>
      <c r="OT1" s="16" t="inlineStr">
        <is>
          <t>Trial 409</t>
        </is>
      </c>
      <c r="OU1" s="16" t="inlineStr">
        <is>
          <t>Trial 410</t>
        </is>
      </c>
      <c r="OV1" s="16" t="inlineStr">
        <is>
          <t>Trial 411</t>
        </is>
      </c>
      <c r="OW1" s="16" t="inlineStr">
        <is>
          <t>Trial 412</t>
        </is>
      </c>
      <c r="OX1" s="16" t="inlineStr">
        <is>
          <t>Trial 413</t>
        </is>
      </c>
      <c r="OY1" s="16" t="inlineStr">
        <is>
          <t>Trial 414</t>
        </is>
      </c>
      <c r="OZ1" s="16" t="inlineStr">
        <is>
          <t>Trial 415</t>
        </is>
      </c>
      <c r="PA1" s="16" t="inlineStr">
        <is>
          <t>Trial 416</t>
        </is>
      </c>
      <c r="PB1" s="16" t="inlineStr">
        <is>
          <t>Trial 417</t>
        </is>
      </c>
      <c r="PC1" s="16" t="inlineStr">
        <is>
          <t>Trial 418</t>
        </is>
      </c>
      <c r="PD1" s="16" t="inlineStr">
        <is>
          <t>Trial 419</t>
        </is>
      </c>
      <c r="PE1" s="16" t="inlineStr">
        <is>
          <t>Trial 420</t>
        </is>
      </c>
      <c r="PF1" s="16" t="inlineStr">
        <is>
          <t>Trial 421</t>
        </is>
      </c>
      <c r="PG1" s="16" t="inlineStr">
        <is>
          <t>Trial 422</t>
        </is>
      </c>
      <c r="PH1" s="16" t="inlineStr">
        <is>
          <t>Trial 423</t>
        </is>
      </c>
      <c r="PI1" s="16" t="inlineStr">
        <is>
          <t>Trial 424</t>
        </is>
      </c>
      <c r="PJ1" s="16" t="inlineStr">
        <is>
          <t>Trial 425</t>
        </is>
      </c>
      <c r="PK1" s="16" t="inlineStr">
        <is>
          <t>Trial 426</t>
        </is>
      </c>
      <c r="PL1" s="16" t="inlineStr">
        <is>
          <t>Trial 427</t>
        </is>
      </c>
      <c r="PM1" s="16" t="inlineStr">
        <is>
          <t>Trial 428</t>
        </is>
      </c>
      <c r="PN1" s="16" t="inlineStr">
        <is>
          <t>Trial 429</t>
        </is>
      </c>
      <c r="PO1" s="16" t="inlineStr">
        <is>
          <t>Trial 430</t>
        </is>
      </c>
      <c r="PP1" s="16" t="inlineStr">
        <is>
          <t>Trial 431</t>
        </is>
      </c>
      <c r="PQ1" s="16" t="inlineStr">
        <is>
          <t>Trial 432</t>
        </is>
      </c>
      <c r="PR1" s="16" t="inlineStr">
        <is>
          <t>Trial 433</t>
        </is>
      </c>
      <c r="PS1" s="16" t="inlineStr">
        <is>
          <t>Trial 434</t>
        </is>
      </c>
      <c r="PT1" s="16" t="inlineStr">
        <is>
          <t>Trial 435</t>
        </is>
      </c>
      <c r="PU1" s="16" t="inlineStr">
        <is>
          <t>Trial 436</t>
        </is>
      </c>
      <c r="PV1" s="16" t="inlineStr">
        <is>
          <t>Trial 437</t>
        </is>
      </c>
      <c r="PW1" s="16" t="inlineStr">
        <is>
          <t>Trial 438</t>
        </is>
      </c>
      <c r="PX1" s="16" t="inlineStr">
        <is>
          <t>Trial 439</t>
        </is>
      </c>
      <c r="PY1" s="16" t="inlineStr">
        <is>
          <t>Trial 440</t>
        </is>
      </c>
      <c r="PZ1" s="16" t="inlineStr">
        <is>
          <t>Trial 441</t>
        </is>
      </c>
      <c r="QA1" s="16" t="inlineStr">
        <is>
          <t>Trial 442</t>
        </is>
      </c>
      <c r="QB1" s="16" t="inlineStr">
        <is>
          <t>Trial 443</t>
        </is>
      </c>
      <c r="QC1" s="16" t="inlineStr">
        <is>
          <t>Trial 444</t>
        </is>
      </c>
      <c r="QD1" s="16" t="inlineStr">
        <is>
          <t>Trial 445</t>
        </is>
      </c>
      <c r="QE1" s="16" t="inlineStr">
        <is>
          <t>Trial 446</t>
        </is>
      </c>
      <c r="QF1" s="16" t="inlineStr">
        <is>
          <t>Trial 447</t>
        </is>
      </c>
      <c r="QG1" s="16" t="inlineStr">
        <is>
          <t>Trial 448</t>
        </is>
      </c>
      <c r="QH1" s="16" t="inlineStr">
        <is>
          <t>Trial 449</t>
        </is>
      </c>
      <c r="QI1" s="16" t="inlineStr">
        <is>
          <t>Trial 450</t>
        </is>
      </c>
      <c r="QJ1" s="16" t="inlineStr">
        <is>
          <t>Trial 451</t>
        </is>
      </c>
      <c r="QK1" s="16" t="inlineStr">
        <is>
          <t>Trial 452</t>
        </is>
      </c>
      <c r="QL1" s="16" t="inlineStr">
        <is>
          <t>Trial 453</t>
        </is>
      </c>
      <c r="QM1" s="16" t="inlineStr">
        <is>
          <t>Trial 454</t>
        </is>
      </c>
      <c r="QN1" s="16" t="inlineStr">
        <is>
          <t>Trial 455</t>
        </is>
      </c>
      <c r="QO1" s="16" t="inlineStr">
        <is>
          <t>Trial 456</t>
        </is>
      </c>
      <c r="QP1" s="16" t="inlineStr">
        <is>
          <t>Trial 457</t>
        </is>
      </c>
      <c r="QQ1" s="16" t="inlineStr">
        <is>
          <t>Trial 458</t>
        </is>
      </c>
      <c r="QR1" s="16" t="inlineStr">
        <is>
          <t>Trial 459</t>
        </is>
      </c>
      <c r="QS1" s="16" t="inlineStr">
        <is>
          <t>Trial 460</t>
        </is>
      </c>
      <c r="QT1" s="16" t="inlineStr">
        <is>
          <t>Trial 461</t>
        </is>
      </c>
      <c r="QU1" s="16" t="inlineStr">
        <is>
          <t>Trial 462</t>
        </is>
      </c>
      <c r="QV1" s="16" t="inlineStr">
        <is>
          <t>Trial 463</t>
        </is>
      </c>
      <c r="QW1" s="16" t="inlineStr">
        <is>
          <t>Trial 464</t>
        </is>
      </c>
      <c r="QX1" s="16" t="inlineStr">
        <is>
          <t>Trial 465</t>
        </is>
      </c>
      <c r="QY1" s="16" t="inlineStr">
        <is>
          <t>Trial 466</t>
        </is>
      </c>
      <c r="QZ1" s="16" t="inlineStr">
        <is>
          <t>Trial 467</t>
        </is>
      </c>
      <c r="RA1" s="16" t="inlineStr">
        <is>
          <t>Trial 468</t>
        </is>
      </c>
      <c r="RB1" s="16" t="inlineStr">
        <is>
          <t>Trial 469</t>
        </is>
      </c>
      <c r="RC1" s="16" t="inlineStr">
        <is>
          <t>Trial 470</t>
        </is>
      </c>
      <c r="RD1" s="16" t="inlineStr">
        <is>
          <t>Trial 471</t>
        </is>
      </c>
      <c r="RE1" s="16" t="inlineStr">
        <is>
          <t>Trial 472</t>
        </is>
      </c>
      <c r="RF1" s="16" t="inlineStr">
        <is>
          <t>Trial 473</t>
        </is>
      </c>
      <c r="RG1" s="16" t="inlineStr">
        <is>
          <t>Trial 474</t>
        </is>
      </c>
      <c r="RH1" s="16" t="inlineStr">
        <is>
          <t>Trial 475</t>
        </is>
      </c>
      <c r="RI1" s="16" t="inlineStr">
        <is>
          <t>Trial 476</t>
        </is>
      </c>
      <c r="RJ1" s="16" t="inlineStr">
        <is>
          <t>Trial 477</t>
        </is>
      </c>
      <c r="RK1" s="16" t="inlineStr">
        <is>
          <t>Trial 478</t>
        </is>
      </c>
      <c r="RL1" s="16" t="inlineStr">
        <is>
          <t>Trial 479</t>
        </is>
      </c>
      <c r="RM1" s="16" t="inlineStr">
        <is>
          <t>Trial 480</t>
        </is>
      </c>
      <c r="RN1" s="16" t="inlineStr">
        <is>
          <t>Trial 481</t>
        </is>
      </c>
      <c r="RO1" s="16" t="inlineStr">
        <is>
          <t>Trial 482</t>
        </is>
      </c>
      <c r="RP1" s="16" t="inlineStr">
        <is>
          <t>Trial 483</t>
        </is>
      </c>
      <c r="RQ1" s="16" t="inlineStr">
        <is>
          <t>Trial 484</t>
        </is>
      </c>
      <c r="RR1" s="16" t="inlineStr">
        <is>
          <t>Trial 485</t>
        </is>
      </c>
      <c r="RS1" s="16" t="inlineStr">
        <is>
          <t>Trial 486</t>
        </is>
      </c>
      <c r="RT1" s="16" t="inlineStr">
        <is>
          <t>Trial 487</t>
        </is>
      </c>
      <c r="RU1" s="16" t="inlineStr">
        <is>
          <t>Trial 488</t>
        </is>
      </c>
      <c r="RV1" s="16" t="inlineStr">
        <is>
          <t>Trial 489</t>
        </is>
      </c>
      <c r="RW1" s="16" t="inlineStr">
        <is>
          <t>Trial 490</t>
        </is>
      </c>
      <c r="RX1" s="16" t="inlineStr">
        <is>
          <t>Trial 491</t>
        </is>
      </c>
      <c r="RY1" s="16" t="inlineStr">
        <is>
          <t>Trial 492</t>
        </is>
      </c>
      <c r="RZ1" s="16" t="inlineStr">
        <is>
          <t>Trial 493</t>
        </is>
      </c>
      <c r="SA1" s="16" t="inlineStr">
        <is>
          <t>Trial 494</t>
        </is>
      </c>
      <c r="SB1" s="16" t="inlineStr">
        <is>
          <t>Trial 495</t>
        </is>
      </c>
      <c r="SC1" s="16" t="inlineStr">
        <is>
          <t>Trial 496</t>
        </is>
      </c>
      <c r="SD1" s="16" t="inlineStr">
        <is>
          <t>Trial 497</t>
        </is>
      </c>
      <c r="SE1" s="16" t="inlineStr">
        <is>
          <t>Trial 498</t>
        </is>
      </c>
      <c r="SF1" s="16" t="inlineStr">
        <is>
          <t>Trial 499</t>
        </is>
      </c>
      <c r="SG1" s="16" t="inlineStr">
        <is>
          <t>Trial 500</t>
        </is>
      </c>
    </row>
    <row r="2">
      <c r="A2" s="17" t="inlineStr">
        <is>
          <t>OBL-001</t>
        </is>
      </c>
      <c r="B2" s="20">
        <f>IF(Simulation!B2&lt;Obligors!$I$2,1,0)</f>
        <v/>
      </c>
      <c r="C2" s="20">
        <f>IF(Simulation!C2&lt;Obligors!$I$2,1,0)</f>
        <v/>
      </c>
      <c r="D2" s="20">
        <f>IF(Simulation!D2&lt;Obligors!$I$2,1,0)</f>
        <v/>
      </c>
      <c r="E2" s="20">
        <f>IF(Simulation!E2&lt;Obligors!$I$2,1,0)</f>
        <v/>
      </c>
      <c r="F2" s="20">
        <f>IF(Simulation!F2&lt;Obligors!$I$2,1,0)</f>
        <v/>
      </c>
      <c r="G2" s="20">
        <f>IF(Simulation!G2&lt;Obligors!$I$2,1,0)</f>
        <v/>
      </c>
      <c r="H2" s="20">
        <f>IF(Simulation!H2&lt;Obligors!$I$2,1,0)</f>
        <v/>
      </c>
      <c r="I2" s="20">
        <f>IF(Simulation!I2&lt;Obligors!$I$2,1,0)</f>
        <v/>
      </c>
      <c r="J2" s="20">
        <f>IF(Simulation!J2&lt;Obligors!$I$2,1,0)</f>
        <v/>
      </c>
      <c r="K2" s="20">
        <f>IF(Simulation!K2&lt;Obligors!$I$2,1,0)</f>
        <v/>
      </c>
      <c r="L2" s="20">
        <f>IF(Simulation!L2&lt;Obligors!$I$2,1,0)</f>
        <v/>
      </c>
      <c r="M2" s="20">
        <f>IF(Simulation!M2&lt;Obligors!$I$2,1,0)</f>
        <v/>
      </c>
      <c r="N2" s="20">
        <f>IF(Simulation!N2&lt;Obligors!$I$2,1,0)</f>
        <v/>
      </c>
      <c r="O2" s="20">
        <f>IF(Simulation!O2&lt;Obligors!$I$2,1,0)</f>
        <v/>
      </c>
      <c r="P2" s="20">
        <f>IF(Simulation!P2&lt;Obligors!$I$2,1,0)</f>
        <v/>
      </c>
      <c r="Q2" s="20">
        <f>IF(Simulation!Q2&lt;Obligors!$I$2,1,0)</f>
        <v/>
      </c>
      <c r="R2" s="20">
        <f>IF(Simulation!R2&lt;Obligors!$I$2,1,0)</f>
        <v/>
      </c>
      <c r="S2" s="20">
        <f>IF(Simulation!S2&lt;Obligors!$I$2,1,0)</f>
        <v/>
      </c>
      <c r="T2" s="20">
        <f>IF(Simulation!T2&lt;Obligors!$I$2,1,0)</f>
        <v/>
      </c>
      <c r="U2" s="20">
        <f>IF(Simulation!U2&lt;Obligors!$I$2,1,0)</f>
        <v/>
      </c>
      <c r="V2" s="20">
        <f>IF(Simulation!V2&lt;Obligors!$I$2,1,0)</f>
        <v/>
      </c>
      <c r="W2" s="20">
        <f>IF(Simulation!W2&lt;Obligors!$I$2,1,0)</f>
        <v/>
      </c>
      <c r="X2" s="20">
        <f>IF(Simulation!X2&lt;Obligors!$I$2,1,0)</f>
        <v/>
      </c>
      <c r="Y2" s="20">
        <f>IF(Simulation!Y2&lt;Obligors!$I$2,1,0)</f>
        <v/>
      </c>
      <c r="Z2" s="20">
        <f>IF(Simulation!Z2&lt;Obligors!$I$2,1,0)</f>
        <v/>
      </c>
      <c r="AA2" s="20">
        <f>IF(Simulation!AA2&lt;Obligors!$I$2,1,0)</f>
        <v/>
      </c>
      <c r="AB2" s="20">
        <f>IF(Simulation!AB2&lt;Obligors!$I$2,1,0)</f>
        <v/>
      </c>
      <c r="AC2" s="20">
        <f>IF(Simulation!AC2&lt;Obligors!$I$2,1,0)</f>
        <v/>
      </c>
      <c r="AD2" s="20">
        <f>IF(Simulation!AD2&lt;Obligors!$I$2,1,0)</f>
        <v/>
      </c>
      <c r="AE2" s="20">
        <f>IF(Simulation!AE2&lt;Obligors!$I$2,1,0)</f>
        <v/>
      </c>
      <c r="AF2" s="20">
        <f>IF(Simulation!AF2&lt;Obligors!$I$2,1,0)</f>
        <v/>
      </c>
      <c r="AG2" s="20">
        <f>IF(Simulation!AG2&lt;Obligors!$I$2,1,0)</f>
        <v/>
      </c>
      <c r="AH2" s="20">
        <f>IF(Simulation!AH2&lt;Obligors!$I$2,1,0)</f>
        <v/>
      </c>
      <c r="AI2" s="20">
        <f>IF(Simulation!AI2&lt;Obligors!$I$2,1,0)</f>
        <v/>
      </c>
      <c r="AJ2" s="20">
        <f>IF(Simulation!AJ2&lt;Obligors!$I$2,1,0)</f>
        <v/>
      </c>
      <c r="AK2" s="20">
        <f>IF(Simulation!AK2&lt;Obligors!$I$2,1,0)</f>
        <v/>
      </c>
      <c r="AL2" s="20">
        <f>IF(Simulation!AL2&lt;Obligors!$I$2,1,0)</f>
        <v/>
      </c>
      <c r="AM2" s="20">
        <f>IF(Simulation!AM2&lt;Obligors!$I$2,1,0)</f>
        <v/>
      </c>
      <c r="AN2" s="20">
        <f>IF(Simulation!AN2&lt;Obligors!$I$2,1,0)</f>
        <v/>
      </c>
      <c r="AO2" s="20">
        <f>IF(Simulation!AO2&lt;Obligors!$I$2,1,0)</f>
        <v/>
      </c>
      <c r="AP2" s="20">
        <f>IF(Simulation!AP2&lt;Obligors!$I$2,1,0)</f>
        <v/>
      </c>
      <c r="AQ2" s="20">
        <f>IF(Simulation!AQ2&lt;Obligors!$I$2,1,0)</f>
        <v/>
      </c>
      <c r="AR2" s="20">
        <f>IF(Simulation!AR2&lt;Obligors!$I$2,1,0)</f>
        <v/>
      </c>
      <c r="AS2" s="20">
        <f>IF(Simulation!AS2&lt;Obligors!$I$2,1,0)</f>
        <v/>
      </c>
      <c r="AT2" s="20">
        <f>IF(Simulation!AT2&lt;Obligors!$I$2,1,0)</f>
        <v/>
      </c>
      <c r="AU2" s="20">
        <f>IF(Simulation!AU2&lt;Obligors!$I$2,1,0)</f>
        <v/>
      </c>
      <c r="AV2" s="20">
        <f>IF(Simulation!AV2&lt;Obligors!$I$2,1,0)</f>
        <v/>
      </c>
      <c r="AW2" s="20">
        <f>IF(Simulation!AW2&lt;Obligors!$I$2,1,0)</f>
        <v/>
      </c>
      <c r="AX2" s="20">
        <f>IF(Simulation!AX2&lt;Obligors!$I$2,1,0)</f>
        <v/>
      </c>
      <c r="AY2" s="20">
        <f>IF(Simulation!AY2&lt;Obligors!$I$2,1,0)</f>
        <v/>
      </c>
      <c r="AZ2" s="20">
        <f>IF(Simulation!AZ2&lt;Obligors!$I$2,1,0)</f>
        <v/>
      </c>
      <c r="BA2" s="20">
        <f>IF(Simulation!BA2&lt;Obligors!$I$2,1,0)</f>
        <v/>
      </c>
      <c r="BB2" s="20">
        <f>IF(Simulation!BB2&lt;Obligors!$I$2,1,0)</f>
        <v/>
      </c>
      <c r="BC2" s="20">
        <f>IF(Simulation!BC2&lt;Obligors!$I$2,1,0)</f>
        <v/>
      </c>
      <c r="BD2" s="20">
        <f>IF(Simulation!BD2&lt;Obligors!$I$2,1,0)</f>
        <v/>
      </c>
      <c r="BE2" s="20">
        <f>IF(Simulation!BE2&lt;Obligors!$I$2,1,0)</f>
        <v/>
      </c>
      <c r="BF2" s="20">
        <f>IF(Simulation!BF2&lt;Obligors!$I$2,1,0)</f>
        <v/>
      </c>
      <c r="BG2" s="20">
        <f>IF(Simulation!BG2&lt;Obligors!$I$2,1,0)</f>
        <v/>
      </c>
      <c r="BH2" s="20">
        <f>IF(Simulation!BH2&lt;Obligors!$I$2,1,0)</f>
        <v/>
      </c>
      <c r="BI2" s="20">
        <f>IF(Simulation!BI2&lt;Obligors!$I$2,1,0)</f>
        <v/>
      </c>
      <c r="BJ2" s="20">
        <f>IF(Simulation!BJ2&lt;Obligors!$I$2,1,0)</f>
        <v/>
      </c>
      <c r="BK2" s="20">
        <f>IF(Simulation!BK2&lt;Obligors!$I$2,1,0)</f>
        <v/>
      </c>
      <c r="BL2" s="20">
        <f>IF(Simulation!BL2&lt;Obligors!$I$2,1,0)</f>
        <v/>
      </c>
      <c r="BM2" s="20">
        <f>IF(Simulation!BM2&lt;Obligors!$I$2,1,0)</f>
        <v/>
      </c>
      <c r="BN2" s="20">
        <f>IF(Simulation!BN2&lt;Obligors!$I$2,1,0)</f>
        <v/>
      </c>
      <c r="BO2" s="20">
        <f>IF(Simulation!BO2&lt;Obligors!$I$2,1,0)</f>
        <v/>
      </c>
      <c r="BP2" s="20">
        <f>IF(Simulation!BP2&lt;Obligors!$I$2,1,0)</f>
        <v/>
      </c>
      <c r="BQ2" s="20">
        <f>IF(Simulation!BQ2&lt;Obligors!$I$2,1,0)</f>
        <v/>
      </c>
      <c r="BR2" s="20">
        <f>IF(Simulation!BR2&lt;Obligors!$I$2,1,0)</f>
        <v/>
      </c>
      <c r="BS2" s="20">
        <f>IF(Simulation!BS2&lt;Obligors!$I$2,1,0)</f>
        <v/>
      </c>
      <c r="BT2" s="20">
        <f>IF(Simulation!BT2&lt;Obligors!$I$2,1,0)</f>
        <v/>
      </c>
      <c r="BU2" s="20">
        <f>IF(Simulation!BU2&lt;Obligors!$I$2,1,0)</f>
        <v/>
      </c>
      <c r="BV2" s="20">
        <f>IF(Simulation!BV2&lt;Obligors!$I$2,1,0)</f>
        <v/>
      </c>
      <c r="BW2" s="20">
        <f>IF(Simulation!BW2&lt;Obligors!$I$2,1,0)</f>
        <v/>
      </c>
      <c r="BX2" s="20">
        <f>IF(Simulation!BX2&lt;Obligors!$I$2,1,0)</f>
        <v/>
      </c>
      <c r="BY2" s="20">
        <f>IF(Simulation!BY2&lt;Obligors!$I$2,1,0)</f>
        <v/>
      </c>
      <c r="BZ2" s="20">
        <f>IF(Simulation!BZ2&lt;Obligors!$I$2,1,0)</f>
        <v/>
      </c>
      <c r="CA2" s="20">
        <f>IF(Simulation!CA2&lt;Obligors!$I$2,1,0)</f>
        <v/>
      </c>
      <c r="CB2" s="20">
        <f>IF(Simulation!CB2&lt;Obligors!$I$2,1,0)</f>
        <v/>
      </c>
      <c r="CC2" s="20">
        <f>IF(Simulation!CC2&lt;Obligors!$I$2,1,0)</f>
        <v/>
      </c>
      <c r="CD2" s="20">
        <f>IF(Simulation!CD2&lt;Obligors!$I$2,1,0)</f>
        <v/>
      </c>
      <c r="CE2" s="20">
        <f>IF(Simulation!CE2&lt;Obligors!$I$2,1,0)</f>
        <v/>
      </c>
      <c r="CF2" s="20">
        <f>IF(Simulation!CF2&lt;Obligors!$I$2,1,0)</f>
        <v/>
      </c>
      <c r="CG2" s="20">
        <f>IF(Simulation!CG2&lt;Obligors!$I$2,1,0)</f>
        <v/>
      </c>
      <c r="CH2" s="20">
        <f>IF(Simulation!CH2&lt;Obligors!$I$2,1,0)</f>
        <v/>
      </c>
      <c r="CI2" s="20">
        <f>IF(Simulation!CI2&lt;Obligors!$I$2,1,0)</f>
        <v/>
      </c>
      <c r="CJ2" s="20">
        <f>IF(Simulation!CJ2&lt;Obligors!$I$2,1,0)</f>
        <v/>
      </c>
      <c r="CK2" s="20">
        <f>IF(Simulation!CK2&lt;Obligors!$I$2,1,0)</f>
        <v/>
      </c>
      <c r="CL2" s="20">
        <f>IF(Simulation!CL2&lt;Obligors!$I$2,1,0)</f>
        <v/>
      </c>
      <c r="CM2" s="20">
        <f>IF(Simulation!CM2&lt;Obligors!$I$2,1,0)</f>
        <v/>
      </c>
      <c r="CN2" s="20">
        <f>IF(Simulation!CN2&lt;Obligors!$I$2,1,0)</f>
        <v/>
      </c>
      <c r="CO2" s="20">
        <f>IF(Simulation!CO2&lt;Obligors!$I$2,1,0)</f>
        <v/>
      </c>
      <c r="CP2" s="20">
        <f>IF(Simulation!CP2&lt;Obligors!$I$2,1,0)</f>
        <v/>
      </c>
      <c r="CQ2" s="20">
        <f>IF(Simulation!CQ2&lt;Obligors!$I$2,1,0)</f>
        <v/>
      </c>
      <c r="CR2" s="20">
        <f>IF(Simulation!CR2&lt;Obligors!$I$2,1,0)</f>
        <v/>
      </c>
      <c r="CS2" s="20">
        <f>IF(Simulation!CS2&lt;Obligors!$I$2,1,0)</f>
        <v/>
      </c>
      <c r="CT2" s="20">
        <f>IF(Simulation!CT2&lt;Obligors!$I$2,1,0)</f>
        <v/>
      </c>
      <c r="CU2" s="20">
        <f>IF(Simulation!CU2&lt;Obligors!$I$2,1,0)</f>
        <v/>
      </c>
      <c r="CV2" s="20">
        <f>IF(Simulation!CV2&lt;Obligors!$I$2,1,0)</f>
        <v/>
      </c>
      <c r="CW2" s="20">
        <f>IF(Simulation!CW2&lt;Obligors!$I$2,1,0)</f>
        <v/>
      </c>
      <c r="CX2" s="20">
        <f>IF(Simulation!CX2&lt;Obligors!$I$2,1,0)</f>
        <v/>
      </c>
      <c r="CY2" s="20">
        <f>IF(Simulation!CY2&lt;Obligors!$I$2,1,0)</f>
        <v/>
      </c>
      <c r="CZ2" s="20">
        <f>IF(Simulation!CZ2&lt;Obligors!$I$2,1,0)</f>
        <v/>
      </c>
      <c r="DA2" s="20">
        <f>IF(Simulation!DA2&lt;Obligors!$I$2,1,0)</f>
        <v/>
      </c>
      <c r="DB2" s="20">
        <f>IF(Simulation!DB2&lt;Obligors!$I$2,1,0)</f>
        <v/>
      </c>
      <c r="DC2" s="20">
        <f>IF(Simulation!DC2&lt;Obligors!$I$2,1,0)</f>
        <v/>
      </c>
      <c r="DD2" s="20">
        <f>IF(Simulation!DD2&lt;Obligors!$I$2,1,0)</f>
        <v/>
      </c>
      <c r="DE2" s="20">
        <f>IF(Simulation!DE2&lt;Obligors!$I$2,1,0)</f>
        <v/>
      </c>
      <c r="DF2" s="20">
        <f>IF(Simulation!DF2&lt;Obligors!$I$2,1,0)</f>
        <v/>
      </c>
      <c r="DG2" s="20">
        <f>IF(Simulation!DG2&lt;Obligors!$I$2,1,0)</f>
        <v/>
      </c>
      <c r="DH2" s="20">
        <f>IF(Simulation!DH2&lt;Obligors!$I$2,1,0)</f>
        <v/>
      </c>
      <c r="DI2" s="20">
        <f>IF(Simulation!DI2&lt;Obligors!$I$2,1,0)</f>
        <v/>
      </c>
      <c r="DJ2" s="20">
        <f>IF(Simulation!DJ2&lt;Obligors!$I$2,1,0)</f>
        <v/>
      </c>
      <c r="DK2" s="20">
        <f>IF(Simulation!DK2&lt;Obligors!$I$2,1,0)</f>
        <v/>
      </c>
      <c r="DL2" s="20">
        <f>IF(Simulation!DL2&lt;Obligors!$I$2,1,0)</f>
        <v/>
      </c>
      <c r="DM2" s="20">
        <f>IF(Simulation!DM2&lt;Obligors!$I$2,1,0)</f>
        <v/>
      </c>
      <c r="DN2" s="20">
        <f>IF(Simulation!DN2&lt;Obligors!$I$2,1,0)</f>
        <v/>
      </c>
      <c r="DO2" s="20">
        <f>IF(Simulation!DO2&lt;Obligors!$I$2,1,0)</f>
        <v/>
      </c>
      <c r="DP2" s="20">
        <f>IF(Simulation!DP2&lt;Obligors!$I$2,1,0)</f>
        <v/>
      </c>
      <c r="DQ2" s="20">
        <f>IF(Simulation!DQ2&lt;Obligors!$I$2,1,0)</f>
        <v/>
      </c>
      <c r="DR2" s="20">
        <f>IF(Simulation!DR2&lt;Obligors!$I$2,1,0)</f>
        <v/>
      </c>
      <c r="DS2" s="20">
        <f>IF(Simulation!DS2&lt;Obligors!$I$2,1,0)</f>
        <v/>
      </c>
      <c r="DT2" s="20">
        <f>IF(Simulation!DT2&lt;Obligors!$I$2,1,0)</f>
        <v/>
      </c>
      <c r="DU2" s="20">
        <f>IF(Simulation!DU2&lt;Obligors!$I$2,1,0)</f>
        <v/>
      </c>
      <c r="DV2" s="20">
        <f>IF(Simulation!DV2&lt;Obligors!$I$2,1,0)</f>
        <v/>
      </c>
      <c r="DW2" s="20">
        <f>IF(Simulation!DW2&lt;Obligors!$I$2,1,0)</f>
        <v/>
      </c>
      <c r="DX2" s="20">
        <f>IF(Simulation!DX2&lt;Obligors!$I$2,1,0)</f>
        <v/>
      </c>
      <c r="DY2" s="20">
        <f>IF(Simulation!DY2&lt;Obligors!$I$2,1,0)</f>
        <v/>
      </c>
      <c r="DZ2" s="20">
        <f>IF(Simulation!DZ2&lt;Obligors!$I$2,1,0)</f>
        <v/>
      </c>
      <c r="EA2" s="20">
        <f>IF(Simulation!EA2&lt;Obligors!$I$2,1,0)</f>
        <v/>
      </c>
      <c r="EB2" s="20">
        <f>IF(Simulation!EB2&lt;Obligors!$I$2,1,0)</f>
        <v/>
      </c>
      <c r="EC2" s="20">
        <f>IF(Simulation!EC2&lt;Obligors!$I$2,1,0)</f>
        <v/>
      </c>
      <c r="ED2" s="20">
        <f>IF(Simulation!ED2&lt;Obligors!$I$2,1,0)</f>
        <v/>
      </c>
      <c r="EE2" s="20">
        <f>IF(Simulation!EE2&lt;Obligors!$I$2,1,0)</f>
        <v/>
      </c>
      <c r="EF2" s="20">
        <f>IF(Simulation!EF2&lt;Obligors!$I$2,1,0)</f>
        <v/>
      </c>
      <c r="EG2" s="20">
        <f>IF(Simulation!EG2&lt;Obligors!$I$2,1,0)</f>
        <v/>
      </c>
      <c r="EH2" s="20">
        <f>IF(Simulation!EH2&lt;Obligors!$I$2,1,0)</f>
        <v/>
      </c>
      <c r="EI2" s="20">
        <f>IF(Simulation!EI2&lt;Obligors!$I$2,1,0)</f>
        <v/>
      </c>
      <c r="EJ2" s="20">
        <f>IF(Simulation!EJ2&lt;Obligors!$I$2,1,0)</f>
        <v/>
      </c>
      <c r="EK2" s="20">
        <f>IF(Simulation!EK2&lt;Obligors!$I$2,1,0)</f>
        <v/>
      </c>
      <c r="EL2" s="20">
        <f>IF(Simulation!EL2&lt;Obligors!$I$2,1,0)</f>
        <v/>
      </c>
      <c r="EM2" s="20">
        <f>IF(Simulation!EM2&lt;Obligors!$I$2,1,0)</f>
        <v/>
      </c>
      <c r="EN2" s="20">
        <f>IF(Simulation!EN2&lt;Obligors!$I$2,1,0)</f>
        <v/>
      </c>
      <c r="EO2" s="20">
        <f>IF(Simulation!EO2&lt;Obligors!$I$2,1,0)</f>
        <v/>
      </c>
      <c r="EP2" s="20">
        <f>IF(Simulation!EP2&lt;Obligors!$I$2,1,0)</f>
        <v/>
      </c>
      <c r="EQ2" s="20">
        <f>IF(Simulation!EQ2&lt;Obligors!$I$2,1,0)</f>
        <v/>
      </c>
      <c r="ER2" s="20">
        <f>IF(Simulation!ER2&lt;Obligors!$I$2,1,0)</f>
        <v/>
      </c>
      <c r="ES2" s="20">
        <f>IF(Simulation!ES2&lt;Obligors!$I$2,1,0)</f>
        <v/>
      </c>
      <c r="ET2" s="20">
        <f>IF(Simulation!ET2&lt;Obligors!$I$2,1,0)</f>
        <v/>
      </c>
      <c r="EU2" s="20">
        <f>IF(Simulation!EU2&lt;Obligors!$I$2,1,0)</f>
        <v/>
      </c>
      <c r="EV2" s="20">
        <f>IF(Simulation!EV2&lt;Obligors!$I$2,1,0)</f>
        <v/>
      </c>
      <c r="EW2" s="20">
        <f>IF(Simulation!EW2&lt;Obligors!$I$2,1,0)</f>
        <v/>
      </c>
      <c r="EX2" s="20">
        <f>IF(Simulation!EX2&lt;Obligors!$I$2,1,0)</f>
        <v/>
      </c>
      <c r="EY2" s="20">
        <f>IF(Simulation!EY2&lt;Obligors!$I$2,1,0)</f>
        <v/>
      </c>
      <c r="EZ2" s="20">
        <f>IF(Simulation!EZ2&lt;Obligors!$I$2,1,0)</f>
        <v/>
      </c>
      <c r="FA2" s="20">
        <f>IF(Simulation!FA2&lt;Obligors!$I$2,1,0)</f>
        <v/>
      </c>
      <c r="FB2" s="20">
        <f>IF(Simulation!FB2&lt;Obligors!$I$2,1,0)</f>
        <v/>
      </c>
      <c r="FC2" s="20">
        <f>IF(Simulation!FC2&lt;Obligors!$I$2,1,0)</f>
        <v/>
      </c>
      <c r="FD2" s="20">
        <f>IF(Simulation!FD2&lt;Obligors!$I$2,1,0)</f>
        <v/>
      </c>
      <c r="FE2" s="20">
        <f>IF(Simulation!FE2&lt;Obligors!$I$2,1,0)</f>
        <v/>
      </c>
      <c r="FF2" s="20">
        <f>IF(Simulation!FF2&lt;Obligors!$I$2,1,0)</f>
        <v/>
      </c>
      <c r="FG2" s="20">
        <f>IF(Simulation!FG2&lt;Obligors!$I$2,1,0)</f>
        <v/>
      </c>
      <c r="FH2" s="20">
        <f>IF(Simulation!FH2&lt;Obligors!$I$2,1,0)</f>
        <v/>
      </c>
      <c r="FI2" s="20">
        <f>IF(Simulation!FI2&lt;Obligors!$I$2,1,0)</f>
        <v/>
      </c>
      <c r="FJ2" s="20">
        <f>IF(Simulation!FJ2&lt;Obligors!$I$2,1,0)</f>
        <v/>
      </c>
      <c r="FK2" s="20">
        <f>IF(Simulation!FK2&lt;Obligors!$I$2,1,0)</f>
        <v/>
      </c>
      <c r="FL2" s="20">
        <f>IF(Simulation!FL2&lt;Obligors!$I$2,1,0)</f>
        <v/>
      </c>
      <c r="FM2" s="20">
        <f>IF(Simulation!FM2&lt;Obligors!$I$2,1,0)</f>
        <v/>
      </c>
      <c r="FN2" s="20">
        <f>IF(Simulation!FN2&lt;Obligors!$I$2,1,0)</f>
        <v/>
      </c>
      <c r="FO2" s="20">
        <f>IF(Simulation!FO2&lt;Obligors!$I$2,1,0)</f>
        <v/>
      </c>
      <c r="FP2" s="20">
        <f>IF(Simulation!FP2&lt;Obligors!$I$2,1,0)</f>
        <v/>
      </c>
      <c r="FQ2" s="20">
        <f>IF(Simulation!FQ2&lt;Obligors!$I$2,1,0)</f>
        <v/>
      </c>
      <c r="FR2" s="20">
        <f>IF(Simulation!FR2&lt;Obligors!$I$2,1,0)</f>
        <v/>
      </c>
      <c r="FS2" s="20">
        <f>IF(Simulation!FS2&lt;Obligors!$I$2,1,0)</f>
        <v/>
      </c>
      <c r="FT2" s="20">
        <f>IF(Simulation!FT2&lt;Obligors!$I$2,1,0)</f>
        <v/>
      </c>
      <c r="FU2" s="20">
        <f>IF(Simulation!FU2&lt;Obligors!$I$2,1,0)</f>
        <v/>
      </c>
      <c r="FV2" s="20">
        <f>IF(Simulation!FV2&lt;Obligors!$I$2,1,0)</f>
        <v/>
      </c>
      <c r="FW2" s="20">
        <f>IF(Simulation!FW2&lt;Obligors!$I$2,1,0)</f>
        <v/>
      </c>
      <c r="FX2" s="20">
        <f>IF(Simulation!FX2&lt;Obligors!$I$2,1,0)</f>
        <v/>
      </c>
      <c r="FY2" s="20">
        <f>IF(Simulation!FY2&lt;Obligors!$I$2,1,0)</f>
        <v/>
      </c>
      <c r="FZ2" s="20">
        <f>IF(Simulation!FZ2&lt;Obligors!$I$2,1,0)</f>
        <v/>
      </c>
      <c r="GA2" s="20">
        <f>IF(Simulation!GA2&lt;Obligors!$I$2,1,0)</f>
        <v/>
      </c>
      <c r="GB2" s="20">
        <f>IF(Simulation!GB2&lt;Obligors!$I$2,1,0)</f>
        <v/>
      </c>
      <c r="GC2" s="20">
        <f>IF(Simulation!GC2&lt;Obligors!$I$2,1,0)</f>
        <v/>
      </c>
      <c r="GD2" s="20">
        <f>IF(Simulation!GD2&lt;Obligors!$I$2,1,0)</f>
        <v/>
      </c>
      <c r="GE2" s="20">
        <f>IF(Simulation!GE2&lt;Obligors!$I$2,1,0)</f>
        <v/>
      </c>
      <c r="GF2" s="20">
        <f>IF(Simulation!GF2&lt;Obligors!$I$2,1,0)</f>
        <v/>
      </c>
      <c r="GG2" s="20">
        <f>IF(Simulation!GG2&lt;Obligors!$I$2,1,0)</f>
        <v/>
      </c>
      <c r="GH2" s="20">
        <f>IF(Simulation!GH2&lt;Obligors!$I$2,1,0)</f>
        <v/>
      </c>
      <c r="GI2" s="20">
        <f>IF(Simulation!GI2&lt;Obligors!$I$2,1,0)</f>
        <v/>
      </c>
      <c r="GJ2" s="20">
        <f>IF(Simulation!GJ2&lt;Obligors!$I$2,1,0)</f>
        <v/>
      </c>
      <c r="GK2" s="20">
        <f>IF(Simulation!GK2&lt;Obligors!$I$2,1,0)</f>
        <v/>
      </c>
      <c r="GL2" s="20">
        <f>IF(Simulation!GL2&lt;Obligors!$I$2,1,0)</f>
        <v/>
      </c>
      <c r="GM2" s="20">
        <f>IF(Simulation!GM2&lt;Obligors!$I$2,1,0)</f>
        <v/>
      </c>
      <c r="GN2" s="20">
        <f>IF(Simulation!GN2&lt;Obligors!$I$2,1,0)</f>
        <v/>
      </c>
      <c r="GO2" s="20">
        <f>IF(Simulation!GO2&lt;Obligors!$I$2,1,0)</f>
        <v/>
      </c>
      <c r="GP2" s="20">
        <f>IF(Simulation!GP2&lt;Obligors!$I$2,1,0)</f>
        <v/>
      </c>
      <c r="GQ2" s="20">
        <f>IF(Simulation!GQ2&lt;Obligors!$I$2,1,0)</f>
        <v/>
      </c>
      <c r="GR2" s="20">
        <f>IF(Simulation!GR2&lt;Obligors!$I$2,1,0)</f>
        <v/>
      </c>
      <c r="GS2" s="20">
        <f>IF(Simulation!GS2&lt;Obligors!$I$2,1,0)</f>
        <v/>
      </c>
      <c r="GT2" s="20">
        <f>IF(Simulation!GT2&lt;Obligors!$I$2,1,0)</f>
        <v/>
      </c>
      <c r="GU2" s="20">
        <f>IF(Simulation!GU2&lt;Obligors!$I$2,1,0)</f>
        <v/>
      </c>
      <c r="GV2" s="20">
        <f>IF(Simulation!GV2&lt;Obligors!$I$2,1,0)</f>
        <v/>
      </c>
      <c r="GW2" s="20">
        <f>IF(Simulation!GW2&lt;Obligors!$I$2,1,0)</f>
        <v/>
      </c>
      <c r="GX2" s="20">
        <f>IF(Simulation!GX2&lt;Obligors!$I$2,1,0)</f>
        <v/>
      </c>
      <c r="GY2" s="20">
        <f>IF(Simulation!GY2&lt;Obligors!$I$2,1,0)</f>
        <v/>
      </c>
      <c r="GZ2" s="20">
        <f>IF(Simulation!GZ2&lt;Obligors!$I$2,1,0)</f>
        <v/>
      </c>
      <c r="HA2" s="20">
        <f>IF(Simulation!HA2&lt;Obligors!$I$2,1,0)</f>
        <v/>
      </c>
      <c r="HB2" s="20">
        <f>IF(Simulation!HB2&lt;Obligors!$I$2,1,0)</f>
        <v/>
      </c>
      <c r="HC2" s="20">
        <f>IF(Simulation!HC2&lt;Obligors!$I$2,1,0)</f>
        <v/>
      </c>
      <c r="HD2" s="20">
        <f>IF(Simulation!HD2&lt;Obligors!$I$2,1,0)</f>
        <v/>
      </c>
      <c r="HE2" s="20">
        <f>IF(Simulation!HE2&lt;Obligors!$I$2,1,0)</f>
        <v/>
      </c>
      <c r="HF2" s="20">
        <f>IF(Simulation!HF2&lt;Obligors!$I$2,1,0)</f>
        <v/>
      </c>
      <c r="HG2" s="20">
        <f>IF(Simulation!HG2&lt;Obligors!$I$2,1,0)</f>
        <v/>
      </c>
      <c r="HH2" s="20">
        <f>IF(Simulation!HH2&lt;Obligors!$I$2,1,0)</f>
        <v/>
      </c>
      <c r="HI2" s="20">
        <f>IF(Simulation!HI2&lt;Obligors!$I$2,1,0)</f>
        <v/>
      </c>
      <c r="HJ2" s="20">
        <f>IF(Simulation!HJ2&lt;Obligors!$I$2,1,0)</f>
        <v/>
      </c>
      <c r="HK2" s="20">
        <f>IF(Simulation!HK2&lt;Obligors!$I$2,1,0)</f>
        <v/>
      </c>
      <c r="HL2" s="20">
        <f>IF(Simulation!HL2&lt;Obligors!$I$2,1,0)</f>
        <v/>
      </c>
      <c r="HM2" s="20">
        <f>IF(Simulation!HM2&lt;Obligors!$I$2,1,0)</f>
        <v/>
      </c>
      <c r="HN2" s="20">
        <f>IF(Simulation!HN2&lt;Obligors!$I$2,1,0)</f>
        <v/>
      </c>
      <c r="HO2" s="20">
        <f>IF(Simulation!HO2&lt;Obligors!$I$2,1,0)</f>
        <v/>
      </c>
      <c r="HP2" s="20">
        <f>IF(Simulation!HP2&lt;Obligors!$I$2,1,0)</f>
        <v/>
      </c>
      <c r="HQ2" s="20">
        <f>IF(Simulation!HQ2&lt;Obligors!$I$2,1,0)</f>
        <v/>
      </c>
      <c r="HR2" s="20">
        <f>IF(Simulation!HR2&lt;Obligors!$I$2,1,0)</f>
        <v/>
      </c>
      <c r="HS2" s="20">
        <f>IF(Simulation!HS2&lt;Obligors!$I$2,1,0)</f>
        <v/>
      </c>
      <c r="HT2" s="20">
        <f>IF(Simulation!HT2&lt;Obligors!$I$2,1,0)</f>
        <v/>
      </c>
      <c r="HU2" s="20">
        <f>IF(Simulation!HU2&lt;Obligors!$I$2,1,0)</f>
        <v/>
      </c>
      <c r="HV2" s="20">
        <f>IF(Simulation!HV2&lt;Obligors!$I$2,1,0)</f>
        <v/>
      </c>
      <c r="HW2" s="20">
        <f>IF(Simulation!HW2&lt;Obligors!$I$2,1,0)</f>
        <v/>
      </c>
      <c r="HX2" s="20">
        <f>IF(Simulation!HX2&lt;Obligors!$I$2,1,0)</f>
        <v/>
      </c>
      <c r="HY2" s="20">
        <f>IF(Simulation!HY2&lt;Obligors!$I$2,1,0)</f>
        <v/>
      </c>
      <c r="HZ2" s="20">
        <f>IF(Simulation!HZ2&lt;Obligors!$I$2,1,0)</f>
        <v/>
      </c>
      <c r="IA2" s="20">
        <f>IF(Simulation!IA2&lt;Obligors!$I$2,1,0)</f>
        <v/>
      </c>
      <c r="IB2" s="20">
        <f>IF(Simulation!IB2&lt;Obligors!$I$2,1,0)</f>
        <v/>
      </c>
      <c r="IC2" s="20">
        <f>IF(Simulation!IC2&lt;Obligors!$I$2,1,0)</f>
        <v/>
      </c>
      <c r="ID2" s="20">
        <f>IF(Simulation!ID2&lt;Obligors!$I$2,1,0)</f>
        <v/>
      </c>
      <c r="IE2" s="20">
        <f>IF(Simulation!IE2&lt;Obligors!$I$2,1,0)</f>
        <v/>
      </c>
      <c r="IF2" s="20">
        <f>IF(Simulation!IF2&lt;Obligors!$I$2,1,0)</f>
        <v/>
      </c>
      <c r="IG2" s="20">
        <f>IF(Simulation!IG2&lt;Obligors!$I$2,1,0)</f>
        <v/>
      </c>
      <c r="IH2" s="20">
        <f>IF(Simulation!IH2&lt;Obligors!$I$2,1,0)</f>
        <v/>
      </c>
      <c r="II2" s="20">
        <f>IF(Simulation!II2&lt;Obligors!$I$2,1,0)</f>
        <v/>
      </c>
      <c r="IJ2" s="20">
        <f>IF(Simulation!IJ2&lt;Obligors!$I$2,1,0)</f>
        <v/>
      </c>
      <c r="IK2" s="20">
        <f>IF(Simulation!IK2&lt;Obligors!$I$2,1,0)</f>
        <v/>
      </c>
      <c r="IL2" s="20">
        <f>IF(Simulation!IL2&lt;Obligors!$I$2,1,0)</f>
        <v/>
      </c>
      <c r="IM2" s="20">
        <f>IF(Simulation!IM2&lt;Obligors!$I$2,1,0)</f>
        <v/>
      </c>
      <c r="IN2" s="20">
        <f>IF(Simulation!IN2&lt;Obligors!$I$2,1,0)</f>
        <v/>
      </c>
      <c r="IO2" s="20">
        <f>IF(Simulation!IO2&lt;Obligors!$I$2,1,0)</f>
        <v/>
      </c>
      <c r="IP2" s="20">
        <f>IF(Simulation!IP2&lt;Obligors!$I$2,1,0)</f>
        <v/>
      </c>
      <c r="IQ2" s="20">
        <f>IF(Simulation!IQ2&lt;Obligors!$I$2,1,0)</f>
        <v/>
      </c>
      <c r="IR2" s="20">
        <f>IF(Simulation!IR2&lt;Obligors!$I$2,1,0)</f>
        <v/>
      </c>
      <c r="IS2" s="20">
        <f>IF(Simulation!IS2&lt;Obligors!$I$2,1,0)</f>
        <v/>
      </c>
      <c r="IT2" s="20">
        <f>IF(Simulation!IT2&lt;Obligors!$I$2,1,0)</f>
        <v/>
      </c>
      <c r="IU2" s="20">
        <f>IF(Simulation!IU2&lt;Obligors!$I$2,1,0)</f>
        <v/>
      </c>
      <c r="IV2" s="20">
        <f>IF(Simulation!IV2&lt;Obligors!$I$2,1,0)</f>
        <v/>
      </c>
      <c r="IW2" s="20">
        <f>IF(Simulation!IW2&lt;Obligors!$I$2,1,0)</f>
        <v/>
      </c>
      <c r="IX2" s="20">
        <f>IF(Simulation!IX2&lt;Obligors!$I$2,1,0)</f>
        <v/>
      </c>
      <c r="IY2" s="20">
        <f>IF(Simulation!IY2&lt;Obligors!$I$2,1,0)</f>
        <v/>
      </c>
      <c r="IZ2" s="20">
        <f>IF(Simulation!IZ2&lt;Obligors!$I$2,1,0)</f>
        <v/>
      </c>
      <c r="JA2" s="20">
        <f>IF(Simulation!JA2&lt;Obligors!$I$2,1,0)</f>
        <v/>
      </c>
      <c r="JB2" s="20">
        <f>IF(Simulation!JB2&lt;Obligors!$I$2,1,0)</f>
        <v/>
      </c>
      <c r="JC2" s="20">
        <f>IF(Simulation!JC2&lt;Obligors!$I$2,1,0)</f>
        <v/>
      </c>
      <c r="JD2" s="20">
        <f>IF(Simulation!JD2&lt;Obligors!$I$2,1,0)</f>
        <v/>
      </c>
      <c r="JE2" s="20">
        <f>IF(Simulation!JE2&lt;Obligors!$I$2,1,0)</f>
        <v/>
      </c>
      <c r="JF2" s="20">
        <f>IF(Simulation!JF2&lt;Obligors!$I$2,1,0)</f>
        <v/>
      </c>
      <c r="JG2" s="20">
        <f>IF(Simulation!JG2&lt;Obligors!$I$2,1,0)</f>
        <v/>
      </c>
      <c r="JH2" s="20">
        <f>IF(Simulation!JH2&lt;Obligors!$I$2,1,0)</f>
        <v/>
      </c>
      <c r="JI2" s="20">
        <f>IF(Simulation!JI2&lt;Obligors!$I$2,1,0)</f>
        <v/>
      </c>
      <c r="JJ2" s="20">
        <f>IF(Simulation!JJ2&lt;Obligors!$I$2,1,0)</f>
        <v/>
      </c>
      <c r="JK2" s="20">
        <f>IF(Simulation!JK2&lt;Obligors!$I$2,1,0)</f>
        <v/>
      </c>
      <c r="JL2" s="20">
        <f>IF(Simulation!JL2&lt;Obligors!$I$2,1,0)</f>
        <v/>
      </c>
      <c r="JM2" s="20">
        <f>IF(Simulation!JM2&lt;Obligors!$I$2,1,0)</f>
        <v/>
      </c>
      <c r="JN2" s="20">
        <f>IF(Simulation!JN2&lt;Obligors!$I$2,1,0)</f>
        <v/>
      </c>
      <c r="JO2" s="20">
        <f>IF(Simulation!JO2&lt;Obligors!$I$2,1,0)</f>
        <v/>
      </c>
      <c r="JP2" s="20">
        <f>IF(Simulation!JP2&lt;Obligors!$I$2,1,0)</f>
        <v/>
      </c>
      <c r="JQ2" s="20">
        <f>IF(Simulation!JQ2&lt;Obligors!$I$2,1,0)</f>
        <v/>
      </c>
      <c r="JR2" s="20">
        <f>IF(Simulation!JR2&lt;Obligors!$I$2,1,0)</f>
        <v/>
      </c>
      <c r="JS2" s="20">
        <f>IF(Simulation!JS2&lt;Obligors!$I$2,1,0)</f>
        <v/>
      </c>
      <c r="JT2" s="20">
        <f>IF(Simulation!JT2&lt;Obligors!$I$2,1,0)</f>
        <v/>
      </c>
      <c r="JU2" s="20">
        <f>IF(Simulation!JU2&lt;Obligors!$I$2,1,0)</f>
        <v/>
      </c>
      <c r="JV2" s="20">
        <f>IF(Simulation!JV2&lt;Obligors!$I$2,1,0)</f>
        <v/>
      </c>
      <c r="JW2" s="20">
        <f>IF(Simulation!JW2&lt;Obligors!$I$2,1,0)</f>
        <v/>
      </c>
      <c r="JX2" s="20">
        <f>IF(Simulation!JX2&lt;Obligors!$I$2,1,0)</f>
        <v/>
      </c>
      <c r="JY2" s="20">
        <f>IF(Simulation!JY2&lt;Obligors!$I$2,1,0)</f>
        <v/>
      </c>
      <c r="JZ2" s="20">
        <f>IF(Simulation!JZ2&lt;Obligors!$I$2,1,0)</f>
        <v/>
      </c>
      <c r="KA2" s="20">
        <f>IF(Simulation!KA2&lt;Obligors!$I$2,1,0)</f>
        <v/>
      </c>
      <c r="KB2" s="20">
        <f>IF(Simulation!KB2&lt;Obligors!$I$2,1,0)</f>
        <v/>
      </c>
      <c r="KC2" s="20">
        <f>IF(Simulation!KC2&lt;Obligors!$I$2,1,0)</f>
        <v/>
      </c>
      <c r="KD2" s="20">
        <f>IF(Simulation!KD2&lt;Obligors!$I$2,1,0)</f>
        <v/>
      </c>
      <c r="KE2" s="20">
        <f>IF(Simulation!KE2&lt;Obligors!$I$2,1,0)</f>
        <v/>
      </c>
      <c r="KF2" s="20">
        <f>IF(Simulation!KF2&lt;Obligors!$I$2,1,0)</f>
        <v/>
      </c>
      <c r="KG2" s="20">
        <f>IF(Simulation!KG2&lt;Obligors!$I$2,1,0)</f>
        <v/>
      </c>
      <c r="KH2" s="20">
        <f>IF(Simulation!KH2&lt;Obligors!$I$2,1,0)</f>
        <v/>
      </c>
      <c r="KI2" s="20">
        <f>IF(Simulation!KI2&lt;Obligors!$I$2,1,0)</f>
        <v/>
      </c>
      <c r="KJ2" s="20">
        <f>IF(Simulation!KJ2&lt;Obligors!$I$2,1,0)</f>
        <v/>
      </c>
      <c r="KK2" s="20">
        <f>IF(Simulation!KK2&lt;Obligors!$I$2,1,0)</f>
        <v/>
      </c>
      <c r="KL2" s="20">
        <f>IF(Simulation!KL2&lt;Obligors!$I$2,1,0)</f>
        <v/>
      </c>
      <c r="KM2" s="20">
        <f>IF(Simulation!KM2&lt;Obligors!$I$2,1,0)</f>
        <v/>
      </c>
      <c r="KN2" s="20">
        <f>IF(Simulation!KN2&lt;Obligors!$I$2,1,0)</f>
        <v/>
      </c>
      <c r="KO2" s="20">
        <f>IF(Simulation!KO2&lt;Obligors!$I$2,1,0)</f>
        <v/>
      </c>
      <c r="KP2" s="20">
        <f>IF(Simulation!KP2&lt;Obligors!$I$2,1,0)</f>
        <v/>
      </c>
      <c r="KQ2" s="20">
        <f>IF(Simulation!KQ2&lt;Obligors!$I$2,1,0)</f>
        <v/>
      </c>
      <c r="KR2" s="20">
        <f>IF(Simulation!KR2&lt;Obligors!$I$2,1,0)</f>
        <v/>
      </c>
      <c r="KS2" s="20">
        <f>IF(Simulation!KS2&lt;Obligors!$I$2,1,0)</f>
        <v/>
      </c>
      <c r="KT2" s="20">
        <f>IF(Simulation!KT2&lt;Obligors!$I$2,1,0)</f>
        <v/>
      </c>
      <c r="KU2" s="20">
        <f>IF(Simulation!KU2&lt;Obligors!$I$2,1,0)</f>
        <v/>
      </c>
      <c r="KV2" s="20">
        <f>IF(Simulation!KV2&lt;Obligors!$I$2,1,0)</f>
        <v/>
      </c>
      <c r="KW2" s="20">
        <f>IF(Simulation!KW2&lt;Obligors!$I$2,1,0)</f>
        <v/>
      </c>
      <c r="KX2" s="20">
        <f>IF(Simulation!KX2&lt;Obligors!$I$2,1,0)</f>
        <v/>
      </c>
      <c r="KY2" s="20">
        <f>IF(Simulation!KY2&lt;Obligors!$I$2,1,0)</f>
        <v/>
      </c>
      <c r="KZ2" s="20">
        <f>IF(Simulation!KZ2&lt;Obligors!$I$2,1,0)</f>
        <v/>
      </c>
      <c r="LA2" s="20">
        <f>IF(Simulation!LA2&lt;Obligors!$I$2,1,0)</f>
        <v/>
      </c>
      <c r="LB2" s="20">
        <f>IF(Simulation!LB2&lt;Obligors!$I$2,1,0)</f>
        <v/>
      </c>
      <c r="LC2" s="20">
        <f>IF(Simulation!LC2&lt;Obligors!$I$2,1,0)</f>
        <v/>
      </c>
      <c r="LD2" s="20">
        <f>IF(Simulation!LD2&lt;Obligors!$I$2,1,0)</f>
        <v/>
      </c>
      <c r="LE2" s="20">
        <f>IF(Simulation!LE2&lt;Obligors!$I$2,1,0)</f>
        <v/>
      </c>
      <c r="LF2" s="20">
        <f>IF(Simulation!LF2&lt;Obligors!$I$2,1,0)</f>
        <v/>
      </c>
      <c r="LG2" s="20">
        <f>IF(Simulation!LG2&lt;Obligors!$I$2,1,0)</f>
        <v/>
      </c>
      <c r="LH2" s="20">
        <f>IF(Simulation!LH2&lt;Obligors!$I$2,1,0)</f>
        <v/>
      </c>
      <c r="LI2" s="20">
        <f>IF(Simulation!LI2&lt;Obligors!$I$2,1,0)</f>
        <v/>
      </c>
      <c r="LJ2" s="20">
        <f>IF(Simulation!LJ2&lt;Obligors!$I$2,1,0)</f>
        <v/>
      </c>
      <c r="LK2" s="20">
        <f>IF(Simulation!LK2&lt;Obligors!$I$2,1,0)</f>
        <v/>
      </c>
      <c r="LL2" s="20">
        <f>IF(Simulation!LL2&lt;Obligors!$I$2,1,0)</f>
        <v/>
      </c>
      <c r="LM2" s="20">
        <f>IF(Simulation!LM2&lt;Obligors!$I$2,1,0)</f>
        <v/>
      </c>
      <c r="LN2" s="20">
        <f>IF(Simulation!LN2&lt;Obligors!$I$2,1,0)</f>
        <v/>
      </c>
      <c r="LO2" s="20">
        <f>IF(Simulation!LO2&lt;Obligors!$I$2,1,0)</f>
        <v/>
      </c>
      <c r="LP2" s="20">
        <f>IF(Simulation!LP2&lt;Obligors!$I$2,1,0)</f>
        <v/>
      </c>
      <c r="LQ2" s="20">
        <f>IF(Simulation!LQ2&lt;Obligors!$I$2,1,0)</f>
        <v/>
      </c>
      <c r="LR2" s="20">
        <f>IF(Simulation!LR2&lt;Obligors!$I$2,1,0)</f>
        <v/>
      </c>
      <c r="LS2" s="20">
        <f>IF(Simulation!LS2&lt;Obligors!$I$2,1,0)</f>
        <v/>
      </c>
      <c r="LT2" s="20">
        <f>IF(Simulation!LT2&lt;Obligors!$I$2,1,0)</f>
        <v/>
      </c>
      <c r="LU2" s="20">
        <f>IF(Simulation!LU2&lt;Obligors!$I$2,1,0)</f>
        <v/>
      </c>
      <c r="LV2" s="20">
        <f>IF(Simulation!LV2&lt;Obligors!$I$2,1,0)</f>
        <v/>
      </c>
      <c r="LW2" s="20">
        <f>IF(Simulation!LW2&lt;Obligors!$I$2,1,0)</f>
        <v/>
      </c>
      <c r="LX2" s="20">
        <f>IF(Simulation!LX2&lt;Obligors!$I$2,1,0)</f>
        <v/>
      </c>
      <c r="LY2" s="20">
        <f>IF(Simulation!LY2&lt;Obligors!$I$2,1,0)</f>
        <v/>
      </c>
      <c r="LZ2" s="20">
        <f>IF(Simulation!LZ2&lt;Obligors!$I$2,1,0)</f>
        <v/>
      </c>
      <c r="MA2" s="20">
        <f>IF(Simulation!MA2&lt;Obligors!$I$2,1,0)</f>
        <v/>
      </c>
      <c r="MB2" s="20">
        <f>IF(Simulation!MB2&lt;Obligors!$I$2,1,0)</f>
        <v/>
      </c>
      <c r="MC2" s="20">
        <f>IF(Simulation!MC2&lt;Obligors!$I$2,1,0)</f>
        <v/>
      </c>
      <c r="MD2" s="20">
        <f>IF(Simulation!MD2&lt;Obligors!$I$2,1,0)</f>
        <v/>
      </c>
      <c r="ME2" s="20">
        <f>IF(Simulation!ME2&lt;Obligors!$I$2,1,0)</f>
        <v/>
      </c>
      <c r="MF2" s="20">
        <f>IF(Simulation!MF2&lt;Obligors!$I$2,1,0)</f>
        <v/>
      </c>
      <c r="MG2" s="20">
        <f>IF(Simulation!MG2&lt;Obligors!$I$2,1,0)</f>
        <v/>
      </c>
      <c r="MH2" s="20">
        <f>IF(Simulation!MH2&lt;Obligors!$I$2,1,0)</f>
        <v/>
      </c>
      <c r="MI2" s="20">
        <f>IF(Simulation!MI2&lt;Obligors!$I$2,1,0)</f>
        <v/>
      </c>
      <c r="MJ2" s="20">
        <f>IF(Simulation!MJ2&lt;Obligors!$I$2,1,0)</f>
        <v/>
      </c>
      <c r="MK2" s="20">
        <f>IF(Simulation!MK2&lt;Obligors!$I$2,1,0)</f>
        <v/>
      </c>
      <c r="ML2" s="20">
        <f>IF(Simulation!ML2&lt;Obligors!$I$2,1,0)</f>
        <v/>
      </c>
      <c r="MM2" s="20">
        <f>IF(Simulation!MM2&lt;Obligors!$I$2,1,0)</f>
        <v/>
      </c>
      <c r="MN2" s="20">
        <f>IF(Simulation!MN2&lt;Obligors!$I$2,1,0)</f>
        <v/>
      </c>
      <c r="MO2" s="20">
        <f>IF(Simulation!MO2&lt;Obligors!$I$2,1,0)</f>
        <v/>
      </c>
      <c r="MP2" s="20">
        <f>IF(Simulation!MP2&lt;Obligors!$I$2,1,0)</f>
        <v/>
      </c>
      <c r="MQ2" s="20">
        <f>IF(Simulation!MQ2&lt;Obligors!$I$2,1,0)</f>
        <v/>
      </c>
      <c r="MR2" s="20">
        <f>IF(Simulation!MR2&lt;Obligors!$I$2,1,0)</f>
        <v/>
      </c>
      <c r="MS2" s="20">
        <f>IF(Simulation!MS2&lt;Obligors!$I$2,1,0)</f>
        <v/>
      </c>
      <c r="MT2" s="20">
        <f>IF(Simulation!MT2&lt;Obligors!$I$2,1,0)</f>
        <v/>
      </c>
      <c r="MU2" s="20">
        <f>IF(Simulation!MU2&lt;Obligors!$I$2,1,0)</f>
        <v/>
      </c>
      <c r="MV2" s="20">
        <f>IF(Simulation!MV2&lt;Obligors!$I$2,1,0)</f>
        <v/>
      </c>
      <c r="MW2" s="20">
        <f>IF(Simulation!MW2&lt;Obligors!$I$2,1,0)</f>
        <v/>
      </c>
      <c r="MX2" s="20">
        <f>IF(Simulation!MX2&lt;Obligors!$I$2,1,0)</f>
        <v/>
      </c>
      <c r="MY2" s="20">
        <f>IF(Simulation!MY2&lt;Obligors!$I$2,1,0)</f>
        <v/>
      </c>
      <c r="MZ2" s="20">
        <f>IF(Simulation!MZ2&lt;Obligors!$I$2,1,0)</f>
        <v/>
      </c>
      <c r="NA2" s="20">
        <f>IF(Simulation!NA2&lt;Obligors!$I$2,1,0)</f>
        <v/>
      </c>
      <c r="NB2" s="20">
        <f>IF(Simulation!NB2&lt;Obligors!$I$2,1,0)</f>
        <v/>
      </c>
      <c r="NC2" s="20">
        <f>IF(Simulation!NC2&lt;Obligors!$I$2,1,0)</f>
        <v/>
      </c>
      <c r="ND2" s="20">
        <f>IF(Simulation!ND2&lt;Obligors!$I$2,1,0)</f>
        <v/>
      </c>
      <c r="NE2" s="20">
        <f>IF(Simulation!NE2&lt;Obligors!$I$2,1,0)</f>
        <v/>
      </c>
      <c r="NF2" s="20">
        <f>IF(Simulation!NF2&lt;Obligors!$I$2,1,0)</f>
        <v/>
      </c>
      <c r="NG2" s="20">
        <f>IF(Simulation!NG2&lt;Obligors!$I$2,1,0)</f>
        <v/>
      </c>
      <c r="NH2" s="20">
        <f>IF(Simulation!NH2&lt;Obligors!$I$2,1,0)</f>
        <v/>
      </c>
      <c r="NI2" s="20">
        <f>IF(Simulation!NI2&lt;Obligors!$I$2,1,0)</f>
        <v/>
      </c>
      <c r="NJ2" s="20">
        <f>IF(Simulation!NJ2&lt;Obligors!$I$2,1,0)</f>
        <v/>
      </c>
      <c r="NK2" s="20">
        <f>IF(Simulation!NK2&lt;Obligors!$I$2,1,0)</f>
        <v/>
      </c>
      <c r="NL2" s="20">
        <f>IF(Simulation!NL2&lt;Obligors!$I$2,1,0)</f>
        <v/>
      </c>
      <c r="NM2" s="20">
        <f>IF(Simulation!NM2&lt;Obligors!$I$2,1,0)</f>
        <v/>
      </c>
      <c r="NN2" s="20">
        <f>IF(Simulation!NN2&lt;Obligors!$I$2,1,0)</f>
        <v/>
      </c>
      <c r="NO2" s="20">
        <f>IF(Simulation!NO2&lt;Obligors!$I$2,1,0)</f>
        <v/>
      </c>
      <c r="NP2" s="20">
        <f>IF(Simulation!NP2&lt;Obligors!$I$2,1,0)</f>
        <v/>
      </c>
      <c r="NQ2" s="20">
        <f>IF(Simulation!NQ2&lt;Obligors!$I$2,1,0)</f>
        <v/>
      </c>
      <c r="NR2" s="20">
        <f>IF(Simulation!NR2&lt;Obligors!$I$2,1,0)</f>
        <v/>
      </c>
      <c r="NS2" s="20">
        <f>IF(Simulation!NS2&lt;Obligors!$I$2,1,0)</f>
        <v/>
      </c>
      <c r="NT2" s="20">
        <f>IF(Simulation!NT2&lt;Obligors!$I$2,1,0)</f>
        <v/>
      </c>
      <c r="NU2" s="20">
        <f>IF(Simulation!NU2&lt;Obligors!$I$2,1,0)</f>
        <v/>
      </c>
      <c r="NV2" s="20">
        <f>IF(Simulation!NV2&lt;Obligors!$I$2,1,0)</f>
        <v/>
      </c>
      <c r="NW2" s="20">
        <f>IF(Simulation!NW2&lt;Obligors!$I$2,1,0)</f>
        <v/>
      </c>
      <c r="NX2" s="20">
        <f>IF(Simulation!NX2&lt;Obligors!$I$2,1,0)</f>
        <v/>
      </c>
      <c r="NY2" s="20">
        <f>IF(Simulation!NY2&lt;Obligors!$I$2,1,0)</f>
        <v/>
      </c>
      <c r="NZ2" s="20">
        <f>IF(Simulation!NZ2&lt;Obligors!$I$2,1,0)</f>
        <v/>
      </c>
      <c r="OA2" s="20">
        <f>IF(Simulation!OA2&lt;Obligors!$I$2,1,0)</f>
        <v/>
      </c>
      <c r="OB2" s="20">
        <f>IF(Simulation!OB2&lt;Obligors!$I$2,1,0)</f>
        <v/>
      </c>
      <c r="OC2" s="20">
        <f>IF(Simulation!OC2&lt;Obligors!$I$2,1,0)</f>
        <v/>
      </c>
      <c r="OD2" s="20">
        <f>IF(Simulation!OD2&lt;Obligors!$I$2,1,0)</f>
        <v/>
      </c>
      <c r="OE2" s="20">
        <f>IF(Simulation!OE2&lt;Obligors!$I$2,1,0)</f>
        <v/>
      </c>
      <c r="OF2" s="20">
        <f>IF(Simulation!OF2&lt;Obligors!$I$2,1,0)</f>
        <v/>
      </c>
      <c r="OG2" s="20">
        <f>IF(Simulation!OG2&lt;Obligors!$I$2,1,0)</f>
        <v/>
      </c>
      <c r="OH2" s="20">
        <f>IF(Simulation!OH2&lt;Obligors!$I$2,1,0)</f>
        <v/>
      </c>
      <c r="OI2" s="20">
        <f>IF(Simulation!OI2&lt;Obligors!$I$2,1,0)</f>
        <v/>
      </c>
      <c r="OJ2" s="20">
        <f>IF(Simulation!OJ2&lt;Obligors!$I$2,1,0)</f>
        <v/>
      </c>
      <c r="OK2" s="20">
        <f>IF(Simulation!OK2&lt;Obligors!$I$2,1,0)</f>
        <v/>
      </c>
      <c r="OL2" s="20">
        <f>IF(Simulation!OL2&lt;Obligors!$I$2,1,0)</f>
        <v/>
      </c>
      <c r="OM2" s="20">
        <f>IF(Simulation!OM2&lt;Obligors!$I$2,1,0)</f>
        <v/>
      </c>
      <c r="ON2" s="20">
        <f>IF(Simulation!ON2&lt;Obligors!$I$2,1,0)</f>
        <v/>
      </c>
      <c r="OO2" s="20">
        <f>IF(Simulation!OO2&lt;Obligors!$I$2,1,0)</f>
        <v/>
      </c>
      <c r="OP2" s="20">
        <f>IF(Simulation!OP2&lt;Obligors!$I$2,1,0)</f>
        <v/>
      </c>
      <c r="OQ2" s="20">
        <f>IF(Simulation!OQ2&lt;Obligors!$I$2,1,0)</f>
        <v/>
      </c>
      <c r="OR2" s="20">
        <f>IF(Simulation!OR2&lt;Obligors!$I$2,1,0)</f>
        <v/>
      </c>
      <c r="OS2" s="20">
        <f>IF(Simulation!OS2&lt;Obligors!$I$2,1,0)</f>
        <v/>
      </c>
      <c r="OT2" s="20">
        <f>IF(Simulation!OT2&lt;Obligors!$I$2,1,0)</f>
        <v/>
      </c>
      <c r="OU2" s="20">
        <f>IF(Simulation!OU2&lt;Obligors!$I$2,1,0)</f>
        <v/>
      </c>
      <c r="OV2" s="20">
        <f>IF(Simulation!OV2&lt;Obligors!$I$2,1,0)</f>
        <v/>
      </c>
      <c r="OW2" s="20">
        <f>IF(Simulation!OW2&lt;Obligors!$I$2,1,0)</f>
        <v/>
      </c>
      <c r="OX2" s="20">
        <f>IF(Simulation!OX2&lt;Obligors!$I$2,1,0)</f>
        <v/>
      </c>
      <c r="OY2" s="20">
        <f>IF(Simulation!OY2&lt;Obligors!$I$2,1,0)</f>
        <v/>
      </c>
      <c r="OZ2" s="20">
        <f>IF(Simulation!OZ2&lt;Obligors!$I$2,1,0)</f>
        <v/>
      </c>
      <c r="PA2" s="20">
        <f>IF(Simulation!PA2&lt;Obligors!$I$2,1,0)</f>
        <v/>
      </c>
      <c r="PB2" s="20">
        <f>IF(Simulation!PB2&lt;Obligors!$I$2,1,0)</f>
        <v/>
      </c>
      <c r="PC2" s="20">
        <f>IF(Simulation!PC2&lt;Obligors!$I$2,1,0)</f>
        <v/>
      </c>
      <c r="PD2" s="20">
        <f>IF(Simulation!PD2&lt;Obligors!$I$2,1,0)</f>
        <v/>
      </c>
      <c r="PE2" s="20">
        <f>IF(Simulation!PE2&lt;Obligors!$I$2,1,0)</f>
        <v/>
      </c>
      <c r="PF2" s="20">
        <f>IF(Simulation!PF2&lt;Obligors!$I$2,1,0)</f>
        <v/>
      </c>
      <c r="PG2" s="20">
        <f>IF(Simulation!PG2&lt;Obligors!$I$2,1,0)</f>
        <v/>
      </c>
      <c r="PH2" s="20">
        <f>IF(Simulation!PH2&lt;Obligors!$I$2,1,0)</f>
        <v/>
      </c>
      <c r="PI2" s="20">
        <f>IF(Simulation!PI2&lt;Obligors!$I$2,1,0)</f>
        <v/>
      </c>
      <c r="PJ2" s="20">
        <f>IF(Simulation!PJ2&lt;Obligors!$I$2,1,0)</f>
        <v/>
      </c>
      <c r="PK2" s="20">
        <f>IF(Simulation!PK2&lt;Obligors!$I$2,1,0)</f>
        <v/>
      </c>
      <c r="PL2" s="20">
        <f>IF(Simulation!PL2&lt;Obligors!$I$2,1,0)</f>
        <v/>
      </c>
      <c r="PM2" s="20">
        <f>IF(Simulation!PM2&lt;Obligors!$I$2,1,0)</f>
        <v/>
      </c>
      <c r="PN2" s="20">
        <f>IF(Simulation!PN2&lt;Obligors!$I$2,1,0)</f>
        <v/>
      </c>
      <c r="PO2" s="20">
        <f>IF(Simulation!PO2&lt;Obligors!$I$2,1,0)</f>
        <v/>
      </c>
      <c r="PP2" s="20">
        <f>IF(Simulation!PP2&lt;Obligors!$I$2,1,0)</f>
        <v/>
      </c>
      <c r="PQ2" s="20">
        <f>IF(Simulation!PQ2&lt;Obligors!$I$2,1,0)</f>
        <v/>
      </c>
      <c r="PR2" s="20">
        <f>IF(Simulation!PR2&lt;Obligors!$I$2,1,0)</f>
        <v/>
      </c>
      <c r="PS2" s="20">
        <f>IF(Simulation!PS2&lt;Obligors!$I$2,1,0)</f>
        <v/>
      </c>
      <c r="PT2" s="20">
        <f>IF(Simulation!PT2&lt;Obligors!$I$2,1,0)</f>
        <v/>
      </c>
      <c r="PU2" s="20">
        <f>IF(Simulation!PU2&lt;Obligors!$I$2,1,0)</f>
        <v/>
      </c>
      <c r="PV2" s="20">
        <f>IF(Simulation!PV2&lt;Obligors!$I$2,1,0)</f>
        <v/>
      </c>
      <c r="PW2" s="20">
        <f>IF(Simulation!PW2&lt;Obligors!$I$2,1,0)</f>
        <v/>
      </c>
      <c r="PX2" s="20">
        <f>IF(Simulation!PX2&lt;Obligors!$I$2,1,0)</f>
        <v/>
      </c>
      <c r="PY2" s="20">
        <f>IF(Simulation!PY2&lt;Obligors!$I$2,1,0)</f>
        <v/>
      </c>
      <c r="PZ2" s="20">
        <f>IF(Simulation!PZ2&lt;Obligors!$I$2,1,0)</f>
        <v/>
      </c>
      <c r="QA2" s="20">
        <f>IF(Simulation!QA2&lt;Obligors!$I$2,1,0)</f>
        <v/>
      </c>
      <c r="QB2" s="20">
        <f>IF(Simulation!QB2&lt;Obligors!$I$2,1,0)</f>
        <v/>
      </c>
      <c r="QC2" s="20">
        <f>IF(Simulation!QC2&lt;Obligors!$I$2,1,0)</f>
        <v/>
      </c>
      <c r="QD2" s="20">
        <f>IF(Simulation!QD2&lt;Obligors!$I$2,1,0)</f>
        <v/>
      </c>
      <c r="QE2" s="20">
        <f>IF(Simulation!QE2&lt;Obligors!$I$2,1,0)</f>
        <v/>
      </c>
      <c r="QF2" s="20">
        <f>IF(Simulation!QF2&lt;Obligors!$I$2,1,0)</f>
        <v/>
      </c>
      <c r="QG2" s="20">
        <f>IF(Simulation!QG2&lt;Obligors!$I$2,1,0)</f>
        <v/>
      </c>
      <c r="QH2" s="20">
        <f>IF(Simulation!QH2&lt;Obligors!$I$2,1,0)</f>
        <v/>
      </c>
      <c r="QI2" s="20">
        <f>IF(Simulation!QI2&lt;Obligors!$I$2,1,0)</f>
        <v/>
      </c>
      <c r="QJ2" s="20">
        <f>IF(Simulation!QJ2&lt;Obligors!$I$2,1,0)</f>
        <v/>
      </c>
      <c r="QK2" s="20">
        <f>IF(Simulation!QK2&lt;Obligors!$I$2,1,0)</f>
        <v/>
      </c>
      <c r="QL2" s="20">
        <f>IF(Simulation!QL2&lt;Obligors!$I$2,1,0)</f>
        <v/>
      </c>
      <c r="QM2" s="20">
        <f>IF(Simulation!QM2&lt;Obligors!$I$2,1,0)</f>
        <v/>
      </c>
      <c r="QN2" s="20">
        <f>IF(Simulation!QN2&lt;Obligors!$I$2,1,0)</f>
        <v/>
      </c>
      <c r="QO2" s="20">
        <f>IF(Simulation!QO2&lt;Obligors!$I$2,1,0)</f>
        <v/>
      </c>
      <c r="QP2" s="20">
        <f>IF(Simulation!QP2&lt;Obligors!$I$2,1,0)</f>
        <v/>
      </c>
      <c r="QQ2" s="20">
        <f>IF(Simulation!QQ2&lt;Obligors!$I$2,1,0)</f>
        <v/>
      </c>
      <c r="QR2" s="20">
        <f>IF(Simulation!QR2&lt;Obligors!$I$2,1,0)</f>
        <v/>
      </c>
      <c r="QS2" s="20">
        <f>IF(Simulation!QS2&lt;Obligors!$I$2,1,0)</f>
        <v/>
      </c>
      <c r="QT2" s="20">
        <f>IF(Simulation!QT2&lt;Obligors!$I$2,1,0)</f>
        <v/>
      </c>
      <c r="QU2" s="20">
        <f>IF(Simulation!QU2&lt;Obligors!$I$2,1,0)</f>
        <v/>
      </c>
      <c r="QV2" s="20">
        <f>IF(Simulation!QV2&lt;Obligors!$I$2,1,0)</f>
        <v/>
      </c>
      <c r="QW2" s="20">
        <f>IF(Simulation!QW2&lt;Obligors!$I$2,1,0)</f>
        <v/>
      </c>
      <c r="QX2" s="20">
        <f>IF(Simulation!QX2&lt;Obligors!$I$2,1,0)</f>
        <v/>
      </c>
      <c r="QY2" s="20">
        <f>IF(Simulation!QY2&lt;Obligors!$I$2,1,0)</f>
        <v/>
      </c>
      <c r="QZ2" s="20">
        <f>IF(Simulation!QZ2&lt;Obligors!$I$2,1,0)</f>
        <v/>
      </c>
      <c r="RA2" s="20">
        <f>IF(Simulation!RA2&lt;Obligors!$I$2,1,0)</f>
        <v/>
      </c>
      <c r="RB2" s="20">
        <f>IF(Simulation!RB2&lt;Obligors!$I$2,1,0)</f>
        <v/>
      </c>
      <c r="RC2" s="20">
        <f>IF(Simulation!RC2&lt;Obligors!$I$2,1,0)</f>
        <v/>
      </c>
      <c r="RD2" s="20">
        <f>IF(Simulation!RD2&lt;Obligors!$I$2,1,0)</f>
        <v/>
      </c>
      <c r="RE2" s="20">
        <f>IF(Simulation!RE2&lt;Obligors!$I$2,1,0)</f>
        <v/>
      </c>
      <c r="RF2" s="20">
        <f>IF(Simulation!RF2&lt;Obligors!$I$2,1,0)</f>
        <v/>
      </c>
      <c r="RG2" s="20">
        <f>IF(Simulation!RG2&lt;Obligors!$I$2,1,0)</f>
        <v/>
      </c>
      <c r="RH2" s="20">
        <f>IF(Simulation!RH2&lt;Obligors!$I$2,1,0)</f>
        <v/>
      </c>
      <c r="RI2" s="20">
        <f>IF(Simulation!RI2&lt;Obligors!$I$2,1,0)</f>
        <v/>
      </c>
      <c r="RJ2" s="20">
        <f>IF(Simulation!RJ2&lt;Obligors!$I$2,1,0)</f>
        <v/>
      </c>
      <c r="RK2" s="20">
        <f>IF(Simulation!RK2&lt;Obligors!$I$2,1,0)</f>
        <v/>
      </c>
      <c r="RL2" s="20">
        <f>IF(Simulation!RL2&lt;Obligors!$I$2,1,0)</f>
        <v/>
      </c>
      <c r="RM2" s="20">
        <f>IF(Simulation!RM2&lt;Obligors!$I$2,1,0)</f>
        <v/>
      </c>
      <c r="RN2" s="20">
        <f>IF(Simulation!RN2&lt;Obligors!$I$2,1,0)</f>
        <v/>
      </c>
      <c r="RO2" s="20">
        <f>IF(Simulation!RO2&lt;Obligors!$I$2,1,0)</f>
        <v/>
      </c>
      <c r="RP2" s="20">
        <f>IF(Simulation!RP2&lt;Obligors!$I$2,1,0)</f>
        <v/>
      </c>
      <c r="RQ2" s="20">
        <f>IF(Simulation!RQ2&lt;Obligors!$I$2,1,0)</f>
        <v/>
      </c>
      <c r="RR2" s="20">
        <f>IF(Simulation!RR2&lt;Obligors!$I$2,1,0)</f>
        <v/>
      </c>
      <c r="RS2" s="20">
        <f>IF(Simulation!RS2&lt;Obligors!$I$2,1,0)</f>
        <v/>
      </c>
      <c r="RT2" s="20">
        <f>IF(Simulation!RT2&lt;Obligors!$I$2,1,0)</f>
        <v/>
      </c>
      <c r="RU2" s="20">
        <f>IF(Simulation!RU2&lt;Obligors!$I$2,1,0)</f>
        <v/>
      </c>
      <c r="RV2" s="20">
        <f>IF(Simulation!RV2&lt;Obligors!$I$2,1,0)</f>
        <v/>
      </c>
      <c r="RW2" s="20">
        <f>IF(Simulation!RW2&lt;Obligors!$I$2,1,0)</f>
        <v/>
      </c>
      <c r="RX2" s="20">
        <f>IF(Simulation!RX2&lt;Obligors!$I$2,1,0)</f>
        <v/>
      </c>
      <c r="RY2" s="20">
        <f>IF(Simulation!RY2&lt;Obligors!$I$2,1,0)</f>
        <v/>
      </c>
      <c r="RZ2" s="20">
        <f>IF(Simulation!RZ2&lt;Obligors!$I$2,1,0)</f>
        <v/>
      </c>
      <c r="SA2" s="20">
        <f>IF(Simulation!SA2&lt;Obligors!$I$2,1,0)</f>
        <v/>
      </c>
      <c r="SB2" s="20">
        <f>IF(Simulation!SB2&lt;Obligors!$I$2,1,0)</f>
        <v/>
      </c>
      <c r="SC2" s="20">
        <f>IF(Simulation!SC2&lt;Obligors!$I$2,1,0)</f>
        <v/>
      </c>
      <c r="SD2" s="20">
        <f>IF(Simulation!SD2&lt;Obligors!$I$2,1,0)</f>
        <v/>
      </c>
      <c r="SE2" s="20">
        <f>IF(Simulation!SE2&lt;Obligors!$I$2,1,0)</f>
        <v/>
      </c>
      <c r="SF2" s="20">
        <f>IF(Simulation!SF2&lt;Obligors!$I$2,1,0)</f>
        <v/>
      </c>
      <c r="SG2" s="20">
        <f>IF(Simulation!SG2&lt;Obligors!$I$2,1,0)</f>
        <v/>
      </c>
    </row>
    <row r="3">
      <c r="A3" s="17" t="inlineStr">
        <is>
          <t>OBL-002</t>
        </is>
      </c>
      <c r="B3" s="20">
        <f>IF(Simulation!B3&lt;Obligors!$I$3,1,0)</f>
        <v/>
      </c>
      <c r="C3" s="20">
        <f>IF(Simulation!C3&lt;Obligors!$I$3,1,0)</f>
        <v/>
      </c>
      <c r="D3" s="20">
        <f>IF(Simulation!D3&lt;Obligors!$I$3,1,0)</f>
        <v/>
      </c>
      <c r="E3" s="20">
        <f>IF(Simulation!E3&lt;Obligors!$I$3,1,0)</f>
        <v/>
      </c>
      <c r="F3" s="20">
        <f>IF(Simulation!F3&lt;Obligors!$I$3,1,0)</f>
        <v/>
      </c>
      <c r="G3" s="20">
        <f>IF(Simulation!G3&lt;Obligors!$I$3,1,0)</f>
        <v/>
      </c>
      <c r="H3" s="20">
        <f>IF(Simulation!H3&lt;Obligors!$I$3,1,0)</f>
        <v/>
      </c>
      <c r="I3" s="20">
        <f>IF(Simulation!I3&lt;Obligors!$I$3,1,0)</f>
        <v/>
      </c>
      <c r="J3" s="20">
        <f>IF(Simulation!J3&lt;Obligors!$I$3,1,0)</f>
        <v/>
      </c>
      <c r="K3" s="20">
        <f>IF(Simulation!K3&lt;Obligors!$I$3,1,0)</f>
        <v/>
      </c>
      <c r="L3" s="20">
        <f>IF(Simulation!L3&lt;Obligors!$I$3,1,0)</f>
        <v/>
      </c>
      <c r="M3" s="20">
        <f>IF(Simulation!M3&lt;Obligors!$I$3,1,0)</f>
        <v/>
      </c>
      <c r="N3" s="20">
        <f>IF(Simulation!N3&lt;Obligors!$I$3,1,0)</f>
        <v/>
      </c>
      <c r="O3" s="20">
        <f>IF(Simulation!O3&lt;Obligors!$I$3,1,0)</f>
        <v/>
      </c>
      <c r="P3" s="20">
        <f>IF(Simulation!P3&lt;Obligors!$I$3,1,0)</f>
        <v/>
      </c>
      <c r="Q3" s="20">
        <f>IF(Simulation!Q3&lt;Obligors!$I$3,1,0)</f>
        <v/>
      </c>
      <c r="R3" s="20">
        <f>IF(Simulation!R3&lt;Obligors!$I$3,1,0)</f>
        <v/>
      </c>
      <c r="S3" s="20">
        <f>IF(Simulation!S3&lt;Obligors!$I$3,1,0)</f>
        <v/>
      </c>
      <c r="T3" s="20">
        <f>IF(Simulation!T3&lt;Obligors!$I$3,1,0)</f>
        <v/>
      </c>
      <c r="U3" s="20">
        <f>IF(Simulation!U3&lt;Obligors!$I$3,1,0)</f>
        <v/>
      </c>
      <c r="V3" s="20">
        <f>IF(Simulation!V3&lt;Obligors!$I$3,1,0)</f>
        <v/>
      </c>
      <c r="W3" s="20">
        <f>IF(Simulation!W3&lt;Obligors!$I$3,1,0)</f>
        <v/>
      </c>
      <c r="X3" s="20">
        <f>IF(Simulation!X3&lt;Obligors!$I$3,1,0)</f>
        <v/>
      </c>
      <c r="Y3" s="20">
        <f>IF(Simulation!Y3&lt;Obligors!$I$3,1,0)</f>
        <v/>
      </c>
      <c r="Z3" s="20">
        <f>IF(Simulation!Z3&lt;Obligors!$I$3,1,0)</f>
        <v/>
      </c>
      <c r="AA3" s="20">
        <f>IF(Simulation!AA3&lt;Obligors!$I$3,1,0)</f>
        <v/>
      </c>
      <c r="AB3" s="20">
        <f>IF(Simulation!AB3&lt;Obligors!$I$3,1,0)</f>
        <v/>
      </c>
      <c r="AC3" s="20">
        <f>IF(Simulation!AC3&lt;Obligors!$I$3,1,0)</f>
        <v/>
      </c>
      <c r="AD3" s="20">
        <f>IF(Simulation!AD3&lt;Obligors!$I$3,1,0)</f>
        <v/>
      </c>
      <c r="AE3" s="20">
        <f>IF(Simulation!AE3&lt;Obligors!$I$3,1,0)</f>
        <v/>
      </c>
      <c r="AF3" s="20">
        <f>IF(Simulation!AF3&lt;Obligors!$I$3,1,0)</f>
        <v/>
      </c>
      <c r="AG3" s="20">
        <f>IF(Simulation!AG3&lt;Obligors!$I$3,1,0)</f>
        <v/>
      </c>
      <c r="AH3" s="20">
        <f>IF(Simulation!AH3&lt;Obligors!$I$3,1,0)</f>
        <v/>
      </c>
      <c r="AI3" s="20">
        <f>IF(Simulation!AI3&lt;Obligors!$I$3,1,0)</f>
        <v/>
      </c>
      <c r="AJ3" s="20">
        <f>IF(Simulation!AJ3&lt;Obligors!$I$3,1,0)</f>
        <v/>
      </c>
      <c r="AK3" s="20">
        <f>IF(Simulation!AK3&lt;Obligors!$I$3,1,0)</f>
        <v/>
      </c>
      <c r="AL3" s="20">
        <f>IF(Simulation!AL3&lt;Obligors!$I$3,1,0)</f>
        <v/>
      </c>
      <c r="AM3" s="20">
        <f>IF(Simulation!AM3&lt;Obligors!$I$3,1,0)</f>
        <v/>
      </c>
      <c r="AN3" s="20">
        <f>IF(Simulation!AN3&lt;Obligors!$I$3,1,0)</f>
        <v/>
      </c>
      <c r="AO3" s="20">
        <f>IF(Simulation!AO3&lt;Obligors!$I$3,1,0)</f>
        <v/>
      </c>
      <c r="AP3" s="20">
        <f>IF(Simulation!AP3&lt;Obligors!$I$3,1,0)</f>
        <v/>
      </c>
      <c r="AQ3" s="20">
        <f>IF(Simulation!AQ3&lt;Obligors!$I$3,1,0)</f>
        <v/>
      </c>
      <c r="AR3" s="20">
        <f>IF(Simulation!AR3&lt;Obligors!$I$3,1,0)</f>
        <v/>
      </c>
      <c r="AS3" s="20">
        <f>IF(Simulation!AS3&lt;Obligors!$I$3,1,0)</f>
        <v/>
      </c>
      <c r="AT3" s="20">
        <f>IF(Simulation!AT3&lt;Obligors!$I$3,1,0)</f>
        <v/>
      </c>
      <c r="AU3" s="20">
        <f>IF(Simulation!AU3&lt;Obligors!$I$3,1,0)</f>
        <v/>
      </c>
      <c r="AV3" s="20">
        <f>IF(Simulation!AV3&lt;Obligors!$I$3,1,0)</f>
        <v/>
      </c>
      <c r="AW3" s="20">
        <f>IF(Simulation!AW3&lt;Obligors!$I$3,1,0)</f>
        <v/>
      </c>
      <c r="AX3" s="20">
        <f>IF(Simulation!AX3&lt;Obligors!$I$3,1,0)</f>
        <v/>
      </c>
      <c r="AY3" s="20">
        <f>IF(Simulation!AY3&lt;Obligors!$I$3,1,0)</f>
        <v/>
      </c>
      <c r="AZ3" s="20">
        <f>IF(Simulation!AZ3&lt;Obligors!$I$3,1,0)</f>
        <v/>
      </c>
      <c r="BA3" s="20">
        <f>IF(Simulation!BA3&lt;Obligors!$I$3,1,0)</f>
        <v/>
      </c>
      <c r="BB3" s="20">
        <f>IF(Simulation!BB3&lt;Obligors!$I$3,1,0)</f>
        <v/>
      </c>
      <c r="BC3" s="20">
        <f>IF(Simulation!BC3&lt;Obligors!$I$3,1,0)</f>
        <v/>
      </c>
      <c r="BD3" s="20">
        <f>IF(Simulation!BD3&lt;Obligors!$I$3,1,0)</f>
        <v/>
      </c>
      <c r="BE3" s="20">
        <f>IF(Simulation!BE3&lt;Obligors!$I$3,1,0)</f>
        <v/>
      </c>
      <c r="BF3" s="20">
        <f>IF(Simulation!BF3&lt;Obligors!$I$3,1,0)</f>
        <v/>
      </c>
      <c r="BG3" s="20">
        <f>IF(Simulation!BG3&lt;Obligors!$I$3,1,0)</f>
        <v/>
      </c>
      <c r="BH3" s="20">
        <f>IF(Simulation!BH3&lt;Obligors!$I$3,1,0)</f>
        <v/>
      </c>
      <c r="BI3" s="20">
        <f>IF(Simulation!BI3&lt;Obligors!$I$3,1,0)</f>
        <v/>
      </c>
      <c r="BJ3" s="20">
        <f>IF(Simulation!BJ3&lt;Obligors!$I$3,1,0)</f>
        <v/>
      </c>
      <c r="BK3" s="20">
        <f>IF(Simulation!BK3&lt;Obligors!$I$3,1,0)</f>
        <v/>
      </c>
      <c r="BL3" s="20">
        <f>IF(Simulation!BL3&lt;Obligors!$I$3,1,0)</f>
        <v/>
      </c>
      <c r="BM3" s="20">
        <f>IF(Simulation!BM3&lt;Obligors!$I$3,1,0)</f>
        <v/>
      </c>
      <c r="BN3" s="20">
        <f>IF(Simulation!BN3&lt;Obligors!$I$3,1,0)</f>
        <v/>
      </c>
      <c r="BO3" s="20">
        <f>IF(Simulation!BO3&lt;Obligors!$I$3,1,0)</f>
        <v/>
      </c>
      <c r="BP3" s="20">
        <f>IF(Simulation!BP3&lt;Obligors!$I$3,1,0)</f>
        <v/>
      </c>
      <c r="BQ3" s="20">
        <f>IF(Simulation!BQ3&lt;Obligors!$I$3,1,0)</f>
        <v/>
      </c>
      <c r="BR3" s="20">
        <f>IF(Simulation!BR3&lt;Obligors!$I$3,1,0)</f>
        <v/>
      </c>
      <c r="BS3" s="20">
        <f>IF(Simulation!BS3&lt;Obligors!$I$3,1,0)</f>
        <v/>
      </c>
      <c r="BT3" s="20">
        <f>IF(Simulation!BT3&lt;Obligors!$I$3,1,0)</f>
        <v/>
      </c>
      <c r="BU3" s="20">
        <f>IF(Simulation!BU3&lt;Obligors!$I$3,1,0)</f>
        <v/>
      </c>
      <c r="BV3" s="20">
        <f>IF(Simulation!BV3&lt;Obligors!$I$3,1,0)</f>
        <v/>
      </c>
      <c r="BW3" s="20">
        <f>IF(Simulation!BW3&lt;Obligors!$I$3,1,0)</f>
        <v/>
      </c>
      <c r="BX3" s="20">
        <f>IF(Simulation!BX3&lt;Obligors!$I$3,1,0)</f>
        <v/>
      </c>
      <c r="BY3" s="20">
        <f>IF(Simulation!BY3&lt;Obligors!$I$3,1,0)</f>
        <v/>
      </c>
      <c r="BZ3" s="20">
        <f>IF(Simulation!BZ3&lt;Obligors!$I$3,1,0)</f>
        <v/>
      </c>
      <c r="CA3" s="20">
        <f>IF(Simulation!CA3&lt;Obligors!$I$3,1,0)</f>
        <v/>
      </c>
      <c r="CB3" s="20">
        <f>IF(Simulation!CB3&lt;Obligors!$I$3,1,0)</f>
        <v/>
      </c>
      <c r="CC3" s="20">
        <f>IF(Simulation!CC3&lt;Obligors!$I$3,1,0)</f>
        <v/>
      </c>
      <c r="CD3" s="20">
        <f>IF(Simulation!CD3&lt;Obligors!$I$3,1,0)</f>
        <v/>
      </c>
      <c r="CE3" s="20">
        <f>IF(Simulation!CE3&lt;Obligors!$I$3,1,0)</f>
        <v/>
      </c>
      <c r="CF3" s="20">
        <f>IF(Simulation!CF3&lt;Obligors!$I$3,1,0)</f>
        <v/>
      </c>
      <c r="CG3" s="20">
        <f>IF(Simulation!CG3&lt;Obligors!$I$3,1,0)</f>
        <v/>
      </c>
      <c r="CH3" s="20">
        <f>IF(Simulation!CH3&lt;Obligors!$I$3,1,0)</f>
        <v/>
      </c>
      <c r="CI3" s="20">
        <f>IF(Simulation!CI3&lt;Obligors!$I$3,1,0)</f>
        <v/>
      </c>
      <c r="CJ3" s="20">
        <f>IF(Simulation!CJ3&lt;Obligors!$I$3,1,0)</f>
        <v/>
      </c>
      <c r="CK3" s="20">
        <f>IF(Simulation!CK3&lt;Obligors!$I$3,1,0)</f>
        <v/>
      </c>
      <c r="CL3" s="20">
        <f>IF(Simulation!CL3&lt;Obligors!$I$3,1,0)</f>
        <v/>
      </c>
      <c r="CM3" s="20">
        <f>IF(Simulation!CM3&lt;Obligors!$I$3,1,0)</f>
        <v/>
      </c>
      <c r="CN3" s="20">
        <f>IF(Simulation!CN3&lt;Obligors!$I$3,1,0)</f>
        <v/>
      </c>
      <c r="CO3" s="20">
        <f>IF(Simulation!CO3&lt;Obligors!$I$3,1,0)</f>
        <v/>
      </c>
      <c r="CP3" s="20">
        <f>IF(Simulation!CP3&lt;Obligors!$I$3,1,0)</f>
        <v/>
      </c>
      <c r="CQ3" s="20">
        <f>IF(Simulation!CQ3&lt;Obligors!$I$3,1,0)</f>
        <v/>
      </c>
      <c r="CR3" s="20">
        <f>IF(Simulation!CR3&lt;Obligors!$I$3,1,0)</f>
        <v/>
      </c>
      <c r="CS3" s="20">
        <f>IF(Simulation!CS3&lt;Obligors!$I$3,1,0)</f>
        <v/>
      </c>
      <c r="CT3" s="20">
        <f>IF(Simulation!CT3&lt;Obligors!$I$3,1,0)</f>
        <v/>
      </c>
      <c r="CU3" s="20">
        <f>IF(Simulation!CU3&lt;Obligors!$I$3,1,0)</f>
        <v/>
      </c>
      <c r="CV3" s="20">
        <f>IF(Simulation!CV3&lt;Obligors!$I$3,1,0)</f>
        <v/>
      </c>
      <c r="CW3" s="20">
        <f>IF(Simulation!CW3&lt;Obligors!$I$3,1,0)</f>
        <v/>
      </c>
      <c r="CX3" s="20">
        <f>IF(Simulation!CX3&lt;Obligors!$I$3,1,0)</f>
        <v/>
      </c>
      <c r="CY3" s="20">
        <f>IF(Simulation!CY3&lt;Obligors!$I$3,1,0)</f>
        <v/>
      </c>
      <c r="CZ3" s="20">
        <f>IF(Simulation!CZ3&lt;Obligors!$I$3,1,0)</f>
        <v/>
      </c>
      <c r="DA3" s="20">
        <f>IF(Simulation!DA3&lt;Obligors!$I$3,1,0)</f>
        <v/>
      </c>
      <c r="DB3" s="20">
        <f>IF(Simulation!DB3&lt;Obligors!$I$3,1,0)</f>
        <v/>
      </c>
      <c r="DC3" s="20">
        <f>IF(Simulation!DC3&lt;Obligors!$I$3,1,0)</f>
        <v/>
      </c>
      <c r="DD3" s="20">
        <f>IF(Simulation!DD3&lt;Obligors!$I$3,1,0)</f>
        <v/>
      </c>
      <c r="DE3" s="20">
        <f>IF(Simulation!DE3&lt;Obligors!$I$3,1,0)</f>
        <v/>
      </c>
      <c r="DF3" s="20">
        <f>IF(Simulation!DF3&lt;Obligors!$I$3,1,0)</f>
        <v/>
      </c>
      <c r="DG3" s="20">
        <f>IF(Simulation!DG3&lt;Obligors!$I$3,1,0)</f>
        <v/>
      </c>
      <c r="DH3" s="20">
        <f>IF(Simulation!DH3&lt;Obligors!$I$3,1,0)</f>
        <v/>
      </c>
      <c r="DI3" s="20">
        <f>IF(Simulation!DI3&lt;Obligors!$I$3,1,0)</f>
        <v/>
      </c>
      <c r="DJ3" s="20">
        <f>IF(Simulation!DJ3&lt;Obligors!$I$3,1,0)</f>
        <v/>
      </c>
      <c r="DK3" s="20">
        <f>IF(Simulation!DK3&lt;Obligors!$I$3,1,0)</f>
        <v/>
      </c>
      <c r="DL3" s="20">
        <f>IF(Simulation!DL3&lt;Obligors!$I$3,1,0)</f>
        <v/>
      </c>
      <c r="DM3" s="20">
        <f>IF(Simulation!DM3&lt;Obligors!$I$3,1,0)</f>
        <v/>
      </c>
      <c r="DN3" s="20">
        <f>IF(Simulation!DN3&lt;Obligors!$I$3,1,0)</f>
        <v/>
      </c>
      <c r="DO3" s="20">
        <f>IF(Simulation!DO3&lt;Obligors!$I$3,1,0)</f>
        <v/>
      </c>
      <c r="DP3" s="20">
        <f>IF(Simulation!DP3&lt;Obligors!$I$3,1,0)</f>
        <v/>
      </c>
      <c r="DQ3" s="20">
        <f>IF(Simulation!DQ3&lt;Obligors!$I$3,1,0)</f>
        <v/>
      </c>
      <c r="DR3" s="20">
        <f>IF(Simulation!DR3&lt;Obligors!$I$3,1,0)</f>
        <v/>
      </c>
      <c r="DS3" s="20">
        <f>IF(Simulation!DS3&lt;Obligors!$I$3,1,0)</f>
        <v/>
      </c>
      <c r="DT3" s="20">
        <f>IF(Simulation!DT3&lt;Obligors!$I$3,1,0)</f>
        <v/>
      </c>
      <c r="DU3" s="20">
        <f>IF(Simulation!DU3&lt;Obligors!$I$3,1,0)</f>
        <v/>
      </c>
      <c r="DV3" s="20">
        <f>IF(Simulation!DV3&lt;Obligors!$I$3,1,0)</f>
        <v/>
      </c>
      <c r="DW3" s="20">
        <f>IF(Simulation!DW3&lt;Obligors!$I$3,1,0)</f>
        <v/>
      </c>
      <c r="DX3" s="20">
        <f>IF(Simulation!DX3&lt;Obligors!$I$3,1,0)</f>
        <v/>
      </c>
      <c r="DY3" s="20">
        <f>IF(Simulation!DY3&lt;Obligors!$I$3,1,0)</f>
        <v/>
      </c>
      <c r="DZ3" s="20">
        <f>IF(Simulation!DZ3&lt;Obligors!$I$3,1,0)</f>
        <v/>
      </c>
      <c r="EA3" s="20">
        <f>IF(Simulation!EA3&lt;Obligors!$I$3,1,0)</f>
        <v/>
      </c>
      <c r="EB3" s="20">
        <f>IF(Simulation!EB3&lt;Obligors!$I$3,1,0)</f>
        <v/>
      </c>
      <c r="EC3" s="20">
        <f>IF(Simulation!EC3&lt;Obligors!$I$3,1,0)</f>
        <v/>
      </c>
      <c r="ED3" s="20">
        <f>IF(Simulation!ED3&lt;Obligors!$I$3,1,0)</f>
        <v/>
      </c>
      <c r="EE3" s="20">
        <f>IF(Simulation!EE3&lt;Obligors!$I$3,1,0)</f>
        <v/>
      </c>
      <c r="EF3" s="20">
        <f>IF(Simulation!EF3&lt;Obligors!$I$3,1,0)</f>
        <v/>
      </c>
      <c r="EG3" s="20">
        <f>IF(Simulation!EG3&lt;Obligors!$I$3,1,0)</f>
        <v/>
      </c>
      <c r="EH3" s="20">
        <f>IF(Simulation!EH3&lt;Obligors!$I$3,1,0)</f>
        <v/>
      </c>
      <c r="EI3" s="20">
        <f>IF(Simulation!EI3&lt;Obligors!$I$3,1,0)</f>
        <v/>
      </c>
      <c r="EJ3" s="20">
        <f>IF(Simulation!EJ3&lt;Obligors!$I$3,1,0)</f>
        <v/>
      </c>
      <c r="EK3" s="20">
        <f>IF(Simulation!EK3&lt;Obligors!$I$3,1,0)</f>
        <v/>
      </c>
      <c r="EL3" s="20">
        <f>IF(Simulation!EL3&lt;Obligors!$I$3,1,0)</f>
        <v/>
      </c>
      <c r="EM3" s="20">
        <f>IF(Simulation!EM3&lt;Obligors!$I$3,1,0)</f>
        <v/>
      </c>
      <c r="EN3" s="20">
        <f>IF(Simulation!EN3&lt;Obligors!$I$3,1,0)</f>
        <v/>
      </c>
      <c r="EO3" s="20">
        <f>IF(Simulation!EO3&lt;Obligors!$I$3,1,0)</f>
        <v/>
      </c>
      <c r="EP3" s="20">
        <f>IF(Simulation!EP3&lt;Obligors!$I$3,1,0)</f>
        <v/>
      </c>
      <c r="EQ3" s="20">
        <f>IF(Simulation!EQ3&lt;Obligors!$I$3,1,0)</f>
        <v/>
      </c>
      <c r="ER3" s="20">
        <f>IF(Simulation!ER3&lt;Obligors!$I$3,1,0)</f>
        <v/>
      </c>
      <c r="ES3" s="20">
        <f>IF(Simulation!ES3&lt;Obligors!$I$3,1,0)</f>
        <v/>
      </c>
      <c r="ET3" s="20">
        <f>IF(Simulation!ET3&lt;Obligors!$I$3,1,0)</f>
        <v/>
      </c>
      <c r="EU3" s="20">
        <f>IF(Simulation!EU3&lt;Obligors!$I$3,1,0)</f>
        <v/>
      </c>
      <c r="EV3" s="20">
        <f>IF(Simulation!EV3&lt;Obligors!$I$3,1,0)</f>
        <v/>
      </c>
      <c r="EW3" s="20">
        <f>IF(Simulation!EW3&lt;Obligors!$I$3,1,0)</f>
        <v/>
      </c>
      <c r="EX3" s="20">
        <f>IF(Simulation!EX3&lt;Obligors!$I$3,1,0)</f>
        <v/>
      </c>
      <c r="EY3" s="20">
        <f>IF(Simulation!EY3&lt;Obligors!$I$3,1,0)</f>
        <v/>
      </c>
      <c r="EZ3" s="20">
        <f>IF(Simulation!EZ3&lt;Obligors!$I$3,1,0)</f>
        <v/>
      </c>
      <c r="FA3" s="20">
        <f>IF(Simulation!FA3&lt;Obligors!$I$3,1,0)</f>
        <v/>
      </c>
      <c r="FB3" s="20">
        <f>IF(Simulation!FB3&lt;Obligors!$I$3,1,0)</f>
        <v/>
      </c>
      <c r="FC3" s="20">
        <f>IF(Simulation!FC3&lt;Obligors!$I$3,1,0)</f>
        <v/>
      </c>
      <c r="FD3" s="20">
        <f>IF(Simulation!FD3&lt;Obligors!$I$3,1,0)</f>
        <v/>
      </c>
      <c r="FE3" s="20">
        <f>IF(Simulation!FE3&lt;Obligors!$I$3,1,0)</f>
        <v/>
      </c>
      <c r="FF3" s="20">
        <f>IF(Simulation!FF3&lt;Obligors!$I$3,1,0)</f>
        <v/>
      </c>
      <c r="FG3" s="20">
        <f>IF(Simulation!FG3&lt;Obligors!$I$3,1,0)</f>
        <v/>
      </c>
      <c r="FH3" s="20">
        <f>IF(Simulation!FH3&lt;Obligors!$I$3,1,0)</f>
        <v/>
      </c>
      <c r="FI3" s="20">
        <f>IF(Simulation!FI3&lt;Obligors!$I$3,1,0)</f>
        <v/>
      </c>
      <c r="FJ3" s="20">
        <f>IF(Simulation!FJ3&lt;Obligors!$I$3,1,0)</f>
        <v/>
      </c>
      <c r="FK3" s="20">
        <f>IF(Simulation!FK3&lt;Obligors!$I$3,1,0)</f>
        <v/>
      </c>
      <c r="FL3" s="20">
        <f>IF(Simulation!FL3&lt;Obligors!$I$3,1,0)</f>
        <v/>
      </c>
      <c r="FM3" s="20">
        <f>IF(Simulation!FM3&lt;Obligors!$I$3,1,0)</f>
        <v/>
      </c>
      <c r="FN3" s="20">
        <f>IF(Simulation!FN3&lt;Obligors!$I$3,1,0)</f>
        <v/>
      </c>
      <c r="FO3" s="20">
        <f>IF(Simulation!FO3&lt;Obligors!$I$3,1,0)</f>
        <v/>
      </c>
      <c r="FP3" s="20">
        <f>IF(Simulation!FP3&lt;Obligors!$I$3,1,0)</f>
        <v/>
      </c>
      <c r="FQ3" s="20">
        <f>IF(Simulation!FQ3&lt;Obligors!$I$3,1,0)</f>
        <v/>
      </c>
      <c r="FR3" s="20">
        <f>IF(Simulation!FR3&lt;Obligors!$I$3,1,0)</f>
        <v/>
      </c>
      <c r="FS3" s="20">
        <f>IF(Simulation!FS3&lt;Obligors!$I$3,1,0)</f>
        <v/>
      </c>
      <c r="FT3" s="20">
        <f>IF(Simulation!FT3&lt;Obligors!$I$3,1,0)</f>
        <v/>
      </c>
      <c r="FU3" s="20">
        <f>IF(Simulation!FU3&lt;Obligors!$I$3,1,0)</f>
        <v/>
      </c>
      <c r="FV3" s="20">
        <f>IF(Simulation!FV3&lt;Obligors!$I$3,1,0)</f>
        <v/>
      </c>
      <c r="FW3" s="20">
        <f>IF(Simulation!FW3&lt;Obligors!$I$3,1,0)</f>
        <v/>
      </c>
      <c r="FX3" s="20">
        <f>IF(Simulation!FX3&lt;Obligors!$I$3,1,0)</f>
        <v/>
      </c>
      <c r="FY3" s="20">
        <f>IF(Simulation!FY3&lt;Obligors!$I$3,1,0)</f>
        <v/>
      </c>
      <c r="FZ3" s="20">
        <f>IF(Simulation!FZ3&lt;Obligors!$I$3,1,0)</f>
        <v/>
      </c>
      <c r="GA3" s="20">
        <f>IF(Simulation!GA3&lt;Obligors!$I$3,1,0)</f>
        <v/>
      </c>
      <c r="GB3" s="20">
        <f>IF(Simulation!GB3&lt;Obligors!$I$3,1,0)</f>
        <v/>
      </c>
      <c r="GC3" s="20">
        <f>IF(Simulation!GC3&lt;Obligors!$I$3,1,0)</f>
        <v/>
      </c>
      <c r="GD3" s="20">
        <f>IF(Simulation!GD3&lt;Obligors!$I$3,1,0)</f>
        <v/>
      </c>
      <c r="GE3" s="20">
        <f>IF(Simulation!GE3&lt;Obligors!$I$3,1,0)</f>
        <v/>
      </c>
      <c r="GF3" s="20">
        <f>IF(Simulation!GF3&lt;Obligors!$I$3,1,0)</f>
        <v/>
      </c>
      <c r="GG3" s="20">
        <f>IF(Simulation!GG3&lt;Obligors!$I$3,1,0)</f>
        <v/>
      </c>
      <c r="GH3" s="20">
        <f>IF(Simulation!GH3&lt;Obligors!$I$3,1,0)</f>
        <v/>
      </c>
      <c r="GI3" s="20">
        <f>IF(Simulation!GI3&lt;Obligors!$I$3,1,0)</f>
        <v/>
      </c>
      <c r="GJ3" s="20">
        <f>IF(Simulation!GJ3&lt;Obligors!$I$3,1,0)</f>
        <v/>
      </c>
      <c r="GK3" s="20">
        <f>IF(Simulation!GK3&lt;Obligors!$I$3,1,0)</f>
        <v/>
      </c>
      <c r="GL3" s="20">
        <f>IF(Simulation!GL3&lt;Obligors!$I$3,1,0)</f>
        <v/>
      </c>
      <c r="GM3" s="20">
        <f>IF(Simulation!GM3&lt;Obligors!$I$3,1,0)</f>
        <v/>
      </c>
      <c r="GN3" s="20">
        <f>IF(Simulation!GN3&lt;Obligors!$I$3,1,0)</f>
        <v/>
      </c>
      <c r="GO3" s="20">
        <f>IF(Simulation!GO3&lt;Obligors!$I$3,1,0)</f>
        <v/>
      </c>
      <c r="GP3" s="20">
        <f>IF(Simulation!GP3&lt;Obligors!$I$3,1,0)</f>
        <v/>
      </c>
      <c r="GQ3" s="20">
        <f>IF(Simulation!GQ3&lt;Obligors!$I$3,1,0)</f>
        <v/>
      </c>
      <c r="GR3" s="20">
        <f>IF(Simulation!GR3&lt;Obligors!$I$3,1,0)</f>
        <v/>
      </c>
      <c r="GS3" s="20">
        <f>IF(Simulation!GS3&lt;Obligors!$I$3,1,0)</f>
        <v/>
      </c>
      <c r="GT3" s="20">
        <f>IF(Simulation!GT3&lt;Obligors!$I$3,1,0)</f>
        <v/>
      </c>
      <c r="GU3" s="20">
        <f>IF(Simulation!GU3&lt;Obligors!$I$3,1,0)</f>
        <v/>
      </c>
      <c r="GV3" s="20">
        <f>IF(Simulation!GV3&lt;Obligors!$I$3,1,0)</f>
        <v/>
      </c>
      <c r="GW3" s="20">
        <f>IF(Simulation!GW3&lt;Obligors!$I$3,1,0)</f>
        <v/>
      </c>
      <c r="GX3" s="20">
        <f>IF(Simulation!GX3&lt;Obligors!$I$3,1,0)</f>
        <v/>
      </c>
      <c r="GY3" s="20">
        <f>IF(Simulation!GY3&lt;Obligors!$I$3,1,0)</f>
        <v/>
      </c>
      <c r="GZ3" s="20">
        <f>IF(Simulation!GZ3&lt;Obligors!$I$3,1,0)</f>
        <v/>
      </c>
      <c r="HA3" s="20">
        <f>IF(Simulation!HA3&lt;Obligors!$I$3,1,0)</f>
        <v/>
      </c>
      <c r="HB3" s="20">
        <f>IF(Simulation!HB3&lt;Obligors!$I$3,1,0)</f>
        <v/>
      </c>
      <c r="HC3" s="20">
        <f>IF(Simulation!HC3&lt;Obligors!$I$3,1,0)</f>
        <v/>
      </c>
      <c r="HD3" s="20">
        <f>IF(Simulation!HD3&lt;Obligors!$I$3,1,0)</f>
        <v/>
      </c>
      <c r="HE3" s="20">
        <f>IF(Simulation!HE3&lt;Obligors!$I$3,1,0)</f>
        <v/>
      </c>
      <c r="HF3" s="20">
        <f>IF(Simulation!HF3&lt;Obligors!$I$3,1,0)</f>
        <v/>
      </c>
      <c r="HG3" s="20">
        <f>IF(Simulation!HG3&lt;Obligors!$I$3,1,0)</f>
        <v/>
      </c>
      <c r="HH3" s="20">
        <f>IF(Simulation!HH3&lt;Obligors!$I$3,1,0)</f>
        <v/>
      </c>
      <c r="HI3" s="20">
        <f>IF(Simulation!HI3&lt;Obligors!$I$3,1,0)</f>
        <v/>
      </c>
      <c r="HJ3" s="20">
        <f>IF(Simulation!HJ3&lt;Obligors!$I$3,1,0)</f>
        <v/>
      </c>
      <c r="HK3" s="20">
        <f>IF(Simulation!HK3&lt;Obligors!$I$3,1,0)</f>
        <v/>
      </c>
      <c r="HL3" s="20">
        <f>IF(Simulation!HL3&lt;Obligors!$I$3,1,0)</f>
        <v/>
      </c>
      <c r="HM3" s="20">
        <f>IF(Simulation!HM3&lt;Obligors!$I$3,1,0)</f>
        <v/>
      </c>
      <c r="HN3" s="20">
        <f>IF(Simulation!HN3&lt;Obligors!$I$3,1,0)</f>
        <v/>
      </c>
      <c r="HO3" s="20">
        <f>IF(Simulation!HO3&lt;Obligors!$I$3,1,0)</f>
        <v/>
      </c>
      <c r="HP3" s="20">
        <f>IF(Simulation!HP3&lt;Obligors!$I$3,1,0)</f>
        <v/>
      </c>
      <c r="HQ3" s="20">
        <f>IF(Simulation!HQ3&lt;Obligors!$I$3,1,0)</f>
        <v/>
      </c>
      <c r="HR3" s="20">
        <f>IF(Simulation!HR3&lt;Obligors!$I$3,1,0)</f>
        <v/>
      </c>
      <c r="HS3" s="20">
        <f>IF(Simulation!HS3&lt;Obligors!$I$3,1,0)</f>
        <v/>
      </c>
      <c r="HT3" s="20">
        <f>IF(Simulation!HT3&lt;Obligors!$I$3,1,0)</f>
        <v/>
      </c>
      <c r="HU3" s="20">
        <f>IF(Simulation!HU3&lt;Obligors!$I$3,1,0)</f>
        <v/>
      </c>
      <c r="HV3" s="20">
        <f>IF(Simulation!HV3&lt;Obligors!$I$3,1,0)</f>
        <v/>
      </c>
      <c r="HW3" s="20">
        <f>IF(Simulation!HW3&lt;Obligors!$I$3,1,0)</f>
        <v/>
      </c>
      <c r="HX3" s="20">
        <f>IF(Simulation!HX3&lt;Obligors!$I$3,1,0)</f>
        <v/>
      </c>
      <c r="HY3" s="20">
        <f>IF(Simulation!HY3&lt;Obligors!$I$3,1,0)</f>
        <v/>
      </c>
      <c r="HZ3" s="20">
        <f>IF(Simulation!HZ3&lt;Obligors!$I$3,1,0)</f>
        <v/>
      </c>
      <c r="IA3" s="20">
        <f>IF(Simulation!IA3&lt;Obligors!$I$3,1,0)</f>
        <v/>
      </c>
      <c r="IB3" s="20">
        <f>IF(Simulation!IB3&lt;Obligors!$I$3,1,0)</f>
        <v/>
      </c>
      <c r="IC3" s="20">
        <f>IF(Simulation!IC3&lt;Obligors!$I$3,1,0)</f>
        <v/>
      </c>
      <c r="ID3" s="20">
        <f>IF(Simulation!ID3&lt;Obligors!$I$3,1,0)</f>
        <v/>
      </c>
      <c r="IE3" s="20">
        <f>IF(Simulation!IE3&lt;Obligors!$I$3,1,0)</f>
        <v/>
      </c>
      <c r="IF3" s="20">
        <f>IF(Simulation!IF3&lt;Obligors!$I$3,1,0)</f>
        <v/>
      </c>
      <c r="IG3" s="20">
        <f>IF(Simulation!IG3&lt;Obligors!$I$3,1,0)</f>
        <v/>
      </c>
      <c r="IH3" s="20">
        <f>IF(Simulation!IH3&lt;Obligors!$I$3,1,0)</f>
        <v/>
      </c>
      <c r="II3" s="20">
        <f>IF(Simulation!II3&lt;Obligors!$I$3,1,0)</f>
        <v/>
      </c>
      <c r="IJ3" s="20">
        <f>IF(Simulation!IJ3&lt;Obligors!$I$3,1,0)</f>
        <v/>
      </c>
      <c r="IK3" s="20">
        <f>IF(Simulation!IK3&lt;Obligors!$I$3,1,0)</f>
        <v/>
      </c>
      <c r="IL3" s="20">
        <f>IF(Simulation!IL3&lt;Obligors!$I$3,1,0)</f>
        <v/>
      </c>
      <c r="IM3" s="20">
        <f>IF(Simulation!IM3&lt;Obligors!$I$3,1,0)</f>
        <v/>
      </c>
      <c r="IN3" s="20">
        <f>IF(Simulation!IN3&lt;Obligors!$I$3,1,0)</f>
        <v/>
      </c>
      <c r="IO3" s="20">
        <f>IF(Simulation!IO3&lt;Obligors!$I$3,1,0)</f>
        <v/>
      </c>
      <c r="IP3" s="20">
        <f>IF(Simulation!IP3&lt;Obligors!$I$3,1,0)</f>
        <v/>
      </c>
      <c r="IQ3" s="20">
        <f>IF(Simulation!IQ3&lt;Obligors!$I$3,1,0)</f>
        <v/>
      </c>
      <c r="IR3" s="20">
        <f>IF(Simulation!IR3&lt;Obligors!$I$3,1,0)</f>
        <v/>
      </c>
      <c r="IS3" s="20">
        <f>IF(Simulation!IS3&lt;Obligors!$I$3,1,0)</f>
        <v/>
      </c>
      <c r="IT3" s="20">
        <f>IF(Simulation!IT3&lt;Obligors!$I$3,1,0)</f>
        <v/>
      </c>
      <c r="IU3" s="20">
        <f>IF(Simulation!IU3&lt;Obligors!$I$3,1,0)</f>
        <v/>
      </c>
      <c r="IV3" s="20">
        <f>IF(Simulation!IV3&lt;Obligors!$I$3,1,0)</f>
        <v/>
      </c>
      <c r="IW3" s="20">
        <f>IF(Simulation!IW3&lt;Obligors!$I$3,1,0)</f>
        <v/>
      </c>
      <c r="IX3" s="20">
        <f>IF(Simulation!IX3&lt;Obligors!$I$3,1,0)</f>
        <v/>
      </c>
      <c r="IY3" s="20">
        <f>IF(Simulation!IY3&lt;Obligors!$I$3,1,0)</f>
        <v/>
      </c>
      <c r="IZ3" s="20">
        <f>IF(Simulation!IZ3&lt;Obligors!$I$3,1,0)</f>
        <v/>
      </c>
      <c r="JA3" s="20">
        <f>IF(Simulation!JA3&lt;Obligors!$I$3,1,0)</f>
        <v/>
      </c>
      <c r="JB3" s="20">
        <f>IF(Simulation!JB3&lt;Obligors!$I$3,1,0)</f>
        <v/>
      </c>
      <c r="JC3" s="20">
        <f>IF(Simulation!JC3&lt;Obligors!$I$3,1,0)</f>
        <v/>
      </c>
      <c r="JD3" s="20">
        <f>IF(Simulation!JD3&lt;Obligors!$I$3,1,0)</f>
        <v/>
      </c>
      <c r="JE3" s="20">
        <f>IF(Simulation!JE3&lt;Obligors!$I$3,1,0)</f>
        <v/>
      </c>
      <c r="JF3" s="20">
        <f>IF(Simulation!JF3&lt;Obligors!$I$3,1,0)</f>
        <v/>
      </c>
      <c r="JG3" s="20">
        <f>IF(Simulation!JG3&lt;Obligors!$I$3,1,0)</f>
        <v/>
      </c>
      <c r="JH3" s="20">
        <f>IF(Simulation!JH3&lt;Obligors!$I$3,1,0)</f>
        <v/>
      </c>
      <c r="JI3" s="20">
        <f>IF(Simulation!JI3&lt;Obligors!$I$3,1,0)</f>
        <v/>
      </c>
      <c r="JJ3" s="20">
        <f>IF(Simulation!JJ3&lt;Obligors!$I$3,1,0)</f>
        <v/>
      </c>
      <c r="JK3" s="20">
        <f>IF(Simulation!JK3&lt;Obligors!$I$3,1,0)</f>
        <v/>
      </c>
      <c r="JL3" s="20">
        <f>IF(Simulation!JL3&lt;Obligors!$I$3,1,0)</f>
        <v/>
      </c>
      <c r="JM3" s="20">
        <f>IF(Simulation!JM3&lt;Obligors!$I$3,1,0)</f>
        <v/>
      </c>
      <c r="JN3" s="20">
        <f>IF(Simulation!JN3&lt;Obligors!$I$3,1,0)</f>
        <v/>
      </c>
      <c r="JO3" s="20">
        <f>IF(Simulation!JO3&lt;Obligors!$I$3,1,0)</f>
        <v/>
      </c>
      <c r="JP3" s="20">
        <f>IF(Simulation!JP3&lt;Obligors!$I$3,1,0)</f>
        <v/>
      </c>
      <c r="JQ3" s="20">
        <f>IF(Simulation!JQ3&lt;Obligors!$I$3,1,0)</f>
        <v/>
      </c>
      <c r="JR3" s="20">
        <f>IF(Simulation!JR3&lt;Obligors!$I$3,1,0)</f>
        <v/>
      </c>
      <c r="JS3" s="20">
        <f>IF(Simulation!JS3&lt;Obligors!$I$3,1,0)</f>
        <v/>
      </c>
      <c r="JT3" s="20">
        <f>IF(Simulation!JT3&lt;Obligors!$I$3,1,0)</f>
        <v/>
      </c>
      <c r="JU3" s="20">
        <f>IF(Simulation!JU3&lt;Obligors!$I$3,1,0)</f>
        <v/>
      </c>
      <c r="JV3" s="20">
        <f>IF(Simulation!JV3&lt;Obligors!$I$3,1,0)</f>
        <v/>
      </c>
      <c r="JW3" s="20">
        <f>IF(Simulation!JW3&lt;Obligors!$I$3,1,0)</f>
        <v/>
      </c>
      <c r="JX3" s="20">
        <f>IF(Simulation!JX3&lt;Obligors!$I$3,1,0)</f>
        <v/>
      </c>
      <c r="JY3" s="20">
        <f>IF(Simulation!JY3&lt;Obligors!$I$3,1,0)</f>
        <v/>
      </c>
      <c r="JZ3" s="20">
        <f>IF(Simulation!JZ3&lt;Obligors!$I$3,1,0)</f>
        <v/>
      </c>
      <c r="KA3" s="20">
        <f>IF(Simulation!KA3&lt;Obligors!$I$3,1,0)</f>
        <v/>
      </c>
      <c r="KB3" s="20">
        <f>IF(Simulation!KB3&lt;Obligors!$I$3,1,0)</f>
        <v/>
      </c>
      <c r="KC3" s="20">
        <f>IF(Simulation!KC3&lt;Obligors!$I$3,1,0)</f>
        <v/>
      </c>
      <c r="KD3" s="20">
        <f>IF(Simulation!KD3&lt;Obligors!$I$3,1,0)</f>
        <v/>
      </c>
      <c r="KE3" s="20">
        <f>IF(Simulation!KE3&lt;Obligors!$I$3,1,0)</f>
        <v/>
      </c>
      <c r="KF3" s="20">
        <f>IF(Simulation!KF3&lt;Obligors!$I$3,1,0)</f>
        <v/>
      </c>
      <c r="KG3" s="20">
        <f>IF(Simulation!KG3&lt;Obligors!$I$3,1,0)</f>
        <v/>
      </c>
      <c r="KH3" s="20">
        <f>IF(Simulation!KH3&lt;Obligors!$I$3,1,0)</f>
        <v/>
      </c>
      <c r="KI3" s="20">
        <f>IF(Simulation!KI3&lt;Obligors!$I$3,1,0)</f>
        <v/>
      </c>
      <c r="KJ3" s="20">
        <f>IF(Simulation!KJ3&lt;Obligors!$I$3,1,0)</f>
        <v/>
      </c>
      <c r="KK3" s="20">
        <f>IF(Simulation!KK3&lt;Obligors!$I$3,1,0)</f>
        <v/>
      </c>
      <c r="KL3" s="20">
        <f>IF(Simulation!KL3&lt;Obligors!$I$3,1,0)</f>
        <v/>
      </c>
      <c r="KM3" s="20">
        <f>IF(Simulation!KM3&lt;Obligors!$I$3,1,0)</f>
        <v/>
      </c>
      <c r="KN3" s="20">
        <f>IF(Simulation!KN3&lt;Obligors!$I$3,1,0)</f>
        <v/>
      </c>
      <c r="KO3" s="20">
        <f>IF(Simulation!KO3&lt;Obligors!$I$3,1,0)</f>
        <v/>
      </c>
      <c r="KP3" s="20">
        <f>IF(Simulation!KP3&lt;Obligors!$I$3,1,0)</f>
        <v/>
      </c>
      <c r="KQ3" s="20">
        <f>IF(Simulation!KQ3&lt;Obligors!$I$3,1,0)</f>
        <v/>
      </c>
      <c r="KR3" s="20">
        <f>IF(Simulation!KR3&lt;Obligors!$I$3,1,0)</f>
        <v/>
      </c>
      <c r="KS3" s="20">
        <f>IF(Simulation!KS3&lt;Obligors!$I$3,1,0)</f>
        <v/>
      </c>
      <c r="KT3" s="20">
        <f>IF(Simulation!KT3&lt;Obligors!$I$3,1,0)</f>
        <v/>
      </c>
      <c r="KU3" s="20">
        <f>IF(Simulation!KU3&lt;Obligors!$I$3,1,0)</f>
        <v/>
      </c>
      <c r="KV3" s="20">
        <f>IF(Simulation!KV3&lt;Obligors!$I$3,1,0)</f>
        <v/>
      </c>
      <c r="KW3" s="20">
        <f>IF(Simulation!KW3&lt;Obligors!$I$3,1,0)</f>
        <v/>
      </c>
      <c r="KX3" s="20">
        <f>IF(Simulation!KX3&lt;Obligors!$I$3,1,0)</f>
        <v/>
      </c>
      <c r="KY3" s="20">
        <f>IF(Simulation!KY3&lt;Obligors!$I$3,1,0)</f>
        <v/>
      </c>
      <c r="KZ3" s="20">
        <f>IF(Simulation!KZ3&lt;Obligors!$I$3,1,0)</f>
        <v/>
      </c>
      <c r="LA3" s="20">
        <f>IF(Simulation!LA3&lt;Obligors!$I$3,1,0)</f>
        <v/>
      </c>
      <c r="LB3" s="20">
        <f>IF(Simulation!LB3&lt;Obligors!$I$3,1,0)</f>
        <v/>
      </c>
      <c r="LC3" s="20">
        <f>IF(Simulation!LC3&lt;Obligors!$I$3,1,0)</f>
        <v/>
      </c>
      <c r="LD3" s="20">
        <f>IF(Simulation!LD3&lt;Obligors!$I$3,1,0)</f>
        <v/>
      </c>
      <c r="LE3" s="20">
        <f>IF(Simulation!LE3&lt;Obligors!$I$3,1,0)</f>
        <v/>
      </c>
      <c r="LF3" s="20">
        <f>IF(Simulation!LF3&lt;Obligors!$I$3,1,0)</f>
        <v/>
      </c>
      <c r="LG3" s="20">
        <f>IF(Simulation!LG3&lt;Obligors!$I$3,1,0)</f>
        <v/>
      </c>
      <c r="LH3" s="20">
        <f>IF(Simulation!LH3&lt;Obligors!$I$3,1,0)</f>
        <v/>
      </c>
      <c r="LI3" s="20">
        <f>IF(Simulation!LI3&lt;Obligors!$I$3,1,0)</f>
        <v/>
      </c>
      <c r="LJ3" s="20">
        <f>IF(Simulation!LJ3&lt;Obligors!$I$3,1,0)</f>
        <v/>
      </c>
      <c r="LK3" s="20">
        <f>IF(Simulation!LK3&lt;Obligors!$I$3,1,0)</f>
        <v/>
      </c>
      <c r="LL3" s="20">
        <f>IF(Simulation!LL3&lt;Obligors!$I$3,1,0)</f>
        <v/>
      </c>
      <c r="LM3" s="20">
        <f>IF(Simulation!LM3&lt;Obligors!$I$3,1,0)</f>
        <v/>
      </c>
      <c r="LN3" s="20">
        <f>IF(Simulation!LN3&lt;Obligors!$I$3,1,0)</f>
        <v/>
      </c>
      <c r="LO3" s="20">
        <f>IF(Simulation!LO3&lt;Obligors!$I$3,1,0)</f>
        <v/>
      </c>
      <c r="LP3" s="20">
        <f>IF(Simulation!LP3&lt;Obligors!$I$3,1,0)</f>
        <v/>
      </c>
      <c r="LQ3" s="20">
        <f>IF(Simulation!LQ3&lt;Obligors!$I$3,1,0)</f>
        <v/>
      </c>
      <c r="LR3" s="20">
        <f>IF(Simulation!LR3&lt;Obligors!$I$3,1,0)</f>
        <v/>
      </c>
      <c r="LS3" s="20">
        <f>IF(Simulation!LS3&lt;Obligors!$I$3,1,0)</f>
        <v/>
      </c>
      <c r="LT3" s="20">
        <f>IF(Simulation!LT3&lt;Obligors!$I$3,1,0)</f>
        <v/>
      </c>
      <c r="LU3" s="20">
        <f>IF(Simulation!LU3&lt;Obligors!$I$3,1,0)</f>
        <v/>
      </c>
      <c r="LV3" s="20">
        <f>IF(Simulation!LV3&lt;Obligors!$I$3,1,0)</f>
        <v/>
      </c>
      <c r="LW3" s="20">
        <f>IF(Simulation!LW3&lt;Obligors!$I$3,1,0)</f>
        <v/>
      </c>
      <c r="LX3" s="20">
        <f>IF(Simulation!LX3&lt;Obligors!$I$3,1,0)</f>
        <v/>
      </c>
      <c r="LY3" s="20">
        <f>IF(Simulation!LY3&lt;Obligors!$I$3,1,0)</f>
        <v/>
      </c>
      <c r="LZ3" s="20">
        <f>IF(Simulation!LZ3&lt;Obligors!$I$3,1,0)</f>
        <v/>
      </c>
      <c r="MA3" s="20">
        <f>IF(Simulation!MA3&lt;Obligors!$I$3,1,0)</f>
        <v/>
      </c>
      <c r="MB3" s="20">
        <f>IF(Simulation!MB3&lt;Obligors!$I$3,1,0)</f>
        <v/>
      </c>
      <c r="MC3" s="20">
        <f>IF(Simulation!MC3&lt;Obligors!$I$3,1,0)</f>
        <v/>
      </c>
      <c r="MD3" s="20">
        <f>IF(Simulation!MD3&lt;Obligors!$I$3,1,0)</f>
        <v/>
      </c>
      <c r="ME3" s="20">
        <f>IF(Simulation!ME3&lt;Obligors!$I$3,1,0)</f>
        <v/>
      </c>
      <c r="MF3" s="20">
        <f>IF(Simulation!MF3&lt;Obligors!$I$3,1,0)</f>
        <v/>
      </c>
      <c r="MG3" s="20">
        <f>IF(Simulation!MG3&lt;Obligors!$I$3,1,0)</f>
        <v/>
      </c>
      <c r="MH3" s="20">
        <f>IF(Simulation!MH3&lt;Obligors!$I$3,1,0)</f>
        <v/>
      </c>
      <c r="MI3" s="20">
        <f>IF(Simulation!MI3&lt;Obligors!$I$3,1,0)</f>
        <v/>
      </c>
      <c r="MJ3" s="20">
        <f>IF(Simulation!MJ3&lt;Obligors!$I$3,1,0)</f>
        <v/>
      </c>
      <c r="MK3" s="20">
        <f>IF(Simulation!MK3&lt;Obligors!$I$3,1,0)</f>
        <v/>
      </c>
      <c r="ML3" s="20">
        <f>IF(Simulation!ML3&lt;Obligors!$I$3,1,0)</f>
        <v/>
      </c>
      <c r="MM3" s="20">
        <f>IF(Simulation!MM3&lt;Obligors!$I$3,1,0)</f>
        <v/>
      </c>
      <c r="MN3" s="20">
        <f>IF(Simulation!MN3&lt;Obligors!$I$3,1,0)</f>
        <v/>
      </c>
      <c r="MO3" s="20">
        <f>IF(Simulation!MO3&lt;Obligors!$I$3,1,0)</f>
        <v/>
      </c>
      <c r="MP3" s="20">
        <f>IF(Simulation!MP3&lt;Obligors!$I$3,1,0)</f>
        <v/>
      </c>
      <c r="MQ3" s="20">
        <f>IF(Simulation!MQ3&lt;Obligors!$I$3,1,0)</f>
        <v/>
      </c>
      <c r="MR3" s="20">
        <f>IF(Simulation!MR3&lt;Obligors!$I$3,1,0)</f>
        <v/>
      </c>
      <c r="MS3" s="20">
        <f>IF(Simulation!MS3&lt;Obligors!$I$3,1,0)</f>
        <v/>
      </c>
      <c r="MT3" s="20">
        <f>IF(Simulation!MT3&lt;Obligors!$I$3,1,0)</f>
        <v/>
      </c>
      <c r="MU3" s="20">
        <f>IF(Simulation!MU3&lt;Obligors!$I$3,1,0)</f>
        <v/>
      </c>
      <c r="MV3" s="20">
        <f>IF(Simulation!MV3&lt;Obligors!$I$3,1,0)</f>
        <v/>
      </c>
      <c r="MW3" s="20">
        <f>IF(Simulation!MW3&lt;Obligors!$I$3,1,0)</f>
        <v/>
      </c>
      <c r="MX3" s="20">
        <f>IF(Simulation!MX3&lt;Obligors!$I$3,1,0)</f>
        <v/>
      </c>
      <c r="MY3" s="20">
        <f>IF(Simulation!MY3&lt;Obligors!$I$3,1,0)</f>
        <v/>
      </c>
      <c r="MZ3" s="20">
        <f>IF(Simulation!MZ3&lt;Obligors!$I$3,1,0)</f>
        <v/>
      </c>
      <c r="NA3" s="20">
        <f>IF(Simulation!NA3&lt;Obligors!$I$3,1,0)</f>
        <v/>
      </c>
      <c r="NB3" s="20">
        <f>IF(Simulation!NB3&lt;Obligors!$I$3,1,0)</f>
        <v/>
      </c>
      <c r="NC3" s="20">
        <f>IF(Simulation!NC3&lt;Obligors!$I$3,1,0)</f>
        <v/>
      </c>
      <c r="ND3" s="20">
        <f>IF(Simulation!ND3&lt;Obligors!$I$3,1,0)</f>
        <v/>
      </c>
      <c r="NE3" s="20">
        <f>IF(Simulation!NE3&lt;Obligors!$I$3,1,0)</f>
        <v/>
      </c>
      <c r="NF3" s="20">
        <f>IF(Simulation!NF3&lt;Obligors!$I$3,1,0)</f>
        <v/>
      </c>
      <c r="NG3" s="20">
        <f>IF(Simulation!NG3&lt;Obligors!$I$3,1,0)</f>
        <v/>
      </c>
      <c r="NH3" s="20">
        <f>IF(Simulation!NH3&lt;Obligors!$I$3,1,0)</f>
        <v/>
      </c>
      <c r="NI3" s="20">
        <f>IF(Simulation!NI3&lt;Obligors!$I$3,1,0)</f>
        <v/>
      </c>
      <c r="NJ3" s="20">
        <f>IF(Simulation!NJ3&lt;Obligors!$I$3,1,0)</f>
        <v/>
      </c>
      <c r="NK3" s="20">
        <f>IF(Simulation!NK3&lt;Obligors!$I$3,1,0)</f>
        <v/>
      </c>
      <c r="NL3" s="20">
        <f>IF(Simulation!NL3&lt;Obligors!$I$3,1,0)</f>
        <v/>
      </c>
      <c r="NM3" s="20">
        <f>IF(Simulation!NM3&lt;Obligors!$I$3,1,0)</f>
        <v/>
      </c>
      <c r="NN3" s="20">
        <f>IF(Simulation!NN3&lt;Obligors!$I$3,1,0)</f>
        <v/>
      </c>
      <c r="NO3" s="20">
        <f>IF(Simulation!NO3&lt;Obligors!$I$3,1,0)</f>
        <v/>
      </c>
      <c r="NP3" s="20">
        <f>IF(Simulation!NP3&lt;Obligors!$I$3,1,0)</f>
        <v/>
      </c>
      <c r="NQ3" s="20">
        <f>IF(Simulation!NQ3&lt;Obligors!$I$3,1,0)</f>
        <v/>
      </c>
      <c r="NR3" s="20">
        <f>IF(Simulation!NR3&lt;Obligors!$I$3,1,0)</f>
        <v/>
      </c>
      <c r="NS3" s="20">
        <f>IF(Simulation!NS3&lt;Obligors!$I$3,1,0)</f>
        <v/>
      </c>
      <c r="NT3" s="20">
        <f>IF(Simulation!NT3&lt;Obligors!$I$3,1,0)</f>
        <v/>
      </c>
      <c r="NU3" s="20">
        <f>IF(Simulation!NU3&lt;Obligors!$I$3,1,0)</f>
        <v/>
      </c>
      <c r="NV3" s="20">
        <f>IF(Simulation!NV3&lt;Obligors!$I$3,1,0)</f>
        <v/>
      </c>
      <c r="NW3" s="20">
        <f>IF(Simulation!NW3&lt;Obligors!$I$3,1,0)</f>
        <v/>
      </c>
      <c r="NX3" s="20">
        <f>IF(Simulation!NX3&lt;Obligors!$I$3,1,0)</f>
        <v/>
      </c>
      <c r="NY3" s="20">
        <f>IF(Simulation!NY3&lt;Obligors!$I$3,1,0)</f>
        <v/>
      </c>
      <c r="NZ3" s="20">
        <f>IF(Simulation!NZ3&lt;Obligors!$I$3,1,0)</f>
        <v/>
      </c>
      <c r="OA3" s="20">
        <f>IF(Simulation!OA3&lt;Obligors!$I$3,1,0)</f>
        <v/>
      </c>
      <c r="OB3" s="20">
        <f>IF(Simulation!OB3&lt;Obligors!$I$3,1,0)</f>
        <v/>
      </c>
      <c r="OC3" s="20">
        <f>IF(Simulation!OC3&lt;Obligors!$I$3,1,0)</f>
        <v/>
      </c>
      <c r="OD3" s="20">
        <f>IF(Simulation!OD3&lt;Obligors!$I$3,1,0)</f>
        <v/>
      </c>
      <c r="OE3" s="20">
        <f>IF(Simulation!OE3&lt;Obligors!$I$3,1,0)</f>
        <v/>
      </c>
      <c r="OF3" s="20">
        <f>IF(Simulation!OF3&lt;Obligors!$I$3,1,0)</f>
        <v/>
      </c>
      <c r="OG3" s="20">
        <f>IF(Simulation!OG3&lt;Obligors!$I$3,1,0)</f>
        <v/>
      </c>
      <c r="OH3" s="20">
        <f>IF(Simulation!OH3&lt;Obligors!$I$3,1,0)</f>
        <v/>
      </c>
      <c r="OI3" s="20">
        <f>IF(Simulation!OI3&lt;Obligors!$I$3,1,0)</f>
        <v/>
      </c>
      <c r="OJ3" s="20">
        <f>IF(Simulation!OJ3&lt;Obligors!$I$3,1,0)</f>
        <v/>
      </c>
      <c r="OK3" s="20">
        <f>IF(Simulation!OK3&lt;Obligors!$I$3,1,0)</f>
        <v/>
      </c>
      <c r="OL3" s="20">
        <f>IF(Simulation!OL3&lt;Obligors!$I$3,1,0)</f>
        <v/>
      </c>
      <c r="OM3" s="20">
        <f>IF(Simulation!OM3&lt;Obligors!$I$3,1,0)</f>
        <v/>
      </c>
      <c r="ON3" s="20">
        <f>IF(Simulation!ON3&lt;Obligors!$I$3,1,0)</f>
        <v/>
      </c>
      <c r="OO3" s="20">
        <f>IF(Simulation!OO3&lt;Obligors!$I$3,1,0)</f>
        <v/>
      </c>
      <c r="OP3" s="20">
        <f>IF(Simulation!OP3&lt;Obligors!$I$3,1,0)</f>
        <v/>
      </c>
      <c r="OQ3" s="20">
        <f>IF(Simulation!OQ3&lt;Obligors!$I$3,1,0)</f>
        <v/>
      </c>
      <c r="OR3" s="20">
        <f>IF(Simulation!OR3&lt;Obligors!$I$3,1,0)</f>
        <v/>
      </c>
      <c r="OS3" s="20">
        <f>IF(Simulation!OS3&lt;Obligors!$I$3,1,0)</f>
        <v/>
      </c>
      <c r="OT3" s="20">
        <f>IF(Simulation!OT3&lt;Obligors!$I$3,1,0)</f>
        <v/>
      </c>
      <c r="OU3" s="20">
        <f>IF(Simulation!OU3&lt;Obligors!$I$3,1,0)</f>
        <v/>
      </c>
      <c r="OV3" s="20">
        <f>IF(Simulation!OV3&lt;Obligors!$I$3,1,0)</f>
        <v/>
      </c>
      <c r="OW3" s="20">
        <f>IF(Simulation!OW3&lt;Obligors!$I$3,1,0)</f>
        <v/>
      </c>
      <c r="OX3" s="20">
        <f>IF(Simulation!OX3&lt;Obligors!$I$3,1,0)</f>
        <v/>
      </c>
      <c r="OY3" s="20">
        <f>IF(Simulation!OY3&lt;Obligors!$I$3,1,0)</f>
        <v/>
      </c>
      <c r="OZ3" s="20">
        <f>IF(Simulation!OZ3&lt;Obligors!$I$3,1,0)</f>
        <v/>
      </c>
      <c r="PA3" s="20">
        <f>IF(Simulation!PA3&lt;Obligors!$I$3,1,0)</f>
        <v/>
      </c>
      <c r="PB3" s="20">
        <f>IF(Simulation!PB3&lt;Obligors!$I$3,1,0)</f>
        <v/>
      </c>
      <c r="PC3" s="20">
        <f>IF(Simulation!PC3&lt;Obligors!$I$3,1,0)</f>
        <v/>
      </c>
      <c r="PD3" s="20">
        <f>IF(Simulation!PD3&lt;Obligors!$I$3,1,0)</f>
        <v/>
      </c>
      <c r="PE3" s="20">
        <f>IF(Simulation!PE3&lt;Obligors!$I$3,1,0)</f>
        <v/>
      </c>
      <c r="PF3" s="20">
        <f>IF(Simulation!PF3&lt;Obligors!$I$3,1,0)</f>
        <v/>
      </c>
      <c r="PG3" s="20">
        <f>IF(Simulation!PG3&lt;Obligors!$I$3,1,0)</f>
        <v/>
      </c>
      <c r="PH3" s="20">
        <f>IF(Simulation!PH3&lt;Obligors!$I$3,1,0)</f>
        <v/>
      </c>
      <c r="PI3" s="20">
        <f>IF(Simulation!PI3&lt;Obligors!$I$3,1,0)</f>
        <v/>
      </c>
      <c r="PJ3" s="20">
        <f>IF(Simulation!PJ3&lt;Obligors!$I$3,1,0)</f>
        <v/>
      </c>
      <c r="PK3" s="20">
        <f>IF(Simulation!PK3&lt;Obligors!$I$3,1,0)</f>
        <v/>
      </c>
      <c r="PL3" s="20">
        <f>IF(Simulation!PL3&lt;Obligors!$I$3,1,0)</f>
        <v/>
      </c>
      <c r="PM3" s="20">
        <f>IF(Simulation!PM3&lt;Obligors!$I$3,1,0)</f>
        <v/>
      </c>
      <c r="PN3" s="20">
        <f>IF(Simulation!PN3&lt;Obligors!$I$3,1,0)</f>
        <v/>
      </c>
      <c r="PO3" s="20">
        <f>IF(Simulation!PO3&lt;Obligors!$I$3,1,0)</f>
        <v/>
      </c>
      <c r="PP3" s="20">
        <f>IF(Simulation!PP3&lt;Obligors!$I$3,1,0)</f>
        <v/>
      </c>
      <c r="PQ3" s="20">
        <f>IF(Simulation!PQ3&lt;Obligors!$I$3,1,0)</f>
        <v/>
      </c>
      <c r="PR3" s="20">
        <f>IF(Simulation!PR3&lt;Obligors!$I$3,1,0)</f>
        <v/>
      </c>
      <c r="PS3" s="20">
        <f>IF(Simulation!PS3&lt;Obligors!$I$3,1,0)</f>
        <v/>
      </c>
      <c r="PT3" s="20">
        <f>IF(Simulation!PT3&lt;Obligors!$I$3,1,0)</f>
        <v/>
      </c>
      <c r="PU3" s="20">
        <f>IF(Simulation!PU3&lt;Obligors!$I$3,1,0)</f>
        <v/>
      </c>
      <c r="PV3" s="20">
        <f>IF(Simulation!PV3&lt;Obligors!$I$3,1,0)</f>
        <v/>
      </c>
      <c r="PW3" s="20">
        <f>IF(Simulation!PW3&lt;Obligors!$I$3,1,0)</f>
        <v/>
      </c>
      <c r="PX3" s="20">
        <f>IF(Simulation!PX3&lt;Obligors!$I$3,1,0)</f>
        <v/>
      </c>
      <c r="PY3" s="20">
        <f>IF(Simulation!PY3&lt;Obligors!$I$3,1,0)</f>
        <v/>
      </c>
      <c r="PZ3" s="20">
        <f>IF(Simulation!PZ3&lt;Obligors!$I$3,1,0)</f>
        <v/>
      </c>
      <c r="QA3" s="20">
        <f>IF(Simulation!QA3&lt;Obligors!$I$3,1,0)</f>
        <v/>
      </c>
      <c r="QB3" s="20">
        <f>IF(Simulation!QB3&lt;Obligors!$I$3,1,0)</f>
        <v/>
      </c>
      <c r="QC3" s="20">
        <f>IF(Simulation!QC3&lt;Obligors!$I$3,1,0)</f>
        <v/>
      </c>
      <c r="QD3" s="20">
        <f>IF(Simulation!QD3&lt;Obligors!$I$3,1,0)</f>
        <v/>
      </c>
      <c r="QE3" s="20">
        <f>IF(Simulation!QE3&lt;Obligors!$I$3,1,0)</f>
        <v/>
      </c>
      <c r="QF3" s="20">
        <f>IF(Simulation!QF3&lt;Obligors!$I$3,1,0)</f>
        <v/>
      </c>
      <c r="QG3" s="20">
        <f>IF(Simulation!QG3&lt;Obligors!$I$3,1,0)</f>
        <v/>
      </c>
      <c r="QH3" s="20">
        <f>IF(Simulation!QH3&lt;Obligors!$I$3,1,0)</f>
        <v/>
      </c>
      <c r="QI3" s="20">
        <f>IF(Simulation!QI3&lt;Obligors!$I$3,1,0)</f>
        <v/>
      </c>
      <c r="QJ3" s="20">
        <f>IF(Simulation!QJ3&lt;Obligors!$I$3,1,0)</f>
        <v/>
      </c>
      <c r="QK3" s="20">
        <f>IF(Simulation!QK3&lt;Obligors!$I$3,1,0)</f>
        <v/>
      </c>
      <c r="QL3" s="20">
        <f>IF(Simulation!QL3&lt;Obligors!$I$3,1,0)</f>
        <v/>
      </c>
      <c r="QM3" s="20">
        <f>IF(Simulation!QM3&lt;Obligors!$I$3,1,0)</f>
        <v/>
      </c>
      <c r="QN3" s="20">
        <f>IF(Simulation!QN3&lt;Obligors!$I$3,1,0)</f>
        <v/>
      </c>
      <c r="QO3" s="20">
        <f>IF(Simulation!QO3&lt;Obligors!$I$3,1,0)</f>
        <v/>
      </c>
      <c r="QP3" s="20">
        <f>IF(Simulation!QP3&lt;Obligors!$I$3,1,0)</f>
        <v/>
      </c>
      <c r="QQ3" s="20">
        <f>IF(Simulation!QQ3&lt;Obligors!$I$3,1,0)</f>
        <v/>
      </c>
      <c r="QR3" s="20">
        <f>IF(Simulation!QR3&lt;Obligors!$I$3,1,0)</f>
        <v/>
      </c>
      <c r="QS3" s="20">
        <f>IF(Simulation!QS3&lt;Obligors!$I$3,1,0)</f>
        <v/>
      </c>
      <c r="QT3" s="20">
        <f>IF(Simulation!QT3&lt;Obligors!$I$3,1,0)</f>
        <v/>
      </c>
      <c r="QU3" s="20">
        <f>IF(Simulation!QU3&lt;Obligors!$I$3,1,0)</f>
        <v/>
      </c>
      <c r="QV3" s="20">
        <f>IF(Simulation!QV3&lt;Obligors!$I$3,1,0)</f>
        <v/>
      </c>
      <c r="QW3" s="20">
        <f>IF(Simulation!QW3&lt;Obligors!$I$3,1,0)</f>
        <v/>
      </c>
      <c r="QX3" s="20">
        <f>IF(Simulation!QX3&lt;Obligors!$I$3,1,0)</f>
        <v/>
      </c>
      <c r="QY3" s="20">
        <f>IF(Simulation!QY3&lt;Obligors!$I$3,1,0)</f>
        <v/>
      </c>
      <c r="QZ3" s="20">
        <f>IF(Simulation!QZ3&lt;Obligors!$I$3,1,0)</f>
        <v/>
      </c>
      <c r="RA3" s="20">
        <f>IF(Simulation!RA3&lt;Obligors!$I$3,1,0)</f>
        <v/>
      </c>
      <c r="RB3" s="20">
        <f>IF(Simulation!RB3&lt;Obligors!$I$3,1,0)</f>
        <v/>
      </c>
      <c r="RC3" s="20">
        <f>IF(Simulation!RC3&lt;Obligors!$I$3,1,0)</f>
        <v/>
      </c>
      <c r="RD3" s="20">
        <f>IF(Simulation!RD3&lt;Obligors!$I$3,1,0)</f>
        <v/>
      </c>
      <c r="RE3" s="20">
        <f>IF(Simulation!RE3&lt;Obligors!$I$3,1,0)</f>
        <v/>
      </c>
      <c r="RF3" s="20">
        <f>IF(Simulation!RF3&lt;Obligors!$I$3,1,0)</f>
        <v/>
      </c>
      <c r="RG3" s="20">
        <f>IF(Simulation!RG3&lt;Obligors!$I$3,1,0)</f>
        <v/>
      </c>
      <c r="RH3" s="20">
        <f>IF(Simulation!RH3&lt;Obligors!$I$3,1,0)</f>
        <v/>
      </c>
      <c r="RI3" s="20">
        <f>IF(Simulation!RI3&lt;Obligors!$I$3,1,0)</f>
        <v/>
      </c>
      <c r="RJ3" s="20">
        <f>IF(Simulation!RJ3&lt;Obligors!$I$3,1,0)</f>
        <v/>
      </c>
      <c r="RK3" s="20">
        <f>IF(Simulation!RK3&lt;Obligors!$I$3,1,0)</f>
        <v/>
      </c>
      <c r="RL3" s="20">
        <f>IF(Simulation!RL3&lt;Obligors!$I$3,1,0)</f>
        <v/>
      </c>
      <c r="RM3" s="20">
        <f>IF(Simulation!RM3&lt;Obligors!$I$3,1,0)</f>
        <v/>
      </c>
      <c r="RN3" s="20">
        <f>IF(Simulation!RN3&lt;Obligors!$I$3,1,0)</f>
        <v/>
      </c>
      <c r="RO3" s="20">
        <f>IF(Simulation!RO3&lt;Obligors!$I$3,1,0)</f>
        <v/>
      </c>
      <c r="RP3" s="20">
        <f>IF(Simulation!RP3&lt;Obligors!$I$3,1,0)</f>
        <v/>
      </c>
      <c r="RQ3" s="20">
        <f>IF(Simulation!RQ3&lt;Obligors!$I$3,1,0)</f>
        <v/>
      </c>
      <c r="RR3" s="20">
        <f>IF(Simulation!RR3&lt;Obligors!$I$3,1,0)</f>
        <v/>
      </c>
      <c r="RS3" s="20">
        <f>IF(Simulation!RS3&lt;Obligors!$I$3,1,0)</f>
        <v/>
      </c>
      <c r="RT3" s="20">
        <f>IF(Simulation!RT3&lt;Obligors!$I$3,1,0)</f>
        <v/>
      </c>
      <c r="RU3" s="20">
        <f>IF(Simulation!RU3&lt;Obligors!$I$3,1,0)</f>
        <v/>
      </c>
      <c r="RV3" s="20">
        <f>IF(Simulation!RV3&lt;Obligors!$I$3,1,0)</f>
        <v/>
      </c>
      <c r="RW3" s="20">
        <f>IF(Simulation!RW3&lt;Obligors!$I$3,1,0)</f>
        <v/>
      </c>
      <c r="RX3" s="20">
        <f>IF(Simulation!RX3&lt;Obligors!$I$3,1,0)</f>
        <v/>
      </c>
      <c r="RY3" s="20">
        <f>IF(Simulation!RY3&lt;Obligors!$I$3,1,0)</f>
        <v/>
      </c>
      <c r="RZ3" s="20">
        <f>IF(Simulation!RZ3&lt;Obligors!$I$3,1,0)</f>
        <v/>
      </c>
      <c r="SA3" s="20">
        <f>IF(Simulation!SA3&lt;Obligors!$I$3,1,0)</f>
        <v/>
      </c>
      <c r="SB3" s="20">
        <f>IF(Simulation!SB3&lt;Obligors!$I$3,1,0)</f>
        <v/>
      </c>
      <c r="SC3" s="20">
        <f>IF(Simulation!SC3&lt;Obligors!$I$3,1,0)</f>
        <v/>
      </c>
      <c r="SD3" s="20">
        <f>IF(Simulation!SD3&lt;Obligors!$I$3,1,0)</f>
        <v/>
      </c>
      <c r="SE3" s="20">
        <f>IF(Simulation!SE3&lt;Obligors!$I$3,1,0)</f>
        <v/>
      </c>
      <c r="SF3" s="20">
        <f>IF(Simulation!SF3&lt;Obligors!$I$3,1,0)</f>
        <v/>
      </c>
      <c r="SG3" s="20">
        <f>IF(Simulation!SG3&lt;Obligors!$I$3,1,0)</f>
        <v/>
      </c>
    </row>
    <row r="4">
      <c r="A4" s="17" t="inlineStr">
        <is>
          <t>OBL-003</t>
        </is>
      </c>
      <c r="B4" s="20">
        <f>IF(Simulation!B4&lt;Obligors!$I$4,1,0)</f>
        <v/>
      </c>
      <c r="C4" s="20">
        <f>IF(Simulation!C4&lt;Obligors!$I$4,1,0)</f>
        <v/>
      </c>
      <c r="D4" s="20">
        <f>IF(Simulation!D4&lt;Obligors!$I$4,1,0)</f>
        <v/>
      </c>
      <c r="E4" s="20">
        <f>IF(Simulation!E4&lt;Obligors!$I$4,1,0)</f>
        <v/>
      </c>
      <c r="F4" s="20">
        <f>IF(Simulation!F4&lt;Obligors!$I$4,1,0)</f>
        <v/>
      </c>
      <c r="G4" s="20">
        <f>IF(Simulation!G4&lt;Obligors!$I$4,1,0)</f>
        <v/>
      </c>
      <c r="H4" s="20">
        <f>IF(Simulation!H4&lt;Obligors!$I$4,1,0)</f>
        <v/>
      </c>
      <c r="I4" s="20">
        <f>IF(Simulation!I4&lt;Obligors!$I$4,1,0)</f>
        <v/>
      </c>
      <c r="J4" s="20">
        <f>IF(Simulation!J4&lt;Obligors!$I$4,1,0)</f>
        <v/>
      </c>
      <c r="K4" s="20">
        <f>IF(Simulation!K4&lt;Obligors!$I$4,1,0)</f>
        <v/>
      </c>
      <c r="L4" s="20">
        <f>IF(Simulation!L4&lt;Obligors!$I$4,1,0)</f>
        <v/>
      </c>
      <c r="M4" s="20">
        <f>IF(Simulation!M4&lt;Obligors!$I$4,1,0)</f>
        <v/>
      </c>
      <c r="N4" s="20">
        <f>IF(Simulation!N4&lt;Obligors!$I$4,1,0)</f>
        <v/>
      </c>
      <c r="O4" s="20">
        <f>IF(Simulation!O4&lt;Obligors!$I$4,1,0)</f>
        <v/>
      </c>
      <c r="P4" s="20">
        <f>IF(Simulation!P4&lt;Obligors!$I$4,1,0)</f>
        <v/>
      </c>
      <c r="Q4" s="20">
        <f>IF(Simulation!Q4&lt;Obligors!$I$4,1,0)</f>
        <v/>
      </c>
      <c r="R4" s="20">
        <f>IF(Simulation!R4&lt;Obligors!$I$4,1,0)</f>
        <v/>
      </c>
      <c r="S4" s="20">
        <f>IF(Simulation!S4&lt;Obligors!$I$4,1,0)</f>
        <v/>
      </c>
      <c r="T4" s="20">
        <f>IF(Simulation!T4&lt;Obligors!$I$4,1,0)</f>
        <v/>
      </c>
      <c r="U4" s="20">
        <f>IF(Simulation!U4&lt;Obligors!$I$4,1,0)</f>
        <v/>
      </c>
      <c r="V4" s="20">
        <f>IF(Simulation!V4&lt;Obligors!$I$4,1,0)</f>
        <v/>
      </c>
      <c r="W4" s="20">
        <f>IF(Simulation!W4&lt;Obligors!$I$4,1,0)</f>
        <v/>
      </c>
      <c r="X4" s="20">
        <f>IF(Simulation!X4&lt;Obligors!$I$4,1,0)</f>
        <v/>
      </c>
      <c r="Y4" s="20">
        <f>IF(Simulation!Y4&lt;Obligors!$I$4,1,0)</f>
        <v/>
      </c>
      <c r="Z4" s="20">
        <f>IF(Simulation!Z4&lt;Obligors!$I$4,1,0)</f>
        <v/>
      </c>
      <c r="AA4" s="20">
        <f>IF(Simulation!AA4&lt;Obligors!$I$4,1,0)</f>
        <v/>
      </c>
      <c r="AB4" s="20">
        <f>IF(Simulation!AB4&lt;Obligors!$I$4,1,0)</f>
        <v/>
      </c>
      <c r="AC4" s="20">
        <f>IF(Simulation!AC4&lt;Obligors!$I$4,1,0)</f>
        <v/>
      </c>
      <c r="AD4" s="20">
        <f>IF(Simulation!AD4&lt;Obligors!$I$4,1,0)</f>
        <v/>
      </c>
      <c r="AE4" s="20">
        <f>IF(Simulation!AE4&lt;Obligors!$I$4,1,0)</f>
        <v/>
      </c>
      <c r="AF4" s="20">
        <f>IF(Simulation!AF4&lt;Obligors!$I$4,1,0)</f>
        <v/>
      </c>
      <c r="AG4" s="20">
        <f>IF(Simulation!AG4&lt;Obligors!$I$4,1,0)</f>
        <v/>
      </c>
      <c r="AH4" s="20">
        <f>IF(Simulation!AH4&lt;Obligors!$I$4,1,0)</f>
        <v/>
      </c>
      <c r="AI4" s="20">
        <f>IF(Simulation!AI4&lt;Obligors!$I$4,1,0)</f>
        <v/>
      </c>
      <c r="AJ4" s="20">
        <f>IF(Simulation!AJ4&lt;Obligors!$I$4,1,0)</f>
        <v/>
      </c>
      <c r="AK4" s="20">
        <f>IF(Simulation!AK4&lt;Obligors!$I$4,1,0)</f>
        <v/>
      </c>
      <c r="AL4" s="20">
        <f>IF(Simulation!AL4&lt;Obligors!$I$4,1,0)</f>
        <v/>
      </c>
      <c r="AM4" s="20">
        <f>IF(Simulation!AM4&lt;Obligors!$I$4,1,0)</f>
        <v/>
      </c>
      <c r="AN4" s="20">
        <f>IF(Simulation!AN4&lt;Obligors!$I$4,1,0)</f>
        <v/>
      </c>
      <c r="AO4" s="20">
        <f>IF(Simulation!AO4&lt;Obligors!$I$4,1,0)</f>
        <v/>
      </c>
      <c r="AP4" s="20">
        <f>IF(Simulation!AP4&lt;Obligors!$I$4,1,0)</f>
        <v/>
      </c>
      <c r="AQ4" s="20">
        <f>IF(Simulation!AQ4&lt;Obligors!$I$4,1,0)</f>
        <v/>
      </c>
      <c r="AR4" s="20">
        <f>IF(Simulation!AR4&lt;Obligors!$I$4,1,0)</f>
        <v/>
      </c>
      <c r="AS4" s="20">
        <f>IF(Simulation!AS4&lt;Obligors!$I$4,1,0)</f>
        <v/>
      </c>
      <c r="AT4" s="20">
        <f>IF(Simulation!AT4&lt;Obligors!$I$4,1,0)</f>
        <v/>
      </c>
      <c r="AU4" s="20">
        <f>IF(Simulation!AU4&lt;Obligors!$I$4,1,0)</f>
        <v/>
      </c>
      <c r="AV4" s="20">
        <f>IF(Simulation!AV4&lt;Obligors!$I$4,1,0)</f>
        <v/>
      </c>
      <c r="AW4" s="20">
        <f>IF(Simulation!AW4&lt;Obligors!$I$4,1,0)</f>
        <v/>
      </c>
      <c r="AX4" s="20">
        <f>IF(Simulation!AX4&lt;Obligors!$I$4,1,0)</f>
        <v/>
      </c>
      <c r="AY4" s="20">
        <f>IF(Simulation!AY4&lt;Obligors!$I$4,1,0)</f>
        <v/>
      </c>
      <c r="AZ4" s="20">
        <f>IF(Simulation!AZ4&lt;Obligors!$I$4,1,0)</f>
        <v/>
      </c>
      <c r="BA4" s="20">
        <f>IF(Simulation!BA4&lt;Obligors!$I$4,1,0)</f>
        <v/>
      </c>
      <c r="BB4" s="20">
        <f>IF(Simulation!BB4&lt;Obligors!$I$4,1,0)</f>
        <v/>
      </c>
      <c r="BC4" s="20">
        <f>IF(Simulation!BC4&lt;Obligors!$I$4,1,0)</f>
        <v/>
      </c>
      <c r="BD4" s="20">
        <f>IF(Simulation!BD4&lt;Obligors!$I$4,1,0)</f>
        <v/>
      </c>
      <c r="BE4" s="20">
        <f>IF(Simulation!BE4&lt;Obligors!$I$4,1,0)</f>
        <v/>
      </c>
      <c r="BF4" s="20">
        <f>IF(Simulation!BF4&lt;Obligors!$I$4,1,0)</f>
        <v/>
      </c>
      <c r="BG4" s="20">
        <f>IF(Simulation!BG4&lt;Obligors!$I$4,1,0)</f>
        <v/>
      </c>
      <c r="BH4" s="20">
        <f>IF(Simulation!BH4&lt;Obligors!$I$4,1,0)</f>
        <v/>
      </c>
      <c r="BI4" s="20">
        <f>IF(Simulation!BI4&lt;Obligors!$I$4,1,0)</f>
        <v/>
      </c>
      <c r="BJ4" s="20">
        <f>IF(Simulation!BJ4&lt;Obligors!$I$4,1,0)</f>
        <v/>
      </c>
      <c r="BK4" s="20">
        <f>IF(Simulation!BK4&lt;Obligors!$I$4,1,0)</f>
        <v/>
      </c>
      <c r="BL4" s="20">
        <f>IF(Simulation!BL4&lt;Obligors!$I$4,1,0)</f>
        <v/>
      </c>
      <c r="BM4" s="20">
        <f>IF(Simulation!BM4&lt;Obligors!$I$4,1,0)</f>
        <v/>
      </c>
      <c r="BN4" s="20">
        <f>IF(Simulation!BN4&lt;Obligors!$I$4,1,0)</f>
        <v/>
      </c>
      <c r="BO4" s="20">
        <f>IF(Simulation!BO4&lt;Obligors!$I$4,1,0)</f>
        <v/>
      </c>
      <c r="BP4" s="20">
        <f>IF(Simulation!BP4&lt;Obligors!$I$4,1,0)</f>
        <v/>
      </c>
      <c r="BQ4" s="20">
        <f>IF(Simulation!BQ4&lt;Obligors!$I$4,1,0)</f>
        <v/>
      </c>
      <c r="BR4" s="20">
        <f>IF(Simulation!BR4&lt;Obligors!$I$4,1,0)</f>
        <v/>
      </c>
      <c r="BS4" s="20">
        <f>IF(Simulation!BS4&lt;Obligors!$I$4,1,0)</f>
        <v/>
      </c>
      <c r="BT4" s="20">
        <f>IF(Simulation!BT4&lt;Obligors!$I$4,1,0)</f>
        <v/>
      </c>
      <c r="BU4" s="20">
        <f>IF(Simulation!BU4&lt;Obligors!$I$4,1,0)</f>
        <v/>
      </c>
      <c r="BV4" s="20">
        <f>IF(Simulation!BV4&lt;Obligors!$I$4,1,0)</f>
        <v/>
      </c>
      <c r="BW4" s="20">
        <f>IF(Simulation!BW4&lt;Obligors!$I$4,1,0)</f>
        <v/>
      </c>
      <c r="BX4" s="20">
        <f>IF(Simulation!BX4&lt;Obligors!$I$4,1,0)</f>
        <v/>
      </c>
      <c r="BY4" s="20">
        <f>IF(Simulation!BY4&lt;Obligors!$I$4,1,0)</f>
        <v/>
      </c>
      <c r="BZ4" s="20">
        <f>IF(Simulation!BZ4&lt;Obligors!$I$4,1,0)</f>
        <v/>
      </c>
      <c r="CA4" s="20">
        <f>IF(Simulation!CA4&lt;Obligors!$I$4,1,0)</f>
        <v/>
      </c>
      <c r="CB4" s="20">
        <f>IF(Simulation!CB4&lt;Obligors!$I$4,1,0)</f>
        <v/>
      </c>
      <c r="CC4" s="20">
        <f>IF(Simulation!CC4&lt;Obligors!$I$4,1,0)</f>
        <v/>
      </c>
      <c r="CD4" s="20">
        <f>IF(Simulation!CD4&lt;Obligors!$I$4,1,0)</f>
        <v/>
      </c>
      <c r="CE4" s="20">
        <f>IF(Simulation!CE4&lt;Obligors!$I$4,1,0)</f>
        <v/>
      </c>
      <c r="CF4" s="20">
        <f>IF(Simulation!CF4&lt;Obligors!$I$4,1,0)</f>
        <v/>
      </c>
      <c r="CG4" s="20">
        <f>IF(Simulation!CG4&lt;Obligors!$I$4,1,0)</f>
        <v/>
      </c>
      <c r="CH4" s="20">
        <f>IF(Simulation!CH4&lt;Obligors!$I$4,1,0)</f>
        <v/>
      </c>
      <c r="CI4" s="20">
        <f>IF(Simulation!CI4&lt;Obligors!$I$4,1,0)</f>
        <v/>
      </c>
      <c r="CJ4" s="20">
        <f>IF(Simulation!CJ4&lt;Obligors!$I$4,1,0)</f>
        <v/>
      </c>
      <c r="CK4" s="20">
        <f>IF(Simulation!CK4&lt;Obligors!$I$4,1,0)</f>
        <v/>
      </c>
      <c r="CL4" s="20">
        <f>IF(Simulation!CL4&lt;Obligors!$I$4,1,0)</f>
        <v/>
      </c>
      <c r="CM4" s="20">
        <f>IF(Simulation!CM4&lt;Obligors!$I$4,1,0)</f>
        <v/>
      </c>
      <c r="CN4" s="20">
        <f>IF(Simulation!CN4&lt;Obligors!$I$4,1,0)</f>
        <v/>
      </c>
      <c r="CO4" s="20">
        <f>IF(Simulation!CO4&lt;Obligors!$I$4,1,0)</f>
        <v/>
      </c>
      <c r="CP4" s="20">
        <f>IF(Simulation!CP4&lt;Obligors!$I$4,1,0)</f>
        <v/>
      </c>
      <c r="CQ4" s="20">
        <f>IF(Simulation!CQ4&lt;Obligors!$I$4,1,0)</f>
        <v/>
      </c>
      <c r="CR4" s="20">
        <f>IF(Simulation!CR4&lt;Obligors!$I$4,1,0)</f>
        <v/>
      </c>
      <c r="CS4" s="20">
        <f>IF(Simulation!CS4&lt;Obligors!$I$4,1,0)</f>
        <v/>
      </c>
      <c r="CT4" s="20">
        <f>IF(Simulation!CT4&lt;Obligors!$I$4,1,0)</f>
        <v/>
      </c>
      <c r="CU4" s="20">
        <f>IF(Simulation!CU4&lt;Obligors!$I$4,1,0)</f>
        <v/>
      </c>
      <c r="CV4" s="20">
        <f>IF(Simulation!CV4&lt;Obligors!$I$4,1,0)</f>
        <v/>
      </c>
      <c r="CW4" s="20">
        <f>IF(Simulation!CW4&lt;Obligors!$I$4,1,0)</f>
        <v/>
      </c>
      <c r="CX4" s="20">
        <f>IF(Simulation!CX4&lt;Obligors!$I$4,1,0)</f>
        <v/>
      </c>
      <c r="CY4" s="20">
        <f>IF(Simulation!CY4&lt;Obligors!$I$4,1,0)</f>
        <v/>
      </c>
      <c r="CZ4" s="20">
        <f>IF(Simulation!CZ4&lt;Obligors!$I$4,1,0)</f>
        <v/>
      </c>
      <c r="DA4" s="20">
        <f>IF(Simulation!DA4&lt;Obligors!$I$4,1,0)</f>
        <v/>
      </c>
      <c r="DB4" s="20">
        <f>IF(Simulation!DB4&lt;Obligors!$I$4,1,0)</f>
        <v/>
      </c>
      <c r="DC4" s="20">
        <f>IF(Simulation!DC4&lt;Obligors!$I$4,1,0)</f>
        <v/>
      </c>
      <c r="DD4" s="20">
        <f>IF(Simulation!DD4&lt;Obligors!$I$4,1,0)</f>
        <v/>
      </c>
      <c r="DE4" s="20">
        <f>IF(Simulation!DE4&lt;Obligors!$I$4,1,0)</f>
        <v/>
      </c>
      <c r="DF4" s="20">
        <f>IF(Simulation!DF4&lt;Obligors!$I$4,1,0)</f>
        <v/>
      </c>
      <c r="DG4" s="20">
        <f>IF(Simulation!DG4&lt;Obligors!$I$4,1,0)</f>
        <v/>
      </c>
      <c r="DH4" s="20">
        <f>IF(Simulation!DH4&lt;Obligors!$I$4,1,0)</f>
        <v/>
      </c>
      <c r="DI4" s="20">
        <f>IF(Simulation!DI4&lt;Obligors!$I$4,1,0)</f>
        <v/>
      </c>
      <c r="DJ4" s="20">
        <f>IF(Simulation!DJ4&lt;Obligors!$I$4,1,0)</f>
        <v/>
      </c>
      <c r="DK4" s="20">
        <f>IF(Simulation!DK4&lt;Obligors!$I$4,1,0)</f>
        <v/>
      </c>
      <c r="DL4" s="20">
        <f>IF(Simulation!DL4&lt;Obligors!$I$4,1,0)</f>
        <v/>
      </c>
      <c r="DM4" s="20">
        <f>IF(Simulation!DM4&lt;Obligors!$I$4,1,0)</f>
        <v/>
      </c>
      <c r="DN4" s="20">
        <f>IF(Simulation!DN4&lt;Obligors!$I$4,1,0)</f>
        <v/>
      </c>
      <c r="DO4" s="20">
        <f>IF(Simulation!DO4&lt;Obligors!$I$4,1,0)</f>
        <v/>
      </c>
      <c r="DP4" s="20">
        <f>IF(Simulation!DP4&lt;Obligors!$I$4,1,0)</f>
        <v/>
      </c>
      <c r="DQ4" s="20">
        <f>IF(Simulation!DQ4&lt;Obligors!$I$4,1,0)</f>
        <v/>
      </c>
      <c r="DR4" s="20">
        <f>IF(Simulation!DR4&lt;Obligors!$I$4,1,0)</f>
        <v/>
      </c>
      <c r="DS4" s="20">
        <f>IF(Simulation!DS4&lt;Obligors!$I$4,1,0)</f>
        <v/>
      </c>
      <c r="DT4" s="20">
        <f>IF(Simulation!DT4&lt;Obligors!$I$4,1,0)</f>
        <v/>
      </c>
      <c r="DU4" s="20">
        <f>IF(Simulation!DU4&lt;Obligors!$I$4,1,0)</f>
        <v/>
      </c>
      <c r="DV4" s="20">
        <f>IF(Simulation!DV4&lt;Obligors!$I$4,1,0)</f>
        <v/>
      </c>
      <c r="DW4" s="20">
        <f>IF(Simulation!DW4&lt;Obligors!$I$4,1,0)</f>
        <v/>
      </c>
      <c r="DX4" s="20">
        <f>IF(Simulation!DX4&lt;Obligors!$I$4,1,0)</f>
        <v/>
      </c>
      <c r="DY4" s="20">
        <f>IF(Simulation!DY4&lt;Obligors!$I$4,1,0)</f>
        <v/>
      </c>
      <c r="DZ4" s="20">
        <f>IF(Simulation!DZ4&lt;Obligors!$I$4,1,0)</f>
        <v/>
      </c>
      <c r="EA4" s="20">
        <f>IF(Simulation!EA4&lt;Obligors!$I$4,1,0)</f>
        <v/>
      </c>
      <c r="EB4" s="20">
        <f>IF(Simulation!EB4&lt;Obligors!$I$4,1,0)</f>
        <v/>
      </c>
      <c r="EC4" s="20">
        <f>IF(Simulation!EC4&lt;Obligors!$I$4,1,0)</f>
        <v/>
      </c>
      <c r="ED4" s="20">
        <f>IF(Simulation!ED4&lt;Obligors!$I$4,1,0)</f>
        <v/>
      </c>
      <c r="EE4" s="20">
        <f>IF(Simulation!EE4&lt;Obligors!$I$4,1,0)</f>
        <v/>
      </c>
      <c r="EF4" s="20">
        <f>IF(Simulation!EF4&lt;Obligors!$I$4,1,0)</f>
        <v/>
      </c>
      <c r="EG4" s="20">
        <f>IF(Simulation!EG4&lt;Obligors!$I$4,1,0)</f>
        <v/>
      </c>
      <c r="EH4" s="20">
        <f>IF(Simulation!EH4&lt;Obligors!$I$4,1,0)</f>
        <v/>
      </c>
      <c r="EI4" s="20">
        <f>IF(Simulation!EI4&lt;Obligors!$I$4,1,0)</f>
        <v/>
      </c>
      <c r="EJ4" s="20">
        <f>IF(Simulation!EJ4&lt;Obligors!$I$4,1,0)</f>
        <v/>
      </c>
      <c r="EK4" s="20">
        <f>IF(Simulation!EK4&lt;Obligors!$I$4,1,0)</f>
        <v/>
      </c>
      <c r="EL4" s="20">
        <f>IF(Simulation!EL4&lt;Obligors!$I$4,1,0)</f>
        <v/>
      </c>
      <c r="EM4" s="20">
        <f>IF(Simulation!EM4&lt;Obligors!$I$4,1,0)</f>
        <v/>
      </c>
      <c r="EN4" s="20">
        <f>IF(Simulation!EN4&lt;Obligors!$I$4,1,0)</f>
        <v/>
      </c>
      <c r="EO4" s="20">
        <f>IF(Simulation!EO4&lt;Obligors!$I$4,1,0)</f>
        <v/>
      </c>
      <c r="EP4" s="20">
        <f>IF(Simulation!EP4&lt;Obligors!$I$4,1,0)</f>
        <v/>
      </c>
      <c r="EQ4" s="20">
        <f>IF(Simulation!EQ4&lt;Obligors!$I$4,1,0)</f>
        <v/>
      </c>
      <c r="ER4" s="20">
        <f>IF(Simulation!ER4&lt;Obligors!$I$4,1,0)</f>
        <v/>
      </c>
      <c r="ES4" s="20">
        <f>IF(Simulation!ES4&lt;Obligors!$I$4,1,0)</f>
        <v/>
      </c>
      <c r="ET4" s="20">
        <f>IF(Simulation!ET4&lt;Obligors!$I$4,1,0)</f>
        <v/>
      </c>
      <c r="EU4" s="20">
        <f>IF(Simulation!EU4&lt;Obligors!$I$4,1,0)</f>
        <v/>
      </c>
      <c r="EV4" s="20">
        <f>IF(Simulation!EV4&lt;Obligors!$I$4,1,0)</f>
        <v/>
      </c>
      <c r="EW4" s="20">
        <f>IF(Simulation!EW4&lt;Obligors!$I$4,1,0)</f>
        <v/>
      </c>
      <c r="EX4" s="20">
        <f>IF(Simulation!EX4&lt;Obligors!$I$4,1,0)</f>
        <v/>
      </c>
      <c r="EY4" s="20">
        <f>IF(Simulation!EY4&lt;Obligors!$I$4,1,0)</f>
        <v/>
      </c>
      <c r="EZ4" s="20">
        <f>IF(Simulation!EZ4&lt;Obligors!$I$4,1,0)</f>
        <v/>
      </c>
      <c r="FA4" s="20">
        <f>IF(Simulation!FA4&lt;Obligors!$I$4,1,0)</f>
        <v/>
      </c>
      <c r="FB4" s="20">
        <f>IF(Simulation!FB4&lt;Obligors!$I$4,1,0)</f>
        <v/>
      </c>
      <c r="FC4" s="20">
        <f>IF(Simulation!FC4&lt;Obligors!$I$4,1,0)</f>
        <v/>
      </c>
      <c r="FD4" s="20">
        <f>IF(Simulation!FD4&lt;Obligors!$I$4,1,0)</f>
        <v/>
      </c>
      <c r="FE4" s="20">
        <f>IF(Simulation!FE4&lt;Obligors!$I$4,1,0)</f>
        <v/>
      </c>
      <c r="FF4" s="20">
        <f>IF(Simulation!FF4&lt;Obligors!$I$4,1,0)</f>
        <v/>
      </c>
      <c r="FG4" s="20">
        <f>IF(Simulation!FG4&lt;Obligors!$I$4,1,0)</f>
        <v/>
      </c>
      <c r="FH4" s="20">
        <f>IF(Simulation!FH4&lt;Obligors!$I$4,1,0)</f>
        <v/>
      </c>
      <c r="FI4" s="20">
        <f>IF(Simulation!FI4&lt;Obligors!$I$4,1,0)</f>
        <v/>
      </c>
      <c r="FJ4" s="20">
        <f>IF(Simulation!FJ4&lt;Obligors!$I$4,1,0)</f>
        <v/>
      </c>
      <c r="FK4" s="20">
        <f>IF(Simulation!FK4&lt;Obligors!$I$4,1,0)</f>
        <v/>
      </c>
      <c r="FL4" s="20">
        <f>IF(Simulation!FL4&lt;Obligors!$I$4,1,0)</f>
        <v/>
      </c>
      <c r="FM4" s="20">
        <f>IF(Simulation!FM4&lt;Obligors!$I$4,1,0)</f>
        <v/>
      </c>
      <c r="FN4" s="20">
        <f>IF(Simulation!FN4&lt;Obligors!$I$4,1,0)</f>
        <v/>
      </c>
      <c r="FO4" s="20">
        <f>IF(Simulation!FO4&lt;Obligors!$I$4,1,0)</f>
        <v/>
      </c>
      <c r="FP4" s="20">
        <f>IF(Simulation!FP4&lt;Obligors!$I$4,1,0)</f>
        <v/>
      </c>
      <c r="FQ4" s="20">
        <f>IF(Simulation!FQ4&lt;Obligors!$I$4,1,0)</f>
        <v/>
      </c>
      <c r="FR4" s="20">
        <f>IF(Simulation!FR4&lt;Obligors!$I$4,1,0)</f>
        <v/>
      </c>
      <c r="FS4" s="20">
        <f>IF(Simulation!FS4&lt;Obligors!$I$4,1,0)</f>
        <v/>
      </c>
      <c r="FT4" s="20">
        <f>IF(Simulation!FT4&lt;Obligors!$I$4,1,0)</f>
        <v/>
      </c>
      <c r="FU4" s="20">
        <f>IF(Simulation!FU4&lt;Obligors!$I$4,1,0)</f>
        <v/>
      </c>
      <c r="FV4" s="20">
        <f>IF(Simulation!FV4&lt;Obligors!$I$4,1,0)</f>
        <v/>
      </c>
      <c r="FW4" s="20">
        <f>IF(Simulation!FW4&lt;Obligors!$I$4,1,0)</f>
        <v/>
      </c>
      <c r="FX4" s="20">
        <f>IF(Simulation!FX4&lt;Obligors!$I$4,1,0)</f>
        <v/>
      </c>
      <c r="FY4" s="20">
        <f>IF(Simulation!FY4&lt;Obligors!$I$4,1,0)</f>
        <v/>
      </c>
      <c r="FZ4" s="20">
        <f>IF(Simulation!FZ4&lt;Obligors!$I$4,1,0)</f>
        <v/>
      </c>
      <c r="GA4" s="20">
        <f>IF(Simulation!GA4&lt;Obligors!$I$4,1,0)</f>
        <v/>
      </c>
      <c r="GB4" s="20">
        <f>IF(Simulation!GB4&lt;Obligors!$I$4,1,0)</f>
        <v/>
      </c>
      <c r="GC4" s="20">
        <f>IF(Simulation!GC4&lt;Obligors!$I$4,1,0)</f>
        <v/>
      </c>
      <c r="GD4" s="20">
        <f>IF(Simulation!GD4&lt;Obligors!$I$4,1,0)</f>
        <v/>
      </c>
      <c r="GE4" s="20">
        <f>IF(Simulation!GE4&lt;Obligors!$I$4,1,0)</f>
        <v/>
      </c>
      <c r="GF4" s="20">
        <f>IF(Simulation!GF4&lt;Obligors!$I$4,1,0)</f>
        <v/>
      </c>
      <c r="GG4" s="20">
        <f>IF(Simulation!GG4&lt;Obligors!$I$4,1,0)</f>
        <v/>
      </c>
      <c r="GH4" s="20">
        <f>IF(Simulation!GH4&lt;Obligors!$I$4,1,0)</f>
        <v/>
      </c>
      <c r="GI4" s="20">
        <f>IF(Simulation!GI4&lt;Obligors!$I$4,1,0)</f>
        <v/>
      </c>
      <c r="GJ4" s="20">
        <f>IF(Simulation!GJ4&lt;Obligors!$I$4,1,0)</f>
        <v/>
      </c>
      <c r="GK4" s="20">
        <f>IF(Simulation!GK4&lt;Obligors!$I$4,1,0)</f>
        <v/>
      </c>
      <c r="GL4" s="20">
        <f>IF(Simulation!GL4&lt;Obligors!$I$4,1,0)</f>
        <v/>
      </c>
      <c r="GM4" s="20">
        <f>IF(Simulation!GM4&lt;Obligors!$I$4,1,0)</f>
        <v/>
      </c>
      <c r="GN4" s="20">
        <f>IF(Simulation!GN4&lt;Obligors!$I$4,1,0)</f>
        <v/>
      </c>
      <c r="GO4" s="20">
        <f>IF(Simulation!GO4&lt;Obligors!$I$4,1,0)</f>
        <v/>
      </c>
      <c r="GP4" s="20">
        <f>IF(Simulation!GP4&lt;Obligors!$I$4,1,0)</f>
        <v/>
      </c>
      <c r="GQ4" s="20">
        <f>IF(Simulation!GQ4&lt;Obligors!$I$4,1,0)</f>
        <v/>
      </c>
      <c r="GR4" s="20">
        <f>IF(Simulation!GR4&lt;Obligors!$I$4,1,0)</f>
        <v/>
      </c>
      <c r="GS4" s="20">
        <f>IF(Simulation!GS4&lt;Obligors!$I$4,1,0)</f>
        <v/>
      </c>
      <c r="GT4" s="20">
        <f>IF(Simulation!GT4&lt;Obligors!$I$4,1,0)</f>
        <v/>
      </c>
      <c r="GU4" s="20">
        <f>IF(Simulation!GU4&lt;Obligors!$I$4,1,0)</f>
        <v/>
      </c>
      <c r="GV4" s="20">
        <f>IF(Simulation!GV4&lt;Obligors!$I$4,1,0)</f>
        <v/>
      </c>
      <c r="GW4" s="20">
        <f>IF(Simulation!GW4&lt;Obligors!$I$4,1,0)</f>
        <v/>
      </c>
      <c r="GX4" s="20">
        <f>IF(Simulation!GX4&lt;Obligors!$I$4,1,0)</f>
        <v/>
      </c>
      <c r="GY4" s="20">
        <f>IF(Simulation!GY4&lt;Obligors!$I$4,1,0)</f>
        <v/>
      </c>
      <c r="GZ4" s="20">
        <f>IF(Simulation!GZ4&lt;Obligors!$I$4,1,0)</f>
        <v/>
      </c>
      <c r="HA4" s="20">
        <f>IF(Simulation!HA4&lt;Obligors!$I$4,1,0)</f>
        <v/>
      </c>
      <c r="HB4" s="20">
        <f>IF(Simulation!HB4&lt;Obligors!$I$4,1,0)</f>
        <v/>
      </c>
      <c r="HC4" s="20">
        <f>IF(Simulation!HC4&lt;Obligors!$I$4,1,0)</f>
        <v/>
      </c>
      <c r="HD4" s="20">
        <f>IF(Simulation!HD4&lt;Obligors!$I$4,1,0)</f>
        <v/>
      </c>
      <c r="HE4" s="20">
        <f>IF(Simulation!HE4&lt;Obligors!$I$4,1,0)</f>
        <v/>
      </c>
      <c r="HF4" s="20">
        <f>IF(Simulation!HF4&lt;Obligors!$I$4,1,0)</f>
        <v/>
      </c>
      <c r="HG4" s="20">
        <f>IF(Simulation!HG4&lt;Obligors!$I$4,1,0)</f>
        <v/>
      </c>
      <c r="HH4" s="20">
        <f>IF(Simulation!HH4&lt;Obligors!$I$4,1,0)</f>
        <v/>
      </c>
      <c r="HI4" s="20">
        <f>IF(Simulation!HI4&lt;Obligors!$I$4,1,0)</f>
        <v/>
      </c>
      <c r="HJ4" s="20">
        <f>IF(Simulation!HJ4&lt;Obligors!$I$4,1,0)</f>
        <v/>
      </c>
      <c r="HK4" s="20">
        <f>IF(Simulation!HK4&lt;Obligors!$I$4,1,0)</f>
        <v/>
      </c>
      <c r="HL4" s="20">
        <f>IF(Simulation!HL4&lt;Obligors!$I$4,1,0)</f>
        <v/>
      </c>
      <c r="HM4" s="20">
        <f>IF(Simulation!HM4&lt;Obligors!$I$4,1,0)</f>
        <v/>
      </c>
      <c r="HN4" s="20">
        <f>IF(Simulation!HN4&lt;Obligors!$I$4,1,0)</f>
        <v/>
      </c>
      <c r="HO4" s="20">
        <f>IF(Simulation!HO4&lt;Obligors!$I$4,1,0)</f>
        <v/>
      </c>
      <c r="HP4" s="20">
        <f>IF(Simulation!HP4&lt;Obligors!$I$4,1,0)</f>
        <v/>
      </c>
      <c r="HQ4" s="20">
        <f>IF(Simulation!HQ4&lt;Obligors!$I$4,1,0)</f>
        <v/>
      </c>
      <c r="HR4" s="20">
        <f>IF(Simulation!HR4&lt;Obligors!$I$4,1,0)</f>
        <v/>
      </c>
      <c r="HS4" s="20">
        <f>IF(Simulation!HS4&lt;Obligors!$I$4,1,0)</f>
        <v/>
      </c>
      <c r="HT4" s="20">
        <f>IF(Simulation!HT4&lt;Obligors!$I$4,1,0)</f>
        <v/>
      </c>
      <c r="HU4" s="20">
        <f>IF(Simulation!HU4&lt;Obligors!$I$4,1,0)</f>
        <v/>
      </c>
      <c r="HV4" s="20">
        <f>IF(Simulation!HV4&lt;Obligors!$I$4,1,0)</f>
        <v/>
      </c>
      <c r="HW4" s="20">
        <f>IF(Simulation!HW4&lt;Obligors!$I$4,1,0)</f>
        <v/>
      </c>
      <c r="HX4" s="20">
        <f>IF(Simulation!HX4&lt;Obligors!$I$4,1,0)</f>
        <v/>
      </c>
      <c r="HY4" s="20">
        <f>IF(Simulation!HY4&lt;Obligors!$I$4,1,0)</f>
        <v/>
      </c>
      <c r="HZ4" s="20">
        <f>IF(Simulation!HZ4&lt;Obligors!$I$4,1,0)</f>
        <v/>
      </c>
      <c r="IA4" s="20">
        <f>IF(Simulation!IA4&lt;Obligors!$I$4,1,0)</f>
        <v/>
      </c>
      <c r="IB4" s="20">
        <f>IF(Simulation!IB4&lt;Obligors!$I$4,1,0)</f>
        <v/>
      </c>
      <c r="IC4" s="20">
        <f>IF(Simulation!IC4&lt;Obligors!$I$4,1,0)</f>
        <v/>
      </c>
      <c r="ID4" s="20">
        <f>IF(Simulation!ID4&lt;Obligors!$I$4,1,0)</f>
        <v/>
      </c>
      <c r="IE4" s="20">
        <f>IF(Simulation!IE4&lt;Obligors!$I$4,1,0)</f>
        <v/>
      </c>
      <c r="IF4" s="20">
        <f>IF(Simulation!IF4&lt;Obligors!$I$4,1,0)</f>
        <v/>
      </c>
      <c r="IG4" s="20">
        <f>IF(Simulation!IG4&lt;Obligors!$I$4,1,0)</f>
        <v/>
      </c>
      <c r="IH4" s="20">
        <f>IF(Simulation!IH4&lt;Obligors!$I$4,1,0)</f>
        <v/>
      </c>
      <c r="II4" s="20">
        <f>IF(Simulation!II4&lt;Obligors!$I$4,1,0)</f>
        <v/>
      </c>
      <c r="IJ4" s="20">
        <f>IF(Simulation!IJ4&lt;Obligors!$I$4,1,0)</f>
        <v/>
      </c>
      <c r="IK4" s="20">
        <f>IF(Simulation!IK4&lt;Obligors!$I$4,1,0)</f>
        <v/>
      </c>
      <c r="IL4" s="20">
        <f>IF(Simulation!IL4&lt;Obligors!$I$4,1,0)</f>
        <v/>
      </c>
      <c r="IM4" s="20">
        <f>IF(Simulation!IM4&lt;Obligors!$I$4,1,0)</f>
        <v/>
      </c>
      <c r="IN4" s="20">
        <f>IF(Simulation!IN4&lt;Obligors!$I$4,1,0)</f>
        <v/>
      </c>
      <c r="IO4" s="20">
        <f>IF(Simulation!IO4&lt;Obligors!$I$4,1,0)</f>
        <v/>
      </c>
      <c r="IP4" s="20">
        <f>IF(Simulation!IP4&lt;Obligors!$I$4,1,0)</f>
        <v/>
      </c>
      <c r="IQ4" s="20">
        <f>IF(Simulation!IQ4&lt;Obligors!$I$4,1,0)</f>
        <v/>
      </c>
      <c r="IR4" s="20">
        <f>IF(Simulation!IR4&lt;Obligors!$I$4,1,0)</f>
        <v/>
      </c>
      <c r="IS4" s="20">
        <f>IF(Simulation!IS4&lt;Obligors!$I$4,1,0)</f>
        <v/>
      </c>
      <c r="IT4" s="20">
        <f>IF(Simulation!IT4&lt;Obligors!$I$4,1,0)</f>
        <v/>
      </c>
      <c r="IU4" s="20">
        <f>IF(Simulation!IU4&lt;Obligors!$I$4,1,0)</f>
        <v/>
      </c>
      <c r="IV4" s="20">
        <f>IF(Simulation!IV4&lt;Obligors!$I$4,1,0)</f>
        <v/>
      </c>
      <c r="IW4" s="20">
        <f>IF(Simulation!IW4&lt;Obligors!$I$4,1,0)</f>
        <v/>
      </c>
      <c r="IX4" s="20">
        <f>IF(Simulation!IX4&lt;Obligors!$I$4,1,0)</f>
        <v/>
      </c>
      <c r="IY4" s="20">
        <f>IF(Simulation!IY4&lt;Obligors!$I$4,1,0)</f>
        <v/>
      </c>
      <c r="IZ4" s="20">
        <f>IF(Simulation!IZ4&lt;Obligors!$I$4,1,0)</f>
        <v/>
      </c>
      <c r="JA4" s="20">
        <f>IF(Simulation!JA4&lt;Obligors!$I$4,1,0)</f>
        <v/>
      </c>
      <c r="JB4" s="20">
        <f>IF(Simulation!JB4&lt;Obligors!$I$4,1,0)</f>
        <v/>
      </c>
      <c r="JC4" s="20">
        <f>IF(Simulation!JC4&lt;Obligors!$I$4,1,0)</f>
        <v/>
      </c>
      <c r="JD4" s="20">
        <f>IF(Simulation!JD4&lt;Obligors!$I$4,1,0)</f>
        <v/>
      </c>
      <c r="JE4" s="20">
        <f>IF(Simulation!JE4&lt;Obligors!$I$4,1,0)</f>
        <v/>
      </c>
      <c r="JF4" s="20">
        <f>IF(Simulation!JF4&lt;Obligors!$I$4,1,0)</f>
        <v/>
      </c>
      <c r="JG4" s="20">
        <f>IF(Simulation!JG4&lt;Obligors!$I$4,1,0)</f>
        <v/>
      </c>
      <c r="JH4" s="20">
        <f>IF(Simulation!JH4&lt;Obligors!$I$4,1,0)</f>
        <v/>
      </c>
      <c r="JI4" s="20">
        <f>IF(Simulation!JI4&lt;Obligors!$I$4,1,0)</f>
        <v/>
      </c>
      <c r="JJ4" s="20">
        <f>IF(Simulation!JJ4&lt;Obligors!$I$4,1,0)</f>
        <v/>
      </c>
      <c r="JK4" s="20">
        <f>IF(Simulation!JK4&lt;Obligors!$I$4,1,0)</f>
        <v/>
      </c>
      <c r="JL4" s="20">
        <f>IF(Simulation!JL4&lt;Obligors!$I$4,1,0)</f>
        <v/>
      </c>
      <c r="JM4" s="20">
        <f>IF(Simulation!JM4&lt;Obligors!$I$4,1,0)</f>
        <v/>
      </c>
      <c r="JN4" s="20">
        <f>IF(Simulation!JN4&lt;Obligors!$I$4,1,0)</f>
        <v/>
      </c>
      <c r="JO4" s="20">
        <f>IF(Simulation!JO4&lt;Obligors!$I$4,1,0)</f>
        <v/>
      </c>
      <c r="JP4" s="20">
        <f>IF(Simulation!JP4&lt;Obligors!$I$4,1,0)</f>
        <v/>
      </c>
      <c r="JQ4" s="20">
        <f>IF(Simulation!JQ4&lt;Obligors!$I$4,1,0)</f>
        <v/>
      </c>
      <c r="JR4" s="20">
        <f>IF(Simulation!JR4&lt;Obligors!$I$4,1,0)</f>
        <v/>
      </c>
      <c r="JS4" s="20">
        <f>IF(Simulation!JS4&lt;Obligors!$I$4,1,0)</f>
        <v/>
      </c>
      <c r="JT4" s="20">
        <f>IF(Simulation!JT4&lt;Obligors!$I$4,1,0)</f>
        <v/>
      </c>
      <c r="JU4" s="20">
        <f>IF(Simulation!JU4&lt;Obligors!$I$4,1,0)</f>
        <v/>
      </c>
      <c r="JV4" s="20">
        <f>IF(Simulation!JV4&lt;Obligors!$I$4,1,0)</f>
        <v/>
      </c>
      <c r="JW4" s="20">
        <f>IF(Simulation!JW4&lt;Obligors!$I$4,1,0)</f>
        <v/>
      </c>
      <c r="JX4" s="20">
        <f>IF(Simulation!JX4&lt;Obligors!$I$4,1,0)</f>
        <v/>
      </c>
      <c r="JY4" s="20">
        <f>IF(Simulation!JY4&lt;Obligors!$I$4,1,0)</f>
        <v/>
      </c>
      <c r="JZ4" s="20">
        <f>IF(Simulation!JZ4&lt;Obligors!$I$4,1,0)</f>
        <v/>
      </c>
      <c r="KA4" s="20">
        <f>IF(Simulation!KA4&lt;Obligors!$I$4,1,0)</f>
        <v/>
      </c>
      <c r="KB4" s="20">
        <f>IF(Simulation!KB4&lt;Obligors!$I$4,1,0)</f>
        <v/>
      </c>
      <c r="KC4" s="20">
        <f>IF(Simulation!KC4&lt;Obligors!$I$4,1,0)</f>
        <v/>
      </c>
      <c r="KD4" s="20">
        <f>IF(Simulation!KD4&lt;Obligors!$I$4,1,0)</f>
        <v/>
      </c>
      <c r="KE4" s="20">
        <f>IF(Simulation!KE4&lt;Obligors!$I$4,1,0)</f>
        <v/>
      </c>
      <c r="KF4" s="20">
        <f>IF(Simulation!KF4&lt;Obligors!$I$4,1,0)</f>
        <v/>
      </c>
      <c r="KG4" s="20">
        <f>IF(Simulation!KG4&lt;Obligors!$I$4,1,0)</f>
        <v/>
      </c>
      <c r="KH4" s="20">
        <f>IF(Simulation!KH4&lt;Obligors!$I$4,1,0)</f>
        <v/>
      </c>
      <c r="KI4" s="20">
        <f>IF(Simulation!KI4&lt;Obligors!$I$4,1,0)</f>
        <v/>
      </c>
      <c r="KJ4" s="20">
        <f>IF(Simulation!KJ4&lt;Obligors!$I$4,1,0)</f>
        <v/>
      </c>
      <c r="KK4" s="20">
        <f>IF(Simulation!KK4&lt;Obligors!$I$4,1,0)</f>
        <v/>
      </c>
      <c r="KL4" s="20">
        <f>IF(Simulation!KL4&lt;Obligors!$I$4,1,0)</f>
        <v/>
      </c>
      <c r="KM4" s="20">
        <f>IF(Simulation!KM4&lt;Obligors!$I$4,1,0)</f>
        <v/>
      </c>
      <c r="KN4" s="20">
        <f>IF(Simulation!KN4&lt;Obligors!$I$4,1,0)</f>
        <v/>
      </c>
      <c r="KO4" s="20">
        <f>IF(Simulation!KO4&lt;Obligors!$I$4,1,0)</f>
        <v/>
      </c>
      <c r="KP4" s="20">
        <f>IF(Simulation!KP4&lt;Obligors!$I$4,1,0)</f>
        <v/>
      </c>
      <c r="KQ4" s="20">
        <f>IF(Simulation!KQ4&lt;Obligors!$I$4,1,0)</f>
        <v/>
      </c>
      <c r="KR4" s="20">
        <f>IF(Simulation!KR4&lt;Obligors!$I$4,1,0)</f>
        <v/>
      </c>
      <c r="KS4" s="20">
        <f>IF(Simulation!KS4&lt;Obligors!$I$4,1,0)</f>
        <v/>
      </c>
      <c r="KT4" s="20">
        <f>IF(Simulation!KT4&lt;Obligors!$I$4,1,0)</f>
        <v/>
      </c>
      <c r="KU4" s="20">
        <f>IF(Simulation!KU4&lt;Obligors!$I$4,1,0)</f>
        <v/>
      </c>
      <c r="KV4" s="20">
        <f>IF(Simulation!KV4&lt;Obligors!$I$4,1,0)</f>
        <v/>
      </c>
      <c r="KW4" s="20">
        <f>IF(Simulation!KW4&lt;Obligors!$I$4,1,0)</f>
        <v/>
      </c>
      <c r="KX4" s="20">
        <f>IF(Simulation!KX4&lt;Obligors!$I$4,1,0)</f>
        <v/>
      </c>
      <c r="KY4" s="20">
        <f>IF(Simulation!KY4&lt;Obligors!$I$4,1,0)</f>
        <v/>
      </c>
      <c r="KZ4" s="20">
        <f>IF(Simulation!KZ4&lt;Obligors!$I$4,1,0)</f>
        <v/>
      </c>
      <c r="LA4" s="20">
        <f>IF(Simulation!LA4&lt;Obligors!$I$4,1,0)</f>
        <v/>
      </c>
      <c r="LB4" s="20">
        <f>IF(Simulation!LB4&lt;Obligors!$I$4,1,0)</f>
        <v/>
      </c>
      <c r="LC4" s="20">
        <f>IF(Simulation!LC4&lt;Obligors!$I$4,1,0)</f>
        <v/>
      </c>
      <c r="LD4" s="20">
        <f>IF(Simulation!LD4&lt;Obligors!$I$4,1,0)</f>
        <v/>
      </c>
      <c r="LE4" s="20">
        <f>IF(Simulation!LE4&lt;Obligors!$I$4,1,0)</f>
        <v/>
      </c>
      <c r="LF4" s="20">
        <f>IF(Simulation!LF4&lt;Obligors!$I$4,1,0)</f>
        <v/>
      </c>
      <c r="LG4" s="20">
        <f>IF(Simulation!LG4&lt;Obligors!$I$4,1,0)</f>
        <v/>
      </c>
      <c r="LH4" s="20">
        <f>IF(Simulation!LH4&lt;Obligors!$I$4,1,0)</f>
        <v/>
      </c>
      <c r="LI4" s="20">
        <f>IF(Simulation!LI4&lt;Obligors!$I$4,1,0)</f>
        <v/>
      </c>
      <c r="LJ4" s="20">
        <f>IF(Simulation!LJ4&lt;Obligors!$I$4,1,0)</f>
        <v/>
      </c>
      <c r="LK4" s="20">
        <f>IF(Simulation!LK4&lt;Obligors!$I$4,1,0)</f>
        <v/>
      </c>
      <c r="LL4" s="20">
        <f>IF(Simulation!LL4&lt;Obligors!$I$4,1,0)</f>
        <v/>
      </c>
      <c r="LM4" s="20">
        <f>IF(Simulation!LM4&lt;Obligors!$I$4,1,0)</f>
        <v/>
      </c>
      <c r="LN4" s="20">
        <f>IF(Simulation!LN4&lt;Obligors!$I$4,1,0)</f>
        <v/>
      </c>
      <c r="LO4" s="20">
        <f>IF(Simulation!LO4&lt;Obligors!$I$4,1,0)</f>
        <v/>
      </c>
      <c r="LP4" s="20">
        <f>IF(Simulation!LP4&lt;Obligors!$I$4,1,0)</f>
        <v/>
      </c>
      <c r="LQ4" s="20">
        <f>IF(Simulation!LQ4&lt;Obligors!$I$4,1,0)</f>
        <v/>
      </c>
      <c r="LR4" s="20">
        <f>IF(Simulation!LR4&lt;Obligors!$I$4,1,0)</f>
        <v/>
      </c>
      <c r="LS4" s="20">
        <f>IF(Simulation!LS4&lt;Obligors!$I$4,1,0)</f>
        <v/>
      </c>
      <c r="LT4" s="20">
        <f>IF(Simulation!LT4&lt;Obligors!$I$4,1,0)</f>
        <v/>
      </c>
      <c r="LU4" s="20">
        <f>IF(Simulation!LU4&lt;Obligors!$I$4,1,0)</f>
        <v/>
      </c>
      <c r="LV4" s="20">
        <f>IF(Simulation!LV4&lt;Obligors!$I$4,1,0)</f>
        <v/>
      </c>
      <c r="LW4" s="20">
        <f>IF(Simulation!LW4&lt;Obligors!$I$4,1,0)</f>
        <v/>
      </c>
      <c r="LX4" s="20">
        <f>IF(Simulation!LX4&lt;Obligors!$I$4,1,0)</f>
        <v/>
      </c>
      <c r="LY4" s="20">
        <f>IF(Simulation!LY4&lt;Obligors!$I$4,1,0)</f>
        <v/>
      </c>
      <c r="LZ4" s="20">
        <f>IF(Simulation!LZ4&lt;Obligors!$I$4,1,0)</f>
        <v/>
      </c>
      <c r="MA4" s="20">
        <f>IF(Simulation!MA4&lt;Obligors!$I$4,1,0)</f>
        <v/>
      </c>
      <c r="MB4" s="20">
        <f>IF(Simulation!MB4&lt;Obligors!$I$4,1,0)</f>
        <v/>
      </c>
      <c r="MC4" s="20">
        <f>IF(Simulation!MC4&lt;Obligors!$I$4,1,0)</f>
        <v/>
      </c>
      <c r="MD4" s="20">
        <f>IF(Simulation!MD4&lt;Obligors!$I$4,1,0)</f>
        <v/>
      </c>
      <c r="ME4" s="20">
        <f>IF(Simulation!ME4&lt;Obligors!$I$4,1,0)</f>
        <v/>
      </c>
      <c r="MF4" s="20">
        <f>IF(Simulation!MF4&lt;Obligors!$I$4,1,0)</f>
        <v/>
      </c>
      <c r="MG4" s="20">
        <f>IF(Simulation!MG4&lt;Obligors!$I$4,1,0)</f>
        <v/>
      </c>
      <c r="MH4" s="20">
        <f>IF(Simulation!MH4&lt;Obligors!$I$4,1,0)</f>
        <v/>
      </c>
      <c r="MI4" s="20">
        <f>IF(Simulation!MI4&lt;Obligors!$I$4,1,0)</f>
        <v/>
      </c>
      <c r="MJ4" s="20">
        <f>IF(Simulation!MJ4&lt;Obligors!$I$4,1,0)</f>
        <v/>
      </c>
      <c r="MK4" s="20">
        <f>IF(Simulation!MK4&lt;Obligors!$I$4,1,0)</f>
        <v/>
      </c>
      <c r="ML4" s="20">
        <f>IF(Simulation!ML4&lt;Obligors!$I$4,1,0)</f>
        <v/>
      </c>
      <c r="MM4" s="20">
        <f>IF(Simulation!MM4&lt;Obligors!$I$4,1,0)</f>
        <v/>
      </c>
      <c r="MN4" s="20">
        <f>IF(Simulation!MN4&lt;Obligors!$I$4,1,0)</f>
        <v/>
      </c>
      <c r="MO4" s="20">
        <f>IF(Simulation!MO4&lt;Obligors!$I$4,1,0)</f>
        <v/>
      </c>
      <c r="MP4" s="20">
        <f>IF(Simulation!MP4&lt;Obligors!$I$4,1,0)</f>
        <v/>
      </c>
      <c r="MQ4" s="20">
        <f>IF(Simulation!MQ4&lt;Obligors!$I$4,1,0)</f>
        <v/>
      </c>
      <c r="MR4" s="20">
        <f>IF(Simulation!MR4&lt;Obligors!$I$4,1,0)</f>
        <v/>
      </c>
      <c r="MS4" s="20">
        <f>IF(Simulation!MS4&lt;Obligors!$I$4,1,0)</f>
        <v/>
      </c>
      <c r="MT4" s="20">
        <f>IF(Simulation!MT4&lt;Obligors!$I$4,1,0)</f>
        <v/>
      </c>
      <c r="MU4" s="20">
        <f>IF(Simulation!MU4&lt;Obligors!$I$4,1,0)</f>
        <v/>
      </c>
      <c r="MV4" s="20">
        <f>IF(Simulation!MV4&lt;Obligors!$I$4,1,0)</f>
        <v/>
      </c>
      <c r="MW4" s="20">
        <f>IF(Simulation!MW4&lt;Obligors!$I$4,1,0)</f>
        <v/>
      </c>
      <c r="MX4" s="20">
        <f>IF(Simulation!MX4&lt;Obligors!$I$4,1,0)</f>
        <v/>
      </c>
      <c r="MY4" s="20">
        <f>IF(Simulation!MY4&lt;Obligors!$I$4,1,0)</f>
        <v/>
      </c>
      <c r="MZ4" s="20">
        <f>IF(Simulation!MZ4&lt;Obligors!$I$4,1,0)</f>
        <v/>
      </c>
      <c r="NA4" s="20">
        <f>IF(Simulation!NA4&lt;Obligors!$I$4,1,0)</f>
        <v/>
      </c>
      <c r="NB4" s="20">
        <f>IF(Simulation!NB4&lt;Obligors!$I$4,1,0)</f>
        <v/>
      </c>
      <c r="NC4" s="20">
        <f>IF(Simulation!NC4&lt;Obligors!$I$4,1,0)</f>
        <v/>
      </c>
      <c r="ND4" s="20">
        <f>IF(Simulation!ND4&lt;Obligors!$I$4,1,0)</f>
        <v/>
      </c>
      <c r="NE4" s="20">
        <f>IF(Simulation!NE4&lt;Obligors!$I$4,1,0)</f>
        <v/>
      </c>
      <c r="NF4" s="20">
        <f>IF(Simulation!NF4&lt;Obligors!$I$4,1,0)</f>
        <v/>
      </c>
      <c r="NG4" s="20">
        <f>IF(Simulation!NG4&lt;Obligors!$I$4,1,0)</f>
        <v/>
      </c>
      <c r="NH4" s="20">
        <f>IF(Simulation!NH4&lt;Obligors!$I$4,1,0)</f>
        <v/>
      </c>
      <c r="NI4" s="20">
        <f>IF(Simulation!NI4&lt;Obligors!$I$4,1,0)</f>
        <v/>
      </c>
      <c r="NJ4" s="20">
        <f>IF(Simulation!NJ4&lt;Obligors!$I$4,1,0)</f>
        <v/>
      </c>
      <c r="NK4" s="20">
        <f>IF(Simulation!NK4&lt;Obligors!$I$4,1,0)</f>
        <v/>
      </c>
      <c r="NL4" s="20">
        <f>IF(Simulation!NL4&lt;Obligors!$I$4,1,0)</f>
        <v/>
      </c>
      <c r="NM4" s="20">
        <f>IF(Simulation!NM4&lt;Obligors!$I$4,1,0)</f>
        <v/>
      </c>
      <c r="NN4" s="20">
        <f>IF(Simulation!NN4&lt;Obligors!$I$4,1,0)</f>
        <v/>
      </c>
      <c r="NO4" s="20">
        <f>IF(Simulation!NO4&lt;Obligors!$I$4,1,0)</f>
        <v/>
      </c>
      <c r="NP4" s="20">
        <f>IF(Simulation!NP4&lt;Obligors!$I$4,1,0)</f>
        <v/>
      </c>
      <c r="NQ4" s="20">
        <f>IF(Simulation!NQ4&lt;Obligors!$I$4,1,0)</f>
        <v/>
      </c>
      <c r="NR4" s="20">
        <f>IF(Simulation!NR4&lt;Obligors!$I$4,1,0)</f>
        <v/>
      </c>
      <c r="NS4" s="20">
        <f>IF(Simulation!NS4&lt;Obligors!$I$4,1,0)</f>
        <v/>
      </c>
      <c r="NT4" s="20">
        <f>IF(Simulation!NT4&lt;Obligors!$I$4,1,0)</f>
        <v/>
      </c>
      <c r="NU4" s="20">
        <f>IF(Simulation!NU4&lt;Obligors!$I$4,1,0)</f>
        <v/>
      </c>
      <c r="NV4" s="20">
        <f>IF(Simulation!NV4&lt;Obligors!$I$4,1,0)</f>
        <v/>
      </c>
      <c r="NW4" s="20">
        <f>IF(Simulation!NW4&lt;Obligors!$I$4,1,0)</f>
        <v/>
      </c>
      <c r="NX4" s="20">
        <f>IF(Simulation!NX4&lt;Obligors!$I$4,1,0)</f>
        <v/>
      </c>
      <c r="NY4" s="20">
        <f>IF(Simulation!NY4&lt;Obligors!$I$4,1,0)</f>
        <v/>
      </c>
      <c r="NZ4" s="20">
        <f>IF(Simulation!NZ4&lt;Obligors!$I$4,1,0)</f>
        <v/>
      </c>
      <c r="OA4" s="20">
        <f>IF(Simulation!OA4&lt;Obligors!$I$4,1,0)</f>
        <v/>
      </c>
      <c r="OB4" s="20">
        <f>IF(Simulation!OB4&lt;Obligors!$I$4,1,0)</f>
        <v/>
      </c>
      <c r="OC4" s="20">
        <f>IF(Simulation!OC4&lt;Obligors!$I$4,1,0)</f>
        <v/>
      </c>
      <c r="OD4" s="20">
        <f>IF(Simulation!OD4&lt;Obligors!$I$4,1,0)</f>
        <v/>
      </c>
      <c r="OE4" s="20">
        <f>IF(Simulation!OE4&lt;Obligors!$I$4,1,0)</f>
        <v/>
      </c>
      <c r="OF4" s="20">
        <f>IF(Simulation!OF4&lt;Obligors!$I$4,1,0)</f>
        <v/>
      </c>
      <c r="OG4" s="20">
        <f>IF(Simulation!OG4&lt;Obligors!$I$4,1,0)</f>
        <v/>
      </c>
      <c r="OH4" s="20">
        <f>IF(Simulation!OH4&lt;Obligors!$I$4,1,0)</f>
        <v/>
      </c>
      <c r="OI4" s="20">
        <f>IF(Simulation!OI4&lt;Obligors!$I$4,1,0)</f>
        <v/>
      </c>
      <c r="OJ4" s="20">
        <f>IF(Simulation!OJ4&lt;Obligors!$I$4,1,0)</f>
        <v/>
      </c>
      <c r="OK4" s="20">
        <f>IF(Simulation!OK4&lt;Obligors!$I$4,1,0)</f>
        <v/>
      </c>
      <c r="OL4" s="20">
        <f>IF(Simulation!OL4&lt;Obligors!$I$4,1,0)</f>
        <v/>
      </c>
      <c r="OM4" s="20">
        <f>IF(Simulation!OM4&lt;Obligors!$I$4,1,0)</f>
        <v/>
      </c>
      <c r="ON4" s="20">
        <f>IF(Simulation!ON4&lt;Obligors!$I$4,1,0)</f>
        <v/>
      </c>
      <c r="OO4" s="20">
        <f>IF(Simulation!OO4&lt;Obligors!$I$4,1,0)</f>
        <v/>
      </c>
      <c r="OP4" s="20">
        <f>IF(Simulation!OP4&lt;Obligors!$I$4,1,0)</f>
        <v/>
      </c>
      <c r="OQ4" s="20">
        <f>IF(Simulation!OQ4&lt;Obligors!$I$4,1,0)</f>
        <v/>
      </c>
      <c r="OR4" s="20">
        <f>IF(Simulation!OR4&lt;Obligors!$I$4,1,0)</f>
        <v/>
      </c>
      <c r="OS4" s="20">
        <f>IF(Simulation!OS4&lt;Obligors!$I$4,1,0)</f>
        <v/>
      </c>
      <c r="OT4" s="20">
        <f>IF(Simulation!OT4&lt;Obligors!$I$4,1,0)</f>
        <v/>
      </c>
      <c r="OU4" s="20">
        <f>IF(Simulation!OU4&lt;Obligors!$I$4,1,0)</f>
        <v/>
      </c>
      <c r="OV4" s="20">
        <f>IF(Simulation!OV4&lt;Obligors!$I$4,1,0)</f>
        <v/>
      </c>
      <c r="OW4" s="20">
        <f>IF(Simulation!OW4&lt;Obligors!$I$4,1,0)</f>
        <v/>
      </c>
      <c r="OX4" s="20">
        <f>IF(Simulation!OX4&lt;Obligors!$I$4,1,0)</f>
        <v/>
      </c>
      <c r="OY4" s="20">
        <f>IF(Simulation!OY4&lt;Obligors!$I$4,1,0)</f>
        <v/>
      </c>
      <c r="OZ4" s="20">
        <f>IF(Simulation!OZ4&lt;Obligors!$I$4,1,0)</f>
        <v/>
      </c>
      <c r="PA4" s="20">
        <f>IF(Simulation!PA4&lt;Obligors!$I$4,1,0)</f>
        <v/>
      </c>
      <c r="PB4" s="20">
        <f>IF(Simulation!PB4&lt;Obligors!$I$4,1,0)</f>
        <v/>
      </c>
      <c r="PC4" s="20">
        <f>IF(Simulation!PC4&lt;Obligors!$I$4,1,0)</f>
        <v/>
      </c>
      <c r="PD4" s="20">
        <f>IF(Simulation!PD4&lt;Obligors!$I$4,1,0)</f>
        <v/>
      </c>
      <c r="PE4" s="20">
        <f>IF(Simulation!PE4&lt;Obligors!$I$4,1,0)</f>
        <v/>
      </c>
      <c r="PF4" s="20">
        <f>IF(Simulation!PF4&lt;Obligors!$I$4,1,0)</f>
        <v/>
      </c>
      <c r="PG4" s="20">
        <f>IF(Simulation!PG4&lt;Obligors!$I$4,1,0)</f>
        <v/>
      </c>
      <c r="PH4" s="20">
        <f>IF(Simulation!PH4&lt;Obligors!$I$4,1,0)</f>
        <v/>
      </c>
      <c r="PI4" s="20">
        <f>IF(Simulation!PI4&lt;Obligors!$I$4,1,0)</f>
        <v/>
      </c>
      <c r="PJ4" s="20">
        <f>IF(Simulation!PJ4&lt;Obligors!$I$4,1,0)</f>
        <v/>
      </c>
      <c r="PK4" s="20">
        <f>IF(Simulation!PK4&lt;Obligors!$I$4,1,0)</f>
        <v/>
      </c>
      <c r="PL4" s="20">
        <f>IF(Simulation!PL4&lt;Obligors!$I$4,1,0)</f>
        <v/>
      </c>
      <c r="PM4" s="20">
        <f>IF(Simulation!PM4&lt;Obligors!$I$4,1,0)</f>
        <v/>
      </c>
      <c r="PN4" s="20">
        <f>IF(Simulation!PN4&lt;Obligors!$I$4,1,0)</f>
        <v/>
      </c>
      <c r="PO4" s="20">
        <f>IF(Simulation!PO4&lt;Obligors!$I$4,1,0)</f>
        <v/>
      </c>
      <c r="PP4" s="20">
        <f>IF(Simulation!PP4&lt;Obligors!$I$4,1,0)</f>
        <v/>
      </c>
      <c r="PQ4" s="20">
        <f>IF(Simulation!PQ4&lt;Obligors!$I$4,1,0)</f>
        <v/>
      </c>
      <c r="PR4" s="20">
        <f>IF(Simulation!PR4&lt;Obligors!$I$4,1,0)</f>
        <v/>
      </c>
      <c r="PS4" s="20">
        <f>IF(Simulation!PS4&lt;Obligors!$I$4,1,0)</f>
        <v/>
      </c>
      <c r="PT4" s="20">
        <f>IF(Simulation!PT4&lt;Obligors!$I$4,1,0)</f>
        <v/>
      </c>
      <c r="PU4" s="20">
        <f>IF(Simulation!PU4&lt;Obligors!$I$4,1,0)</f>
        <v/>
      </c>
      <c r="PV4" s="20">
        <f>IF(Simulation!PV4&lt;Obligors!$I$4,1,0)</f>
        <v/>
      </c>
      <c r="PW4" s="20">
        <f>IF(Simulation!PW4&lt;Obligors!$I$4,1,0)</f>
        <v/>
      </c>
      <c r="PX4" s="20">
        <f>IF(Simulation!PX4&lt;Obligors!$I$4,1,0)</f>
        <v/>
      </c>
      <c r="PY4" s="20">
        <f>IF(Simulation!PY4&lt;Obligors!$I$4,1,0)</f>
        <v/>
      </c>
      <c r="PZ4" s="20">
        <f>IF(Simulation!PZ4&lt;Obligors!$I$4,1,0)</f>
        <v/>
      </c>
      <c r="QA4" s="20">
        <f>IF(Simulation!QA4&lt;Obligors!$I$4,1,0)</f>
        <v/>
      </c>
      <c r="QB4" s="20">
        <f>IF(Simulation!QB4&lt;Obligors!$I$4,1,0)</f>
        <v/>
      </c>
      <c r="QC4" s="20">
        <f>IF(Simulation!QC4&lt;Obligors!$I$4,1,0)</f>
        <v/>
      </c>
      <c r="QD4" s="20">
        <f>IF(Simulation!QD4&lt;Obligors!$I$4,1,0)</f>
        <v/>
      </c>
      <c r="QE4" s="20">
        <f>IF(Simulation!QE4&lt;Obligors!$I$4,1,0)</f>
        <v/>
      </c>
      <c r="QF4" s="20">
        <f>IF(Simulation!QF4&lt;Obligors!$I$4,1,0)</f>
        <v/>
      </c>
      <c r="QG4" s="20">
        <f>IF(Simulation!QG4&lt;Obligors!$I$4,1,0)</f>
        <v/>
      </c>
      <c r="QH4" s="20">
        <f>IF(Simulation!QH4&lt;Obligors!$I$4,1,0)</f>
        <v/>
      </c>
      <c r="QI4" s="20">
        <f>IF(Simulation!QI4&lt;Obligors!$I$4,1,0)</f>
        <v/>
      </c>
      <c r="QJ4" s="20">
        <f>IF(Simulation!QJ4&lt;Obligors!$I$4,1,0)</f>
        <v/>
      </c>
      <c r="QK4" s="20">
        <f>IF(Simulation!QK4&lt;Obligors!$I$4,1,0)</f>
        <v/>
      </c>
      <c r="QL4" s="20">
        <f>IF(Simulation!QL4&lt;Obligors!$I$4,1,0)</f>
        <v/>
      </c>
      <c r="QM4" s="20">
        <f>IF(Simulation!QM4&lt;Obligors!$I$4,1,0)</f>
        <v/>
      </c>
      <c r="QN4" s="20">
        <f>IF(Simulation!QN4&lt;Obligors!$I$4,1,0)</f>
        <v/>
      </c>
      <c r="QO4" s="20">
        <f>IF(Simulation!QO4&lt;Obligors!$I$4,1,0)</f>
        <v/>
      </c>
      <c r="QP4" s="20">
        <f>IF(Simulation!QP4&lt;Obligors!$I$4,1,0)</f>
        <v/>
      </c>
      <c r="QQ4" s="20">
        <f>IF(Simulation!QQ4&lt;Obligors!$I$4,1,0)</f>
        <v/>
      </c>
      <c r="QR4" s="20">
        <f>IF(Simulation!QR4&lt;Obligors!$I$4,1,0)</f>
        <v/>
      </c>
      <c r="QS4" s="20">
        <f>IF(Simulation!QS4&lt;Obligors!$I$4,1,0)</f>
        <v/>
      </c>
      <c r="QT4" s="20">
        <f>IF(Simulation!QT4&lt;Obligors!$I$4,1,0)</f>
        <v/>
      </c>
      <c r="QU4" s="20">
        <f>IF(Simulation!QU4&lt;Obligors!$I$4,1,0)</f>
        <v/>
      </c>
      <c r="QV4" s="20">
        <f>IF(Simulation!QV4&lt;Obligors!$I$4,1,0)</f>
        <v/>
      </c>
      <c r="QW4" s="20">
        <f>IF(Simulation!QW4&lt;Obligors!$I$4,1,0)</f>
        <v/>
      </c>
      <c r="QX4" s="20">
        <f>IF(Simulation!QX4&lt;Obligors!$I$4,1,0)</f>
        <v/>
      </c>
      <c r="QY4" s="20">
        <f>IF(Simulation!QY4&lt;Obligors!$I$4,1,0)</f>
        <v/>
      </c>
      <c r="QZ4" s="20">
        <f>IF(Simulation!QZ4&lt;Obligors!$I$4,1,0)</f>
        <v/>
      </c>
      <c r="RA4" s="20">
        <f>IF(Simulation!RA4&lt;Obligors!$I$4,1,0)</f>
        <v/>
      </c>
      <c r="RB4" s="20">
        <f>IF(Simulation!RB4&lt;Obligors!$I$4,1,0)</f>
        <v/>
      </c>
      <c r="RC4" s="20">
        <f>IF(Simulation!RC4&lt;Obligors!$I$4,1,0)</f>
        <v/>
      </c>
      <c r="RD4" s="20">
        <f>IF(Simulation!RD4&lt;Obligors!$I$4,1,0)</f>
        <v/>
      </c>
      <c r="RE4" s="20">
        <f>IF(Simulation!RE4&lt;Obligors!$I$4,1,0)</f>
        <v/>
      </c>
      <c r="RF4" s="20">
        <f>IF(Simulation!RF4&lt;Obligors!$I$4,1,0)</f>
        <v/>
      </c>
      <c r="RG4" s="20">
        <f>IF(Simulation!RG4&lt;Obligors!$I$4,1,0)</f>
        <v/>
      </c>
      <c r="RH4" s="20">
        <f>IF(Simulation!RH4&lt;Obligors!$I$4,1,0)</f>
        <v/>
      </c>
      <c r="RI4" s="20">
        <f>IF(Simulation!RI4&lt;Obligors!$I$4,1,0)</f>
        <v/>
      </c>
      <c r="RJ4" s="20">
        <f>IF(Simulation!RJ4&lt;Obligors!$I$4,1,0)</f>
        <v/>
      </c>
      <c r="RK4" s="20">
        <f>IF(Simulation!RK4&lt;Obligors!$I$4,1,0)</f>
        <v/>
      </c>
      <c r="RL4" s="20">
        <f>IF(Simulation!RL4&lt;Obligors!$I$4,1,0)</f>
        <v/>
      </c>
      <c r="RM4" s="20">
        <f>IF(Simulation!RM4&lt;Obligors!$I$4,1,0)</f>
        <v/>
      </c>
      <c r="RN4" s="20">
        <f>IF(Simulation!RN4&lt;Obligors!$I$4,1,0)</f>
        <v/>
      </c>
      <c r="RO4" s="20">
        <f>IF(Simulation!RO4&lt;Obligors!$I$4,1,0)</f>
        <v/>
      </c>
      <c r="RP4" s="20">
        <f>IF(Simulation!RP4&lt;Obligors!$I$4,1,0)</f>
        <v/>
      </c>
      <c r="RQ4" s="20">
        <f>IF(Simulation!RQ4&lt;Obligors!$I$4,1,0)</f>
        <v/>
      </c>
      <c r="RR4" s="20">
        <f>IF(Simulation!RR4&lt;Obligors!$I$4,1,0)</f>
        <v/>
      </c>
      <c r="RS4" s="20">
        <f>IF(Simulation!RS4&lt;Obligors!$I$4,1,0)</f>
        <v/>
      </c>
      <c r="RT4" s="20">
        <f>IF(Simulation!RT4&lt;Obligors!$I$4,1,0)</f>
        <v/>
      </c>
      <c r="RU4" s="20">
        <f>IF(Simulation!RU4&lt;Obligors!$I$4,1,0)</f>
        <v/>
      </c>
      <c r="RV4" s="20">
        <f>IF(Simulation!RV4&lt;Obligors!$I$4,1,0)</f>
        <v/>
      </c>
      <c r="RW4" s="20">
        <f>IF(Simulation!RW4&lt;Obligors!$I$4,1,0)</f>
        <v/>
      </c>
      <c r="RX4" s="20">
        <f>IF(Simulation!RX4&lt;Obligors!$I$4,1,0)</f>
        <v/>
      </c>
      <c r="RY4" s="20">
        <f>IF(Simulation!RY4&lt;Obligors!$I$4,1,0)</f>
        <v/>
      </c>
      <c r="RZ4" s="20">
        <f>IF(Simulation!RZ4&lt;Obligors!$I$4,1,0)</f>
        <v/>
      </c>
      <c r="SA4" s="20">
        <f>IF(Simulation!SA4&lt;Obligors!$I$4,1,0)</f>
        <v/>
      </c>
      <c r="SB4" s="20">
        <f>IF(Simulation!SB4&lt;Obligors!$I$4,1,0)</f>
        <v/>
      </c>
      <c r="SC4" s="20">
        <f>IF(Simulation!SC4&lt;Obligors!$I$4,1,0)</f>
        <v/>
      </c>
      <c r="SD4" s="20">
        <f>IF(Simulation!SD4&lt;Obligors!$I$4,1,0)</f>
        <v/>
      </c>
      <c r="SE4" s="20">
        <f>IF(Simulation!SE4&lt;Obligors!$I$4,1,0)</f>
        <v/>
      </c>
      <c r="SF4" s="20">
        <f>IF(Simulation!SF4&lt;Obligors!$I$4,1,0)</f>
        <v/>
      </c>
      <c r="SG4" s="20">
        <f>IF(Simulation!SG4&lt;Obligors!$I$4,1,0)</f>
        <v/>
      </c>
    </row>
    <row r="5">
      <c r="A5" s="17" t="inlineStr">
        <is>
          <t>OBL-004</t>
        </is>
      </c>
      <c r="B5" s="20">
        <f>IF(Simulation!B5&lt;Obligors!$I$5,1,0)</f>
        <v/>
      </c>
      <c r="C5" s="20">
        <f>IF(Simulation!C5&lt;Obligors!$I$5,1,0)</f>
        <v/>
      </c>
      <c r="D5" s="20">
        <f>IF(Simulation!D5&lt;Obligors!$I$5,1,0)</f>
        <v/>
      </c>
      <c r="E5" s="20">
        <f>IF(Simulation!E5&lt;Obligors!$I$5,1,0)</f>
        <v/>
      </c>
      <c r="F5" s="20">
        <f>IF(Simulation!F5&lt;Obligors!$I$5,1,0)</f>
        <v/>
      </c>
      <c r="G5" s="20">
        <f>IF(Simulation!G5&lt;Obligors!$I$5,1,0)</f>
        <v/>
      </c>
      <c r="H5" s="20">
        <f>IF(Simulation!H5&lt;Obligors!$I$5,1,0)</f>
        <v/>
      </c>
      <c r="I5" s="20">
        <f>IF(Simulation!I5&lt;Obligors!$I$5,1,0)</f>
        <v/>
      </c>
      <c r="J5" s="20">
        <f>IF(Simulation!J5&lt;Obligors!$I$5,1,0)</f>
        <v/>
      </c>
      <c r="K5" s="20">
        <f>IF(Simulation!K5&lt;Obligors!$I$5,1,0)</f>
        <v/>
      </c>
      <c r="L5" s="20">
        <f>IF(Simulation!L5&lt;Obligors!$I$5,1,0)</f>
        <v/>
      </c>
      <c r="M5" s="20">
        <f>IF(Simulation!M5&lt;Obligors!$I$5,1,0)</f>
        <v/>
      </c>
      <c r="N5" s="20">
        <f>IF(Simulation!N5&lt;Obligors!$I$5,1,0)</f>
        <v/>
      </c>
      <c r="O5" s="20">
        <f>IF(Simulation!O5&lt;Obligors!$I$5,1,0)</f>
        <v/>
      </c>
      <c r="P5" s="20">
        <f>IF(Simulation!P5&lt;Obligors!$I$5,1,0)</f>
        <v/>
      </c>
      <c r="Q5" s="20">
        <f>IF(Simulation!Q5&lt;Obligors!$I$5,1,0)</f>
        <v/>
      </c>
      <c r="R5" s="20">
        <f>IF(Simulation!R5&lt;Obligors!$I$5,1,0)</f>
        <v/>
      </c>
      <c r="S5" s="20">
        <f>IF(Simulation!S5&lt;Obligors!$I$5,1,0)</f>
        <v/>
      </c>
      <c r="T5" s="20">
        <f>IF(Simulation!T5&lt;Obligors!$I$5,1,0)</f>
        <v/>
      </c>
      <c r="U5" s="20">
        <f>IF(Simulation!U5&lt;Obligors!$I$5,1,0)</f>
        <v/>
      </c>
      <c r="V5" s="20">
        <f>IF(Simulation!V5&lt;Obligors!$I$5,1,0)</f>
        <v/>
      </c>
      <c r="W5" s="20">
        <f>IF(Simulation!W5&lt;Obligors!$I$5,1,0)</f>
        <v/>
      </c>
      <c r="X5" s="20">
        <f>IF(Simulation!X5&lt;Obligors!$I$5,1,0)</f>
        <v/>
      </c>
      <c r="Y5" s="20">
        <f>IF(Simulation!Y5&lt;Obligors!$I$5,1,0)</f>
        <v/>
      </c>
      <c r="Z5" s="20">
        <f>IF(Simulation!Z5&lt;Obligors!$I$5,1,0)</f>
        <v/>
      </c>
      <c r="AA5" s="20">
        <f>IF(Simulation!AA5&lt;Obligors!$I$5,1,0)</f>
        <v/>
      </c>
      <c r="AB5" s="20">
        <f>IF(Simulation!AB5&lt;Obligors!$I$5,1,0)</f>
        <v/>
      </c>
      <c r="AC5" s="20">
        <f>IF(Simulation!AC5&lt;Obligors!$I$5,1,0)</f>
        <v/>
      </c>
      <c r="AD5" s="20">
        <f>IF(Simulation!AD5&lt;Obligors!$I$5,1,0)</f>
        <v/>
      </c>
      <c r="AE5" s="20">
        <f>IF(Simulation!AE5&lt;Obligors!$I$5,1,0)</f>
        <v/>
      </c>
      <c r="AF5" s="20">
        <f>IF(Simulation!AF5&lt;Obligors!$I$5,1,0)</f>
        <v/>
      </c>
      <c r="AG5" s="20">
        <f>IF(Simulation!AG5&lt;Obligors!$I$5,1,0)</f>
        <v/>
      </c>
      <c r="AH5" s="20">
        <f>IF(Simulation!AH5&lt;Obligors!$I$5,1,0)</f>
        <v/>
      </c>
      <c r="AI5" s="20">
        <f>IF(Simulation!AI5&lt;Obligors!$I$5,1,0)</f>
        <v/>
      </c>
      <c r="AJ5" s="20">
        <f>IF(Simulation!AJ5&lt;Obligors!$I$5,1,0)</f>
        <v/>
      </c>
      <c r="AK5" s="20">
        <f>IF(Simulation!AK5&lt;Obligors!$I$5,1,0)</f>
        <v/>
      </c>
      <c r="AL5" s="20">
        <f>IF(Simulation!AL5&lt;Obligors!$I$5,1,0)</f>
        <v/>
      </c>
      <c r="AM5" s="20">
        <f>IF(Simulation!AM5&lt;Obligors!$I$5,1,0)</f>
        <v/>
      </c>
      <c r="AN5" s="20">
        <f>IF(Simulation!AN5&lt;Obligors!$I$5,1,0)</f>
        <v/>
      </c>
      <c r="AO5" s="20">
        <f>IF(Simulation!AO5&lt;Obligors!$I$5,1,0)</f>
        <v/>
      </c>
      <c r="AP5" s="20">
        <f>IF(Simulation!AP5&lt;Obligors!$I$5,1,0)</f>
        <v/>
      </c>
      <c r="AQ5" s="20">
        <f>IF(Simulation!AQ5&lt;Obligors!$I$5,1,0)</f>
        <v/>
      </c>
      <c r="AR5" s="20">
        <f>IF(Simulation!AR5&lt;Obligors!$I$5,1,0)</f>
        <v/>
      </c>
      <c r="AS5" s="20">
        <f>IF(Simulation!AS5&lt;Obligors!$I$5,1,0)</f>
        <v/>
      </c>
      <c r="AT5" s="20">
        <f>IF(Simulation!AT5&lt;Obligors!$I$5,1,0)</f>
        <v/>
      </c>
      <c r="AU5" s="20">
        <f>IF(Simulation!AU5&lt;Obligors!$I$5,1,0)</f>
        <v/>
      </c>
      <c r="AV5" s="20">
        <f>IF(Simulation!AV5&lt;Obligors!$I$5,1,0)</f>
        <v/>
      </c>
      <c r="AW5" s="20">
        <f>IF(Simulation!AW5&lt;Obligors!$I$5,1,0)</f>
        <v/>
      </c>
      <c r="AX5" s="20">
        <f>IF(Simulation!AX5&lt;Obligors!$I$5,1,0)</f>
        <v/>
      </c>
      <c r="AY5" s="20">
        <f>IF(Simulation!AY5&lt;Obligors!$I$5,1,0)</f>
        <v/>
      </c>
      <c r="AZ5" s="20">
        <f>IF(Simulation!AZ5&lt;Obligors!$I$5,1,0)</f>
        <v/>
      </c>
      <c r="BA5" s="20">
        <f>IF(Simulation!BA5&lt;Obligors!$I$5,1,0)</f>
        <v/>
      </c>
      <c r="BB5" s="20">
        <f>IF(Simulation!BB5&lt;Obligors!$I$5,1,0)</f>
        <v/>
      </c>
      <c r="BC5" s="20">
        <f>IF(Simulation!BC5&lt;Obligors!$I$5,1,0)</f>
        <v/>
      </c>
      <c r="BD5" s="20">
        <f>IF(Simulation!BD5&lt;Obligors!$I$5,1,0)</f>
        <v/>
      </c>
      <c r="BE5" s="20">
        <f>IF(Simulation!BE5&lt;Obligors!$I$5,1,0)</f>
        <v/>
      </c>
      <c r="BF5" s="20">
        <f>IF(Simulation!BF5&lt;Obligors!$I$5,1,0)</f>
        <v/>
      </c>
      <c r="BG5" s="20">
        <f>IF(Simulation!BG5&lt;Obligors!$I$5,1,0)</f>
        <v/>
      </c>
      <c r="BH5" s="20">
        <f>IF(Simulation!BH5&lt;Obligors!$I$5,1,0)</f>
        <v/>
      </c>
      <c r="BI5" s="20">
        <f>IF(Simulation!BI5&lt;Obligors!$I$5,1,0)</f>
        <v/>
      </c>
      <c r="BJ5" s="20">
        <f>IF(Simulation!BJ5&lt;Obligors!$I$5,1,0)</f>
        <v/>
      </c>
      <c r="BK5" s="20">
        <f>IF(Simulation!BK5&lt;Obligors!$I$5,1,0)</f>
        <v/>
      </c>
      <c r="BL5" s="20">
        <f>IF(Simulation!BL5&lt;Obligors!$I$5,1,0)</f>
        <v/>
      </c>
      <c r="BM5" s="20">
        <f>IF(Simulation!BM5&lt;Obligors!$I$5,1,0)</f>
        <v/>
      </c>
      <c r="BN5" s="20">
        <f>IF(Simulation!BN5&lt;Obligors!$I$5,1,0)</f>
        <v/>
      </c>
      <c r="BO5" s="20">
        <f>IF(Simulation!BO5&lt;Obligors!$I$5,1,0)</f>
        <v/>
      </c>
      <c r="BP5" s="20">
        <f>IF(Simulation!BP5&lt;Obligors!$I$5,1,0)</f>
        <v/>
      </c>
      <c r="BQ5" s="20">
        <f>IF(Simulation!BQ5&lt;Obligors!$I$5,1,0)</f>
        <v/>
      </c>
      <c r="BR5" s="20">
        <f>IF(Simulation!BR5&lt;Obligors!$I$5,1,0)</f>
        <v/>
      </c>
      <c r="BS5" s="20">
        <f>IF(Simulation!BS5&lt;Obligors!$I$5,1,0)</f>
        <v/>
      </c>
      <c r="BT5" s="20">
        <f>IF(Simulation!BT5&lt;Obligors!$I$5,1,0)</f>
        <v/>
      </c>
      <c r="BU5" s="20">
        <f>IF(Simulation!BU5&lt;Obligors!$I$5,1,0)</f>
        <v/>
      </c>
      <c r="BV5" s="20">
        <f>IF(Simulation!BV5&lt;Obligors!$I$5,1,0)</f>
        <v/>
      </c>
      <c r="BW5" s="20">
        <f>IF(Simulation!BW5&lt;Obligors!$I$5,1,0)</f>
        <v/>
      </c>
      <c r="BX5" s="20">
        <f>IF(Simulation!BX5&lt;Obligors!$I$5,1,0)</f>
        <v/>
      </c>
      <c r="BY5" s="20">
        <f>IF(Simulation!BY5&lt;Obligors!$I$5,1,0)</f>
        <v/>
      </c>
      <c r="BZ5" s="20">
        <f>IF(Simulation!BZ5&lt;Obligors!$I$5,1,0)</f>
        <v/>
      </c>
      <c r="CA5" s="20">
        <f>IF(Simulation!CA5&lt;Obligors!$I$5,1,0)</f>
        <v/>
      </c>
      <c r="CB5" s="20">
        <f>IF(Simulation!CB5&lt;Obligors!$I$5,1,0)</f>
        <v/>
      </c>
      <c r="CC5" s="20">
        <f>IF(Simulation!CC5&lt;Obligors!$I$5,1,0)</f>
        <v/>
      </c>
      <c r="CD5" s="20">
        <f>IF(Simulation!CD5&lt;Obligors!$I$5,1,0)</f>
        <v/>
      </c>
      <c r="CE5" s="20">
        <f>IF(Simulation!CE5&lt;Obligors!$I$5,1,0)</f>
        <v/>
      </c>
      <c r="CF5" s="20">
        <f>IF(Simulation!CF5&lt;Obligors!$I$5,1,0)</f>
        <v/>
      </c>
      <c r="CG5" s="20">
        <f>IF(Simulation!CG5&lt;Obligors!$I$5,1,0)</f>
        <v/>
      </c>
      <c r="CH5" s="20">
        <f>IF(Simulation!CH5&lt;Obligors!$I$5,1,0)</f>
        <v/>
      </c>
      <c r="CI5" s="20">
        <f>IF(Simulation!CI5&lt;Obligors!$I$5,1,0)</f>
        <v/>
      </c>
      <c r="CJ5" s="20">
        <f>IF(Simulation!CJ5&lt;Obligors!$I$5,1,0)</f>
        <v/>
      </c>
      <c r="CK5" s="20">
        <f>IF(Simulation!CK5&lt;Obligors!$I$5,1,0)</f>
        <v/>
      </c>
      <c r="CL5" s="20">
        <f>IF(Simulation!CL5&lt;Obligors!$I$5,1,0)</f>
        <v/>
      </c>
      <c r="CM5" s="20">
        <f>IF(Simulation!CM5&lt;Obligors!$I$5,1,0)</f>
        <v/>
      </c>
      <c r="CN5" s="20">
        <f>IF(Simulation!CN5&lt;Obligors!$I$5,1,0)</f>
        <v/>
      </c>
      <c r="CO5" s="20">
        <f>IF(Simulation!CO5&lt;Obligors!$I$5,1,0)</f>
        <v/>
      </c>
      <c r="CP5" s="20">
        <f>IF(Simulation!CP5&lt;Obligors!$I$5,1,0)</f>
        <v/>
      </c>
      <c r="CQ5" s="20">
        <f>IF(Simulation!CQ5&lt;Obligors!$I$5,1,0)</f>
        <v/>
      </c>
      <c r="CR5" s="20">
        <f>IF(Simulation!CR5&lt;Obligors!$I$5,1,0)</f>
        <v/>
      </c>
      <c r="CS5" s="20">
        <f>IF(Simulation!CS5&lt;Obligors!$I$5,1,0)</f>
        <v/>
      </c>
      <c r="CT5" s="20">
        <f>IF(Simulation!CT5&lt;Obligors!$I$5,1,0)</f>
        <v/>
      </c>
      <c r="CU5" s="20">
        <f>IF(Simulation!CU5&lt;Obligors!$I$5,1,0)</f>
        <v/>
      </c>
      <c r="CV5" s="20">
        <f>IF(Simulation!CV5&lt;Obligors!$I$5,1,0)</f>
        <v/>
      </c>
      <c r="CW5" s="20">
        <f>IF(Simulation!CW5&lt;Obligors!$I$5,1,0)</f>
        <v/>
      </c>
      <c r="CX5" s="20">
        <f>IF(Simulation!CX5&lt;Obligors!$I$5,1,0)</f>
        <v/>
      </c>
      <c r="CY5" s="20">
        <f>IF(Simulation!CY5&lt;Obligors!$I$5,1,0)</f>
        <v/>
      </c>
      <c r="CZ5" s="20">
        <f>IF(Simulation!CZ5&lt;Obligors!$I$5,1,0)</f>
        <v/>
      </c>
      <c r="DA5" s="20">
        <f>IF(Simulation!DA5&lt;Obligors!$I$5,1,0)</f>
        <v/>
      </c>
      <c r="DB5" s="20">
        <f>IF(Simulation!DB5&lt;Obligors!$I$5,1,0)</f>
        <v/>
      </c>
      <c r="DC5" s="20">
        <f>IF(Simulation!DC5&lt;Obligors!$I$5,1,0)</f>
        <v/>
      </c>
      <c r="DD5" s="20">
        <f>IF(Simulation!DD5&lt;Obligors!$I$5,1,0)</f>
        <v/>
      </c>
      <c r="DE5" s="20">
        <f>IF(Simulation!DE5&lt;Obligors!$I$5,1,0)</f>
        <v/>
      </c>
      <c r="DF5" s="20">
        <f>IF(Simulation!DF5&lt;Obligors!$I$5,1,0)</f>
        <v/>
      </c>
      <c r="DG5" s="20">
        <f>IF(Simulation!DG5&lt;Obligors!$I$5,1,0)</f>
        <v/>
      </c>
      <c r="DH5" s="20">
        <f>IF(Simulation!DH5&lt;Obligors!$I$5,1,0)</f>
        <v/>
      </c>
      <c r="DI5" s="20">
        <f>IF(Simulation!DI5&lt;Obligors!$I$5,1,0)</f>
        <v/>
      </c>
      <c r="DJ5" s="20">
        <f>IF(Simulation!DJ5&lt;Obligors!$I$5,1,0)</f>
        <v/>
      </c>
      <c r="DK5" s="20">
        <f>IF(Simulation!DK5&lt;Obligors!$I$5,1,0)</f>
        <v/>
      </c>
      <c r="DL5" s="20">
        <f>IF(Simulation!DL5&lt;Obligors!$I$5,1,0)</f>
        <v/>
      </c>
      <c r="DM5" s="20">
        <f>IF(Simulation!DM5&lt;Obligors!$I$5,1,0)</f>
        <v/>
      </c>
      <c r="DN5" s="20">
        <f>IF(Simulation!DN5&lt;Obligors!$I$5,1,0)</f>
        <v/>
      </c>
      <c r="DO5" s="20">
        <f>IF(Simulation!DO5&lt;Obligors!$I$5,1,0)</f>
        <v/>
      </c>
      <c r="DP5" s="20">
        <f>IF(Simulation!DP5&lt;Obligors!$I$5,1,0)</f>
        <v/>
      </c>
      <c r="DQ5" s="20">
        <f>IF(Simulation!DQ5&lt;Obligors!$I$5,1,0)</f>
        <v/>
      </c>
      <c r="DR5" s="20">
        <f>IF(Simulation!DR5&lt;Obligors!$I$5,1,0)</f>
        <v/>
      </c>
      <c r="DS5" s="20">
        <f>IF(Simulation!DS5&lt;Obligors!$I$5,1,0)</f>
        <v/>
      </c>
      <c r="DT5" s="20">
        <f>IF(Simulation!DT5&lt;Obligors!$I$5,1,0)</f>
        <v/>
      </c>
      <c r="DU5" s="20">
        <f>IF(Simulation!DU5&lt;Obligors!$I$5,1,0)</f>
        <v/>
      </c>
      <c r="DV5" s="20">
        <f>IF(Simulation!DV5&lt;Obligors!$I$5,1,0)</f>
        <v/>
      </c>
      <c r="DW5" s="20">
        <f>IF(Simulation!DW5&lt;Obligors!$I$5,1,0)</f>
        <v/>
      </c>
      <c r="DX5" s="20">
        <f>IF(Simulation!DX5&lt;Obligors!$I$5,1,0)</f>
        <v/>
      </c>
      <c r="DY5" s="20">
        <f>IF(Simulation!DY5&lt;Obligors!$I$5,1,0)</f>
        <v/>
      </c>
      <c r="DZ5" s="20">
        <f>IF(Simulation!DZ5&lt;Obligors!$I$5,1,0)</f>
        <v/>
      </c>
      <c r="EA5" s="20">
        <f>IF(Simulation!EA5&lt;Obligors!$I$5,1,0)</f>
        <v/>
      </c>
      <c r="EB5" s="20">
        <f>IF(Simulation!EB5&lt;Obligors!$I$5,1,0)</f>
        <v/>
      </c>
      <c r="EC5" s="20">
        <f>IF(Simulation!EC5&lt;Obligors!$I$5,1,0)</f>
        <v/>
      </c>
      <c r="ED5" s="20">
        <f>IF(Simulation!ED5&lt;Obligors!$I$5,1,0)</f>
        <v/>
      </c>
      <c r="EE5" s="20">
        <f>IF(Simulation!EE5&lt;Obligors!$I$5,1,0)</f>
        <v/>
      </c>
      <c r="EF5" s="20">
        <f>IF(Simulation!EF5&lt;Obligors!$I$5,1,0)</f>
        <v/>
      </c>
      <c r="EG5" s="20">
        <f>IF(Simulation!EG5&lt;Obligors!$I$5,1,0)</f>
        <v/>
      </c>
      <c r="EH5" s="20">
        <f>IF(Simulation!EH5&lt;Obligors!$I$5,1,0)</f>
        <v/>
      </c>
      <c r="EI5" s="20">
        <f>IF(Simulation!EI5&lt;Obligors!$I$5,1,0)</f>
        <v/>
      </c>
      <c r="EJ5" s="20">
        <f>IF(Simulation!EJ5&lt;Obligors!$I$5,1,0)</f>
        <v/>
      </c>
      <c r="EK5" s="20">
        <f>IF(Simulation!EK5&lt;Obligors!$I$5,1,0)</f>
        <v/>
      </c>
      <c r="EL5" s="20">
        <f>IF(Simulation!EL5&lt;Obligors!$I$5,1,0)</f>
        <v/>
      </c>
      <c r="EM5" s="20">
        <f>IF(Simulation!EM5&lt;Obligors!$I$5,1,0)</f>
        <v/>
      </c>
      <c r="EN5" s="20">
        <f>IF(Simulation!EN5&lt;Obligors!$I$5,1,0)</f>
        <v/>
      </c>
      <c r="EO5" s="20">
        <f>IF(Simulation!EO5&lt;Obligors!$I$5,1,0)</f>
        <v/>
      </c>
      <c r="EP5" s="20">
        <f>IF(Simulation!EP5&lt;Obligors!$I$5,1,0)</f>
        <v/>
      </c>
      <c r="EQ5" s="20">
        <f>IF(Simulation!EQ5&lt;Obligors!$I$5,1,0)</f>
        <v/>
      </c>
      <c r="ER5" s="20">
        <f>IF(Simulation!ER5&lt;Obligors!$I$5,1,0)</f>
        <v/>
      </c>
      <c r="ES5" s="20">
        <f>IF(Simulation!ES5&lt;Obligors!$I$5,1,0)</f>
        <v/>
      </c>
      <c r="ET5" s="20">
        <f>IF(Simulation!ET5&lt;Obligors!$I$5,1,0)</f>
        <v/>
      </c>
      <c r="EU5" s="20">
        <f>IF(Simulation!EU5&lt;Obligors!$I$5,1,0)</f>
        <v/>
      </c>
      <c r="EV5" s="20">
        <f>IF(Simulation!EV5&lt;Obligors!$I$5,1,0)</f>
        <v/>
      </c>
      <c r="EW5" s="20">
        <f>IF(Simulation!EW5&lt;Obligors!$I$5,1,0)</f>
        <v/>
      </c>
      <c r="EX5" s="20">
        <f>IF(Simulation!EX5&lt;Obligors!$I$5,1,0)</f>
        <v/>
      </c>
      <c r="EY5" s="20">
        <f>IF(Simulation!EY5&lt;Obligors!$I$5,1,0)</f>
        <v/>
      </c>
      <c r="EZ5" s="20">
        <f>IF(Simulation!EZ5&lt;Obligors!$I$5,1,0)</f>
        <v/>
      </c>
      <c r="FA5" s="20">
        <f>IF(Simulation!FA5&lt;Obligors!$I$5,1,0)</f>
        <v/>
      </c>
      <c r="FB5" s="20">
        <f>IF(Simulation!FB5&lt;Obligors!$I$5,1,0)</f>
        <v/>
      </c>
      <c r="FC5" s="20">
        <f>IF(Simulation!FC5&lt;Obligors!$I$5,1,0)</f>
        <v/>
      </c>
      <c r="FD5" s="20">
        <f>IF(Simulation!FD5&lt;Obligors!$I$5,1,0)</f>
        <v/>
      </c>
      <c r="FE5" s="20">
        <f>IF(Simulation!FE5&lt;Obligors!$I$5,1,0)</f>
        <v/>
      </c>
      <c r="FF5" s="20">
        <f>IF(Simulation!FF5&lt;Obligors!$I$5,1,0)</f>
        <v/>
      </c>
      <c r="FG5" s="20">
        <f>IF(Simulation!FG5&lt;Obligors!$I$5,1,0)</f>
        <v/>
      </c>
      <c r="FH5" s="20">
        <f>IF(Simulation!FH5&lt;Obligors!$I$5,1,0)</f>
        <v/>
      </c>
      <c r="FI5" s="20">
        <f>IF(Simulation!FI5&lt;Obligors!$I$5,1,0)</f>
        <v/>
      </c>
      <c r="FJ5" s="20">
        <f>IF(Simulation!FJ5&lt;Obligors!$I$5,1,0)</f>
        <v/>
      </c>
      <c r="FK5" s="20">
        <f>IF(Simulation!FK5&lt;Obligors!$I$5,1,0)</f>
        <v/>
      </c>
      <c r="FL5" s="20">
        <f>IF(Simulation!FL5&lt;Obligors!$I$5,1,0)</f>
        <v/>
      </c>
      <c r="FM5" s="20">
        <f>IF(Simulation!FM5&lt;Obligors!$I$5,1,0)</f>
        <v/>
      </c>
      <c r="FN5" s="20">
        <f>IF(Simulation!FN5&lt;Obligors!$I$5,1,0)</f>
        <v/>
      </c>
      <c r="FO5" s="20">
        <f>IF(Simulation!FO5&lt;Obligors!$I$5,1,0)</f>
        <v/>
      </c>
      <c r="FP5" s="20">
        <f>IF(Simulation!FP5&lt;Obligors!$I$5,1,0)</f>
        <v/>
      </c>
      <c r="FQ5" s="20">
        <f>IF(Simulation!FQ5&lt;Obligors!$I$5,1,0)</f>
        <v/>
      </c>
      <c r="FR5" s="20">
        <f>IF(Simulation!FR5&lt;Obligors!$I$5,1,0)</f>
        <v/>
      </c>
      <c r="FS5" s="20">
        <f>IF(Simulation!FS5&lt;Obligors!$I$5,1,0)</f>
        <v/>
      </c>
      <c r="FT5" s="20">
        <f>IF(Simulation!FT5&lt;Obligors!$I$5,1,0)</f>
        <v/>
      </c>
      <c r="FU5" s="20">
        <f>IF(Simulation!FU5&lt;Obligors!$I$5,1,0)</f>
        <v/>
      </c>
      <c r="FV5" s="20">
        <f>IF(Simulation!FV5&lt;Obligors!$I$5,1,0)</f>
        <v/>
      </c>
      <c r="FW5" s="20">
        <f>IF(Simulation!FW5&lt;Obligors!$I$5,1,0)</f>
        <v/>
      </c>
      <c r="FX5" s="20">
        <f>IF(Simulation!FX5&lt;Obligors!$I$5,1,0)</f>
        <v/>
      </c>
      <c r="FY5" s="20">
        <f>IF(Simulation!FY5&lt;Obligors!$I$5,1,0)</f>
        <v/>
      </c>
      <c r="FZ5" s="20">
        <f>IF(Simulation!FZ5&lt;Obligors!$I$5,1,0)</f>
        <v/>
      </c>
      <c r="GA5" s="20">
        <f>IF(Simulation!GA5&lt;Obligors!$I$5,1,0)</f>
        <v/>
      </c>
      <c r="GB5" s="20">
        <f>IF(Simulation!GB5&lt;Obligors!$I$5,1,0)</f>
        <v/>
      </c>
      <c r="GC5" s="20">
        <f>IF(Simulation!GC5&lt;Obligors!$I$5,1,0)</f>
        <v/>
      </c>
      <c r="GD5" s="20">
        <f>IF(Simulation!GD5&lt;Obligors!$I$5,1,0)</f>
        <v/>
      </c>
      <c r="GE5" s="20">
        <f>IF(Simulation!GE5&lt;Obligors!$I$5,1,0)</f>
        <v/>
      </c>
      <c r="GF5" s="20">
        <f>IF(Simulation!GF5&lt;Obligors!$I$5,1,0)</f>
        <v/>
      </c>
      <c r="GG5" s="20">
        <f>IF(Simulation!GG5&lt;Obligors!$I$5,1,0)</f>
        <v/>
      </c>
      <c r="GH5" s="20">
        <f>IF(Simulation!GH5&lt;Obligors!$I$5,1,0)</f>
        <v/>
      </c>
      <c r="GI5" s="20">
        <f>IF(Simulation!GI5&lt;Obligors!$I$5,1,0)</f>
        <v/>
      </c>
      <c r="GJ5" s="20">
        <f>IF(Simulation!GJ5&lt;Obligors!$I$5,1,0)</f>
        <v/>
      </c>
      <c r="GK5" s="20">
        <f>IF(Simulation!GK5&lt;Obligors!$I$5,1,0)</f>
        <v/>
      </c>
      <c r="GL5" s="20">
        <f>IF(Simulation!GL5&lt;Obligors!$I$5,1,0)</f>
        <v/>
      </c>
      <c r="GM5" s="20">
        <f>IF(Simulation!GM5&lt;Obligors!$I$5,1,0)</f>
        <v/>
      </c>
      <c r="GN5" s="20">
        <f>IF(Simulation!GN5&lt;Obligors!$I$5,1,0)</f>
        <v/>
      </c>
      <c r="GO5" s="20">
        <f>IF(Simulation!GO5&lt;Obligors!$I$5,1,0)</f>
        <v/>
      </c>
      <c r="GP5" s="20">
        <f>IF(Simulation!GP5&lt;Obligors!$I$5,1,0)</f>
        <v/>
      </c>
      <c r="GQ5" s="20">
        <f>IF(Simulation!GQ5&lt;Obligors!$I$5,1,0)</f>
        <v/>
      </c>
      <c r="GR5" s="20">
        <f>IF(Simulation!GR5&lt;Obligors!$I$5,1,0)</f>
        <v/>
      </c>
      <c r="GS5" s="20">
        <f>IF(Simulation!GS5&lt;Obligors!$I$5,1,0)</f>
        <v/>
      </c>
      <c r="GT5" s="20">
        <f>IF(Simulation!GT5&lt;Obligors!$I$5,1,0)</f>
        <v/>
      </c>
      <c r="GU5" s="20">
        <f>IF(Simulation!GU5&lt;Obligors!$I$5,1,0)</f>
        <v/>
      </c>
      <c r="GV5" s="20">
        <f>IF(Simulation!GV5&lt;Obligors!$I$5,1,0)</f>
        <v/>
      </c>
      <c r="GW5" s="20">
        <f>IF(Simulation!GW5&lt;Obligors!$I$5,1,0)</f>
        <v/>
      </c>
      <c r="GX5" s="20">
        <f>IF(Simulation!GX5&lt;Obligors!$I$5,1,0)</f>
        <v/>
      </c>
      <c r="GY5" s="20">
        <f>IF(Simulation!GY5&lt;Obligors!$I$5,1,0)</f>
        <v/>
      </c>
      <c r="GZ5" s="20">
        <f>IF(Simulation!GZ5&lt;Obligors!$I$5,1,0)</f>
        <v/>
      </c>
      <c r="HA5" s="20">
        <f>IF(Simulation!HA5&lt;Obligors!$I$5,1,0)</f>
        <v/>
      </c>
      <c r="HB5" s="20">
        <f>IF(Simulation!HB5&lt;Obligors!$I$5,1,0)</f>
        <v/>
      </c>
      <c r="HC5" s="20">
        <f>IF(Simulation!HC5&lt;Obligors!$I$5,1,0)</f>
        <v/>
      </c>
      <c r="HD5" s="20">
        <f>IF(Simulation!HD5&lt;Obligors!$I$5,1,0)</f>
        <v/>
      </c>
      <c r="HE5" s="20">
        <f>IF(Simulation!HE5&lt;Obligors!$I$5,1,0)</f>
        <v/>
      </c>
      <c r="HF5" s="20">
        <f>IF(Simulation!HF5&lt;Obligors!$I$5,1,0)</f>
        <v/>
      </c>
      <c r="HG5" s="20">
        <f>IF(Simulation!HG5&lt;Obligors!$I$5,1,0)</f>
        <v/>
      </c>
      <c r="HH5" s="20">
        <f>IF(Simulation!HH5&lt;Obligors!$I$5,1,0)</f>
        <v/>
      </c>
      <c r="HI5" s="20">
        <f>IF(Simulation!HI5&lt;Obligors!$I$5,1,0)</f>
        <v/>
      </c>
      <c r="HJ5" s="20">
        <f>IF(Simulation!HJ5&lt;Obligors!$I$5,1,0)</f>
        <v/>
      </c>
      <c r="HK5" s="20">
        <f>IF(Simulation!HK5&lt;Obligors!$I$5,1,0)</f>
        <v/>
      </c>
      <c r="HL5" s="20">
        <f>IF(Simulation!HL5&lt;Obligors!$I$5,1,0)</f>
        <v/>
      </c>
      <c r="HM5" s="20">
        <f>IF(Simulation!HM5&lt;Obligors!$I$5,1,0)</f>
        <v/>
      </c>
      <c r="HN5" s="20">
        <f>IF(Simulation!HN5&lt;Obligors!$I$5,1,0)</f>
        <v/>
      </c>
      <c r="HO5" s="20">
        <f>IF(Simulation!HO5&lt;Obligors!$I$5,1,0)</f>
        <v/>
      </c>
      <c r="HP5" s="20">
        <f>IF(Simulation!HP5&lt;Obligors!$I$5,1,0)</f>
        <v/>
      </c>
      <c r="HQ5" s="20">
        <f>IF(Simulation!HQ5&lt;Obligors!$I$5,1,0)</f>
        <v/>
      </c>
      <c r="HR5" s="20">
        <f>IF(Simulation!HR5&lt;Obligors!$I$5,1,0)</f>
        <v/>
      </c>
      <c r="HS5" s="20">
        <f>IF(Simulation!HS5&lt;Obligors!$I$5,1,0)</f>
        <v/>
      </c>
      <c r="HT5" s="20">
        <f>IF(Simulation!HT5&lt;Obligors!$I$5,1,0)</f>
        <v/>
      </c>
      <c r="HU5" s="20">
        <f>IF(Simulation!HU5&lt;Obligors!$I$5,1,0)</f>
        <v/>
      </c>
      <c r="HV5" s="20">
        <f>IF(Simulation!HV5&lt;Obligors!$I$5,1,0)</f>
        <v/>
      </c>
      <c r="HW5" s="20">
        <f>IF(Simulation!HW5&lt;Obligors!$I$5,1,0)</f>
        <v/>
      </c>
      <c r="HX5" s="20">
        <f>IF(Simulation!HX5&lt;Obligors!$I$5,1,0)</f>
        <v/>
      </c>
      <c r="HY5" s="20">
        <f>IF(Simulation!HY5&lt;Obligors!$I$5,1,0)</f>
        <v/>
      </c>
      <c r="HZ5" s="20">
        <f>IF(Simulation!HZ5&lt;Obligors!$I$5,1,0)</f>
        <v/>
      </c>
      <c r="IA5" s="20">
        <f>IF(Simulation!IA5&lt;Obligors!$I$5,1,0)</f>
        <v/>
      </c>
      <c r="IB5" s="20">
        <f>IF(Simulation!IB5&lt;Obligors!$I$5,1,0)</f>
        <v/>
      </c>
      <c r="IC5" s="20">
        <f>IF(Simulation!IC5&lt;Obligors!$I$5,1,0)</f>
        <v/>
      </c>
      <c r="ID5" s="20">
        <f>IF(Simulation!ID5&lt;Obligors!$I$5,1,0)</f>
        <v/>
      </c>
      <c r="IE5" s="20">
        <f>IF(Simulation!IE5&lt;Obligors!$I$5,1,0)</f>
        <v/>
      </c>
      <c r="IF5" s="20">
        <f>IF(Simulation!IF5&lt;Obligors!$I$5,1,0)</f>
        <v/>
      </c>
      <c r="IG5" s="20">
        <f>IF(Simulation!IG5&lt;Obligors!$I$5,1,0)</f>
        <v/>
      </c>
      <c r="IH5" s="20">
        <f>IF(Simulation!IH5&lt;Obligors!$I$5,1,0)</f>
        <v/>
      </c>
      <c r="II5" s="20">
        <f>IF(Simulation!II5&lt;Obligors!$I$5,1,0)</f>
        <v/>
      </c>
      <c r="IJ5" s="20">
        <f>IF(Simulation!IJ5&lt;Obligors!$I$5,1,0)</f>
        <v/>
      </c>
      <c r="IK5" s="20">
        <f>IF(Simulation!IK5&lt;Obligors!$I$5,1,0)</f>
        <v/>
      </c>
      <c r="IL5" s="20">
        <f>IF(Simulation!IL5&lt;Obligors!$I$5,1,0)</f>
        <v/>
      </c>
      <c r="IM5" s="20">
        <f>IF(Simulation!IM5&lt;Obligors!$I$5,1,0)</f>
        <v/>
      </c>
      <c r="IN5" s="20">
        <f>IF(Simulation!IN5&lt;Obligors!$I$5,1,0)</f>
        <v/>
      </c>
      <c r="IO5" s="20">
        <f>IF(Simulation!IO5&lt;Obligors!$I$5,1,0)</f>
        <v/>
      </c>
      <c r="IP5" s="20">
        <f>IF(Simulation!IP5&lt;Obligors!$I$5,1,0)</f>
        <v/>
      </c>
      <c r="IQ5" s="20">
        <f>IF(Simulation!IQ5&lt;Obligors!$I$5,1,0)</f>
        <v/>
      </c>
      <c r="IR5" s="20">
        <f>IF(Simulation!IR5&lt;Obligors!$I$5,1,0)</f>
        <v/>
      </c>
      <c r="IS5" s="20">
        <f>IF(Simulation!IS5&lt;Obligors!$I$5,1,0)</f>
        <v/>
      </c>
      <c r="IT5" s="20">
        <f>IF(Simulation!IT5&lt;Obligors!$I$5,1,0)</f>
        <v/>
      </c>
      <c r="IU5" s="20">
        <f>IF(Simulation!IU5&lt;Obligors!$I$5,1,0)</f>
        <v/>
      </c>
      <c r="IV5" s="20">
        <f>IF(Simulation!IV5&lt;Obligors!$I$5,1,0)</f>
        <v/>
      </c>
      <c r="IW5" s="20">
        <f>IF(Simulation!IW5&lt;Obligors!$I$5,1,0)</f>
        <v/>
      </c>
      <c r="IX5" s="20">
        <f>IF(Simulation!IX5&lt;Obligors!$I$5,1,0)</f>
        <v/>
      </c>
      <c r="IY5" s="20">
        <f>IF(Simulation!IY5&lt;Obligors!$I$5,1,0)</f>
        <v/>
      </c>
      <c r="IZ5" s="20">
        <f>IF(Simulation!IZ5&lt;Obligors!$I$5,1,0)</f>
        <v/>
      </c>
      <c r="JA5" s="20">
        <f>IF(Simulation!JA5&lt;Obligors!$I$5,1,0)</f>
        <v/>
      </c>
      <c r="JB5" s="20">
        <f>IF(Simulation!JB5&lt;Obligors!$I$5,1,0)</f>
        <v/>
      </c>
      <c r="JC5" s="20">
        <f>IF(Simulation!JC5&lt;Obligors!$I$5,1,0)</f>
        <v/>
      </c>
      <c r="JD5" s="20">
        <f>IF(Simulation!JD5&lt;Obligors!$I$5,1,0)</f>
        <v/>
      </c>
      <c r="JE5" s="20">
        <f>IF(Simulation!JE5&lt;Obligors!$I$5,1,0)</f>
        <v/>
      </c>
      <c r="JF5" s="20">
        <f>IF(Simulation!JF5&lt;Obligors!$I$5,1,0)</f>
        <v/>
      </c>
      <c r="JG5" s="20">
        <f>IF(Simulation!JG5&lt;Obligors!$I$5,1,0)</f>
        <v/>
      </c>
      <c r="JH5" s="20">
        <f>IF(Simulation!JH5&lt;Obligors!$I$5,1,0)</f>
        <v/>
      </c>
      <c r="JI5" s="20">
        <f>IF(Simulation!JI5&lt;Obligors!$I$5,1,0)</f>
        <v/>
      </c>
      <c r="JJ5" s="20">
        <f>IF(Simulation!JJ5&lt;Obligors!$I$5,1,0)</f>
        <v/>
      </c>
      <c r="JK5" s="20">
        <f>IF(Simulation!JK5&lt;Obligors!$I$5,1,0)</f>
        <v/>
      </c>
      <c r="JL5" s="20">
        <f>IF(Simulation!JL5&lt;Obligors!$I$5,1,0)</f>
        <v/>
      </c>
      <c r="JM5" s="20">
        <f>IF(Simulation!JM5&lt;Obligors!$I$5,1,0)</f>
        <v/>
      </c>
      <c r="JN5" s="20">
        <f>IF(Simulation!JN5&lt;Obligors!$I$5,1,0)</f>
        <v/>
      </c>
      <c r="JO5" s="20">
        <f>IF(Simulation!JO5&lt;Obligors!$I$5,1,0)</f>
        <v/>
      </c>
      <c r="JP5" s="20">
        <f>IF(Simulation!JP5&lt;Obligors!$I$5,1,0)</f>
        <v/>
      </c>
      <c r="JQ5" s="20">
        <f>IF(Simulation!JQ5&lt;Obligors!$I$5,1,0)</f>
        <v/>
      </c>
      <c r="JR5" s="20">
        <f>IF(Simulation!JR5&lt;Obligors!$I$5,1,0)</f>
        <v/>
      </c>
      <c r="JS5" s="20">
        <f>IF(Simulation!JS5&lt;Obligors!$I$5,1,0)</f>
        <v/>
      </c>
      <c r="JT5" s="20">
        <f>IF(Simulation!JT5&lt;Obligors!$I$5,1,0)</f>
        <v/>
      </c>
      <c r="JU5" s="20">
        <f>IF(Simulation!JU5&lt;Obligors!$I$5,1,0)</f>
        <v/>
      </c>
      <c r="JV5" s="20">
        <f>IF(Simulation!JV5&lt;Obligors!$I$5,1,0)</f>
        <v/>
      </c>
      <c r="JW5" s="20">
        <f>IF(Simulation!JW5&lt;Obligors!$I$5,1,0)</f>
        <v/>
      </c>
      <c r="JX5" s="20">
        <f>IF(Simulation!JX5&lt;Obligors!$I$5,1,0)</f>
        <v/>
      </c>
      <c r="JY5" s="20">
        <f>IF(Simulation!JY5&lt;Obligors!$I$5,1,0)</f>
        <v/>
      </c>
      <c r="JZ5" s="20">
        <f>IF(Simulation!JZ5&lt;Obligors!$I$5,1,0)</f>
        <v/>
      </c>
      <c r="KA5" s="20">
        <f>IF(Simulation!KA5&lt;Obligors!$I$5,1,0)</f>
        <v/>
      </c>
      <c r="KB5" s="20">
        <f>IF(Simulation!KB5&lt;Obligors!$I$5,1,0)</f>
        <v/>
      </c>
      <c r="KC5" s="20">
        <f>IF(Simulation!KC5&lt;Obligors!$I$5,1,0)</f>
        <v/>
      </c>
      <c r="KD5" s="20">
        <f>IF(Simulation!KD5&lt;Obligors!$I$5,1,0)</f>
        <v/>
      </c>
      <c r="KE5" s="20">
        <f>IF(Simulation!KE5&lt;Obligors!$I$5,1,0)</f>
        <v/>
      </c>
      <c r="KF5" s="20">
        <f>IF(Simulation!KF5&lt;Obligors!$I$5,1,0)</f>
        <v/>
      </c>
      <c r="KG5" s="20">
        <f>IF(Simulation!KG5&lt;Obligors!$I$5,1,0)</f>
        <v/>
      </c>
      <c r="KH5" s="20">
        <f>IF(Simulation!KH5&lt;Obligors!$I$5,1,0)</f>
        <v/>
      </c>
      <c r="KI5" s="20">
        <f>IF(Simulation!KI5&lt;Obligors!$I$5,1,0)</f>
        <v/>
      </c>
      <c r="KJ5" s="20">
        <f>IF(Simulation!KJ5&lt;Obligors!$I$5,1,0)</f>
        <v/>
      </c>
      <c r="KK5" s="20">
        <f>IF(Simulation!KK5&lt;Obligors!$I$5,1,0)</f>
        <v/>
      </c>
      <c r="KL5" s="20">
        <f>IF(Simulation!KL5&lt;Obligors!$I$5,1,0)</f>
        <v/>
      </c>
      <c r="KM5" s="20">
        <f>IF(Simulation!KM5&lt;Obligors!$I$5,1,0)</f>
        <v/>
      </c>
      <c r="KN5" s="20">
        <f>IF(Simulation!KN5&lt;Obligors!$I$5,1,0)</f>
        <v/>
      </c>
      <c r="KO5" s="20">
        <f>IF(Simulation!KO5&lt;Obligors!$I$5,1,0)</f>
        <v/>
      </c>
      <c r="KP5" s="20">
        <f>IF(Simulation!KP5&lt;Obligors!$I$5,1,0)</f>
        <v/>
      </c>
      <c r="KQ5" s="20">
        <f>IF(Simulation!KQ5&lt;Obligors!$I$5,1,0)</f>
        <v/>
      </c>
      <c r="KR5" s="20">
        <f>IF(Simulation!KR5&lt;Obligors!$I$5,1,0)</f>
        <v/>
      </c>
      <c r="KS5" s="20">
        <f>IF(Simulation!KS5&lt;Obligors!$I$5,1,0)</f>
        <v/>
      </c>
      <c r="KT5" s="20">
        <f>IF(Simulation!KT5&lt;Obligors!$I$5,1,0)</f>
        <v/>
      </c>
      <c r="KU5" s="20">
        <f>IF(Simulation!KU5&lt;Obligors!$I$5,1,0)</f>
        <v/>
      </c>
      <c r="KV5" s="20">
        <f>IF(Simulation!KV5&lt;Obligors!$I$5,1,0)</f>
        <v/>
      </c>
      <c r="KW5" s="20">
        <f>IF(Simulation!KW5&lt;Obligors!$I$5,1,0)</f>
        <v/>
      </c>
      <c r="KX5" s="20">
        <f>IF(Simulation!KX5&lt;Obligors!$I$5,1,0)</f>
        <v/>
      </c>
      <c r="KY5" s="20">
        <f>IF(Simulation!KY5&lt;Obligors!$I$5,1,0)</f>
        <v/>
      </c>
      <c r="KZ5" s="20">
        <f>IF(Simulation!KZ5&lt;Obligors!$I$5,1,0)</f>
        <v/>
      </c>
      <c r="LA5" s="20">
        <f>IF(Simulation!LA5&lt;Obligors!$I$5,1,0)</f>
        <v/>
      </c>
      <c r="LB5" s="20">
        <f>IF(Simulation!LB5&lt;Obligors!$I$5,1,0)</f>
        <v/>
      </c>
      <c r="LC5" s="20">
        <f>IF(Simulation!LC5&lt;Obligors!$I$5,1,0)</f>
        <v/>
      </c>
      <c r="LD5" s="20">
        <f>IF(Simulation!LD5&lt;Obligors!$I$5,1,0)</f>
        <v/>
      </c>
      <c r="LE5" s="20">
        <f>IF(Simulation!LE5&lt;Obligors!$I$5,1,0)</f>
        <v/>
      </c>
      <c r="LF5" s="20">
        <f>IF(Simulation!LF5&lt;Obligors!$I$5,1,0)</f>
        <v/>
      </c>
      <c r="LG5" s="20">
        <f>IF(Simulation!LG5&lt;Obligors!$I$5,1,0)</f>
        <v/>
      </c>
      <c r="LH5" s="20">
        <f>IF(Simulation!LH5&lt;Obligors!$I$5,1,0)</f>
        <v/>
      </c>
      <c r="LI5" s="20">
        <f>IF(Simulation!LI5&lt;Obligors!$I$5,1,0)</f>
        <v/>
      </c>
      <c r="LJ5" s="20">
        <f>IF(Simulation!LJ5&lt;Obligors!$I$5,1,0)</f>
        <v/>
      </c>
      <c r="LK5" s="20">
        <f>IF(Simulation!LK5&lt;Obligors!$I$5,1,0)</f>
        <v/>
      </c>
      <c r="LL5" s="20">
        <f>IF(Simulation!LL5&lt;Obligors!$I$5,1,0)</f>
        <v/>
      </c>
      <c r="LM5" s="20">
        <f>IF(Simulation!LM5&lt;Obligors!$I$5,1,0)</f>
        <v/>
      </c>
      <c r="LN5" s="20">
        <f>IF(Simulation!LN5&lt;Obligors!$I$5,1,0)</f>
        <v/>
      </c>
      <c r="LO5" s="20">
        <f>IF(Simulation!LO5&lt;Obligors!$I$5,1,0)</f>
        <v/>
      </c>
      <c r="LP5" s="20">
        <f>IF(Simulation!LP5&lt;Obligors!$I$5,1,0)</f>
        <v/>
      </c>
      <c r="LQ5" s="20">
        <f>IF(Simulation!LQ5&lt;Obligors!$I$5,1,0)</f>
        <v/>
      </c>
      <c r="LR5" s="20">
        <f>IF(Simulation!LR5&lt;Obligors!$I$5,1,0)</f>
        <v/>
      </c>
      <c r="LS5" s="20">
        <f>IF(Simulation!LS5&lt;Obligors!$I$5,1,0)</f>
        <v/>
      </c>
      <c r="LT5" s="20">
        <f>IF(Simulation!LT5&lt;Obligors!$I$5,1,0)</f>
        <v/>
      </c>
      <c r="LU5" s="20">
        <f>IF(Simulation!LU5&lt;Obligors!$I$5,1,0)</f>
        <v/>
      </c>
      <c r="LV5" s="20">
        <f>IF(Simulation!LV5&lt;Obligors!$I$5,1,0)</f>
        <v/>
      </c>
      <c r="LW5" s="20">
        <f>IF(Simulation!LW5&lt;Obligors!$I$5,1,0)</f>
        <v/>
      </c>
      <c r="LX5" s="20">
        <f>IF(Simulation!LX5&lt;Obligors!$I$5,1,0)</f>
        <v/>
      </c>
      <c r="LY5" s="20">
        <f>IF(Simulation!LY5&lt;Obligors!$I$5,1,0)</f>
        <v/>
      </c>
      <c r="LZ5" s="20">
        <f>IF(Simulation!LZ5&lt;Obligors!$I$5,1,0)</f>
        <v/>
      </c>
      <c r="MA5" s="20">
        <f>IF(Simulation!MA5&lt;Obligors!$I$5,1,0)</f>
        <v/>
      </c>
      <c r="MB5" s="20">
        <f>IF(Simulation!MB5&lt;Obligors!$I$5,1,0)</f>
        <v/>
      </c>
      <c r="MC5" s="20">
        <f>IF(Simulation!MC5&lt;Obligors!$I$5,1,0)</f>
        <v/>
      </c>
      <c r="MD5" s="20">
        <f>IF(Simulation!MD5&lt;Obligors!$I$5,1,0)</f>
        <v/>
      </c>
      <c r="ME5" s="20">
        <f>IF(Simulation!ME5&lt;Obligors!$I$5,1,0)</f>
        <v/>
      </c>
      <c r="MF5" s="20">
        <f>IF(Simulation!MF5&lt;Obligors!$I$5,1,0)</f>
        <v/>
      </c>
      <c r="MG5" s="20">
        <f>IF(Simulation!MG5&lt;Obligors!$I$5,1,0)</f>
        <v/>
      </c>
      <c r="MH5" s="20">
        <f>IF(Simulation!MH5&lt;Obligors!$I$5,1,0)</f>
        <v/>
      </c>
      <c r="MI5" s="20">
        <f>IF(Simulation!MI5&lt;Obligors!$I$5,1,0)</f>
        <v/>
      </c>
      <c r="MJ5" s="20">
        <f>IF(Simulation!MJ5&lt;Obligors!$I$5,1,0)</f>
        <v/>
      </c>
      <c r="MK5" s="20">
        <f>IF(Simulation!MK5&lt;Obligors!$I$5,1,0)</f>
        <v/>
      </c>
      <c r="ML5" s="20">
        <f>IF(Simulation!ML5&lt;Obligors!$I$5,1,0)</f>
        <v/>
      </c>
      <c r="MM5" s="20">
        <f>IF(Simulation!MM5&lt;Obligors!$I$5,1,0)</f>
        <v/>
      </c>
      <c r="MN5" s="20">
        <f>IF(Simulation!MN5&lt;Obligors!$I$5,1,0)</f>
        <v/>
      </c>
      <c r="MO5" s="20">
        <f>IF(Simulation!MO5&lt;Obligors!$I$5,1,0)</f>
        <v/>
      </c>
      <c r="MP5" s="20">
        <f>IF(Simulation!MP5&lt;Obligors!$I$5,1,0)</f>
        <v/>
      </c>
      <c r="MQ5" s="20">
        <f>IF(Simulation!MQ5&lt;Obligors!$I$5,1,0)</f>
        <v/>
      </c>
      <c r="MR5" s="20">
        <f>IF(Simulation!MR5&lt;Obligors!$I$5,1,0)</f>
        <v/>
      </c>
      <c r="MS5" s="20">
        <f>IF(Simulation!MS5&lt;Obligors!$I$5,1,0)</f>
        <v/>
      </c>
      <c r="MT5" s="20">
        <f>IF(Simulation!MT5&lt;Obligors!$I$5,1,0)</f>
        <v/>
      </c>
      <c r="MU5" s="20">
        <f>IF(Simulation!MU5&lt;Obligors!$I$5,1,0)</f>
        <v/>
      </c>
      <c r="MV5" s="20">
        <f>IF(Simulation!MV5&lt;Obligors!$I$5,1,0)</f>
        <v/>
      </c>
      <c r="MW5" s="20">
        <f>IF(Simulation!MW5&lt;Obligors!$I$5,1,0)</f>
        <v/>
      </c>
      <c r="MX5" s="20">
        <f>IF(Simulation!MX5&lt;Obligors!$I$5,1,0)</f>
        <v/>
      </c>
      <c r="MY5" s="20">
        <f>IF(Simulation!MY5&lt;Obligors!$I$5,1,0)</f>
        <v/>
      </c>
      <c r="MZ5" s="20">
        <f>IF(Simulation!MZ5&lt;Obligors!$I$5,1,0)</f>
        <v/>
      </c>
      <c r="NA5" s="20">
        <f>IF(Simulation!NA5&lt;Obligors!$I$5,1,0)</f>
        <v/>
      </c>
      <c r="NB5" s="20">
        <f>IF(Simulation!NB5&lt;Obligors!$I$5,1,0)</f>
        <v/>
      </c>
      <c r="NC5" s="20">
        <f>IF(Simulation!NC5&lt;Obligors!$I$5,1,0)</f>
        <v/>
      </c>
      <c r="ND5" s="20">
        <f>IF(Simulation!ND5&lt;Obligors!$I$5,1,0)</f>
        <v/>
      </c>
      <c r="NE5" s="20">
        <f>IF(Simulation!NE5&lt;Obligors!$I$5,1,0)</f>
        <v/>
      </c>
      <c r="NF5" s="20">
        <f>IF(Simulation!NF5&lt;Obligors!$I$5,1,0)</f>
        <v/>
      </c>
      <c r="NG5" s="20">
        <f>IF(Simulation!NG5&lt;Obligors!$I$5,1,0)</f>
        <v/>
      </c>
      <c r="NH5" s="20">
        <f>IF(Simulation!NH5&lt;Obligors!$I$5,1,0)</f>
        <v/>
      </c>
      <c r="NI5" s="20">
        <f>IF(Simulation!NI5&lt;Obligors!$I$5,1,0)</f>
        <v/>
      </c>
      <c r="NJ5" s="20">
        <f>IF(Simulation!NJ5&lt;Obligors!$I$5,1,0)</f>
        <v/>
      </c>
      <c r="NK5" s="20">
        <f>IF(Simulation!NK5&lt;Obligors!$I$5,1,0)</f>
        <v/>
      </c>
      <c r="NL5" s="20">
        <f>IF(Simulation!NL5&lt;Obligors!$I$5,1,0)</f>
        <v/>
      </c>
      <c r="NM5" s="20">
        <f>IF(Simulation!NM5&lt;Obligors!$I$5,1,0)</f>
        <v/>
      </c>
      <c r="NN5" s="20">
        <f>IF(Simulation!NN5&lt;Obligors!$I$5,1,0)</f>
        <v/>
      </c>
      <c r="NO5" s="20">
        <f>IF(Simulation!NO5&lt;Obligors!$I$5,1,0)</f>
        <v/>
      </c>
      <c r="NP5" s="20">
        <f>IF(Simulation!NP5&lt;Obligors!$I$5,1,0)</f>
        <v/>
      </c>
      <c r="NQ5" s="20">
        <f>IF(Simulation!NQ5&lt;Obligors!$I$5,1,0)</f>
        <v/>
      </c>
      <c r="NR5" s="20">
        <f>IF(Simulation!NR5&lt;Obligors!$I$5,1,0)</f>
        <v/>
      </c>
      <c r="NS5" s="20">
        <f>IF(Simulation!NS5&lt;Obligors!$I$5,1,0)</f>
        <v/>
      </c>
      <c r="NT5" s="20">
        <f>IF(Simulation!NT5&lt;Obligors!$I$5,1,0)</f>
        <v/>
      </c>
      <c r="NU5" s="20">
        <f>IF(Simulation!NU5&lt;Obligors!$I$5,1,0)</f>
        <v/>
      </c>
      <c r="NV5" s="20">
        <f>IF(Simulation!NV5&lt;Obligors!$I$5,1,0)</f>
        <v/>
      </c>
      <c r="NW5" s="20">
        <f>IF(Simulation!NW5&lt;Obligors!$I$5,1,0)</f>
        <v/>
      </c>
      <c r="NX5" s="20">
        <f>IF(Simulation!NX5&lt;Obligors!$I$5,1,0)</f>
        <v/>
      </c>
      <c r="NY5" s="20">
        <f>IF(Simulation!NY5&lt;Obligors!$I$5,1,0)</f>
        <v/>
      </c>
      <c r="NZ5" s="20">
        <f>IF(Simulation!NZ5&lt;Obligors!$I$5,1,0)</f>
        <v/>
      </c>
      <c r="OA5" s="20">
        <f>IF(Simulation!OA5&lt;Obligors!$I$5,1,0)</f>
        <v/>
      </c>
      <c r="OB5" s="20">
        <f>IF(Simulation!OB5&lt;Obligors!$I$5,1,0)</f>
        <v/>
      </c>
      <c r="OC5" s="20">
        <f>IF(Simulation!OC5&lt;Obligors!$I$5,1,0)</f>
        <v/>
      </c>
      <c r="OD5" s="20">
        <f>IF(Simulation!OD5&lt;Obligors!$I$5,1,0)</f>
        <v/>
      </c>
      <c r="OE5" s="20">
        <f>IF(Simulation!OE5&lt;Obligors!$I$5,1,0)</f>
        <v/>
      </c>
      <c r="OF5" s="20">
        <f>IF(Simulation!OF5&lt;Obligors!$I$5,1,0)</f>
        <v/>
      </c>
      <c r="OG5" s="20">
        <f>IF(Simulation!OG5&lt;Obligors!$I$5,1,0)</f>
        <v/>
      </c>
      <c r="OH5" s="20">
        <f>IF(Simulation!OH5&lt;Obligors!$I$5,1,0)</f>
        <v/>
      </c>
      <c r="OI5" s="20">
        <f>IF(Simulation!OI5&lt;Obligors!$I$5,1,0)</f>
        <v/>
      </c>
      <c r="OJ5" s="20">
        <f>IF(Simulation!OJ5&lt;Obligors!$I$5,1,0)</f>
        <v/>
      </c>
      <c r="OK5" s="20">
        <f>IF(Simulation!OK5&lt;Obligors!$I$5,1,0)</f>
        <v/>
      </c>
      <c r="OL5" s="20">
        <f>IF(Simulation!OL5&lt;Obligors!$I$5,1,0)</f>
        <v/>
      </c>
      <c r="OM5" s="20">
        <f>IF(Simulation!OM5&lt;Obligors!$I$5,1,0)</f>
        <v/>
      </c>
      <c r="ON5" s="20">
        <f>IF(Simulation!ON5&lt;Obligors!$I$5,1,0)</f>
        <v/>
      </c>
      <c r="OO5" s="20">
        <f>IF(Simulation!OO5&lt;Obligors!$I$5,1,0)</f>
        <v/>
      </c>
      <c r="OP5" s="20">
        <f>IF(Simulation!OP5&lt;Obligors!$I$5,1,0)</f>
        <v/>
      </c>
      <c r="OQ5" s="20">
        <f>IF(Simulation!OQ5&lt;Obligors!$I$5,1,0)</f>
        <v/>
      </c>
      <c r="OR5" s="20">
        <f>IF(Simulation!OR5&lt;Obligors!$I$5,1,0)</f>
        <v/>
      </c>
      <c r="OS5" s="20">
        <f>IF(Simulation!OS5&lt;Obligors!$I$5,1,0)</f>
        <v/>
      </c>
      <c r="OT5" s="20">
        <f>IF(Simulation!OT5&lt;Obligors!$I$5,1,0)</f>
        <v/>
      </c>
      <c r="OU5" s="20">
        <f>IF(Simulation!OU5&lt;Obligors!$I$5,1,0)</f>
        <v/>
      </c>
      <c r="OV5" s="20">
        <f>IF(Simulation!OV5&lt;Obligors!$I$5,1,0)</f>
        <v/>
      </c>
      <c r="OW5" s="20">
        <f>IF(Simulation!OW5&lt;Obligors!$I$5,1,0)</f>
        <v/>
      </c>
      <c r="OX5" s="20">
        <f>IF(Simulation!OX5&lt;Obligors!$I$5,1,0)</f>
        <v/>
      </c>
      <c r="OY5" s="20">
        <f>IF(Simulation!OY5&lt;Obligors!$I$5,1,0)</f>
        <v/>
      </c>
      <c r="OZ5" s="20">
        <f>IF(Simulation!OZ5&lt;Obligors!$I$5,1,0)</f>
        <v/>
      </c>
      <c r="PA5" s="20">
        <f>IF(Simulation!PA5&lt;Obligors!$I$5,1,0)</f>
        <v/>
      </c>
      <c r="PB5" s="20">
        <f>IF(Simulation!PB5&lt;Obligors!$I$5,1,0)</f>
        <v/>
      </c>
      <c r="PC5" s="20">
        <f>IF(Simulation!PC5&lt;Obligors!$I$5,1,0)</f>
        <v/>
      </c>
      <c r="PD5" s="20">
        <f>IF(Simulation!PD5&lt;Obligors!$I$5,1,0)</f>
        <v/>
      </c>
      <c r="PE5" s="20">
        <f>IF(Simulation!PE5&lt;Obligors!$I$5,1,0)</f>
        <v/>
      </c>
      <c r="PF5" s="20">
        <f>IF(Simulation!PF5&lt;Obligors!$I$5,1,0)</f>
        <v/>
      </c>
      <c r="PG5" s="20">
        <f>IF(Simulation!PG5&lt;Obligors!$I$5,1,0)</f>
        <v/>
      </c>
      <c r="PH5" s="20">
        <f>IF(Simulation!PH5&lt;Obligors!$I$5,1,0)</f>
        <v/>
      </c>
      <c r="PI5" s="20">
        <f>IF(Simulation!PI5&lt;Obligors!$I$5,1,0)</f>
        <v/>
      </c>
      <c r="PJ5" s="20">
        <f>IF(Simulation!PJ5&lt;Obligors!$I$5,1,0)</f>
        <v/>
      </c>
      <c r="PK5" s="20">
        <f>IF(Simulation!PK5&lt;Obligors!$I$5,1,0)</f>
        <v/>
      </c>
      <c r="PL5" s="20">
        <f>IF(Simulation!PL5&lt;Obligors!$I$5,1,0)</f>
        <v/>
      </c>
      <c r="PM5" s="20">
        <f>IF(Simulation!PM5&lt;Obligors!$I$5,1,0)</f>
        <v/>
      </c>
      <c r="PN5" s="20">
        <f>IF(Simulation!PN5&lt;Obligors!$I$5,1,0)</f>
        <v/>
      </c>
      <c r="PO5" s="20">
        <f>IF(Simulation!PO5&lt;Obligors!$I$5,1,0)</f>
        <v/>
      </c>
      <c r="PP5" s="20">
        <f>IF(Simulation!PP5&lt;Obligors!$I$5,1,0)</f>
        <v/>
      </c>
      <c r="PQ5" s="20">
        <f>IF(Simulation!PQ5&lt;Obligors!$I$5,1,0)</f>
        <v/>
      </c>
      <c r="PR5" s="20">
        <f>IF(Simulation!PR5&lt;Obligors!$I$5,1,0)</f>
        <v/>
      </c>
      <c r="PS5" s="20">
        <f>IF(Simulation!PS5&lt;Obligors!$I$5,1,0)</f>
        <v/>
      </c>
      <c r="PT5" s="20">
        <f>IF(Simulation!PT5&lt;Obligors!$I$5,1,0)</f>
        <v/>
      </c>
      <c r="PU5" s="20">
        <f>IF(Simulation!PU5&lt;Obligors!$I$5,1,0)</f>
        <v/>
      </c>
      <c r="PV5" s="20">
        <f>IF(Simulation!PV5&lt;Obligors!$I$5,1,0)</f>
        <v/>
      </c>
      <c r="PW5" s="20">
        <f>IF(Simulation!PW5&lt;Obligors!$I$5,1,0)</f>
        <v/>
      </c>
      <c r="PX5" s="20">
        <f>IF(Simulation!PX5&lt;Obligors!$I$5,1,0)</f>
        <v/>
      </c>
      <c r="PY5" s="20">
        <f>IF(Simulation!PY5&lt;Obligors!$I$5,1,0)</f>
        <v/>
      </c>
      <c r="PZ5" s="20">
        <f>IF(Simulation!PZ5&lt;Obligors!$I$5,1,0)</f>
        <v/>
      </c>
      <c r="QA5" s="20">
        <f>IF(Simulation!QA5&lt;Obligors!$I$5,1,0)</f>
        <v/>
      </c>
      <c r="QB5" s="20">
        <f>IF(Simulation!QB5&lt;Obligors!$I$5,1,0)</f>
        <v/>
      </c>
      <c r="QC5" s="20">
        <f>IF(Simulation!QC5&lt;Obligors!$I$5,1,0)</f>
        <v/>
      </c>
      <c r="QD5" s="20">
        <f>IF(Simulation!QD5&lt;Obligors!$I$5,1,0)</f>
        <v/>
      </c>
      <c r="QE5" s="20">
        <f>IF(Simulation!QE5&lt;Obligors!$I$5,1,0)</f>
        <v/>
      </c>
      <c r="QF5" s="20">
        <f>IF(Simulation!QF5&lt;Obligors!$I$5,1,0)</f>
        <v/>
      </c>
      <c r="QG5" s="20">
        <f>IF(Simulation!QG5&lt;Obligors!$I$5,1,0)</f>
        <v/>
      </c>
      <c r="QH5" s="20">
        <f>IF(Simulation!QH5&lt;Obligors!$I$5,1,0)</f>
        <v/>
      </c>
      <c r="QI5" s="20">
        <f>IF(Simulation!QI5&lt;Obligors!$I$5,1,0)</f>
        <v/>
      </c>
      <c r="QJ5" s="20">
        <f>IF(Simulation!QJ5&lt;Obligors!$I$5,1,0)</f>
        <v/>
      </c>
      <c r="QK5" s="20">
        <f>IF(Simulation!QK5&lt;Obligors!$I$5,1,0)</f>
        <v/>
      </c>
      <c r="QL5" s="20">
        <f>IF(Simulation!QL5&lt;Obligors!$I$5,1,0)</f>
        <v/>
      </c>
      <c r="QM5" s="20">
        <f>IF(Simulation!QM5&lt;Obligors!$I$5,1,0)</f>
        <v/>
      </c>
      <c r="QN5" s="20">
        <f>IF(Simulation!QN5&lt;Obligors!$I$5,1,0)</f>
        <v/>
      </c>
      <c r="QO5" s="20">
        <f>IF(Simulation!QO5&lt;Obligors!$I$5,1,0)</f>
        <v/>
      </c>
      <c r="QP5" s="20">
        <f>IF(Simulation!QP5&lt;Obligors!$I$5,1,0)</f>
        <v/>
      </c>
      <c r="QQ5" s="20">
        <f>IF(Simulation!QQ5&lt;Obligors!$I$5,1,0)</f>
        <v/>
      </c>
      <c r="QR5" s="20">
        <f>IF(Simulation!QR5&lt;Obligors!$I$5,1,0)</f>
        <v/>
      </c>
      <c r="QS5" s="20">
        <f>IF(Simulation!QS5&lt;Obligors!$I$5,1,0)</f>
        <v/>
      </c>
      <c r="QT5" s="20">
        <f>IF(Simulation!QT5&lt;Obligors!$I$5,1,0)</f>
        <v/>
      </c>
      <c r="QU5" s="20">
        <f>IF(Simulation!QU5&lt;Obligors!$I$5,1,0)</f>
        <v/>
      </c>
      <c r="QV5" s="20">
        <f>IF(Simulation!QV5&lt;Obligors!$I$5,1,0)</f>
        <v/>
      </c>
      <c r="QW5" s="20">
        <f>IF(Simulation!QW5&lt;Obligors!$I$5,1,0)</f>
        <v/>
      </c>
      <c r="QX5" s="20">
        <f>IF(Simulation!QX5&lt;Obligors!$I$5,1,0)</f>
        <v/>
      </c>
      <c r="QY5" s="20">
        <f>IF(Simulation!QY5&lt;Obligors!$I$5,1,0)</f>
        <v/>
      </c>
      <c r="QZ5" s="20">
        <f>IF(Simulation!QZ5&lt;Obligors!$I$5,1,0)</f>
        <v/>
      </c>
      <c r="RA5" s="20">
        <f>IF(Simulation!RA5&lt;Obligors!$I$5,1,0)</f>
        <v/>
      </c>
      <c r="RB5" s="20">
        <f>IF(Simulation!RB5&lt;Obligors!$I$5,1,0)</f>
        <v/>
      </c>
      <c r="RC5" s="20">
        <f>IF(Simulation!RC5&lt;Obligors!$I$5,1,0)</f>
        <v/>
      </c>
      <c r="RD5" s="20">
        <f>IF(Simulation!RD5&lt;Obligors!$I$5,1,0)</f>
        <v/>
      </c>
      <c r="RE5" s="20">
        <f>IF(Simulation!RE5&lt;Obligors!$I$5,1,0)</f>
        <v/>
      </c>
      <c r="RF5" s="20">
        <f>IF(Simulation!RF5&lt;Obligors!$I$5,1,0)</f>
        <v/>
      </c>
      <c r="RG5" s="20">
        <f>IF(Simulation!RG5&lt;Obligors!$I$5,1,0)</f>
        <v/>
      </c>
      <c r="RH5" s="20">
        <f>IF(Simulation!RH5&lt;Obligors!$I$5,1,0)</f>
        <v/>
      </c>
      <c r="RI5" s="20">
        <f>IF(Simulation!RI5&lt;Obligors!$I$5,1,0)</f>
        <v/>
      </c>
      <c r="RJ5" s="20">
        <f>IF(Simulation!RJ5&lt;Obligors!$I$5,1,0)</f>
        <v/>
      </c>
      <c r="RK5" s="20">
        <f>IF(Simulation!RK5&lt;Obligors!$I$5,1,0)</f>
        <v/>
      </c>
      <c r="RL5" s="20">
        <f>IF(Simulation!RL5&lt;Obligors!$I$5,1,0)</f>
        <v/>
      </c>
      <c r="RM5" s="20">
        <f>IF(Simulation!RM5&lt;Obligors!$I$5,1,0)</f>
        <v/>
      </c>
      <c r="RN5" s="20">
        <f>IF(Simulation!RN5&lt;Obligors!$I$5,1,0)</f>
        <v/>
      </c>
      <c r="RO5" s="20">
        <f>IF(Simulation!RO5&lt;Obligors!$I$5,1,0)</f>
        <v/>
      </c>
      <c r="RP5" s="20">
        <f>IF(Simulation!RP5&lt;Obligors!$I$5,1,0)</f>
        <v/>
      </c>
      <c r="RQ5" s="20">
        <f>IF(Simulation!RQ5&lt;Obligors!$I$5,1,0)</f>
        <v/>
      </c>
      <c r="RR5" s="20">
        <f>IF(Simulation!RR5&lt;Obligors!$I$5,1,0)</f>
        <v/>
      </c>
      <c r="RS5" s="20">
        <f>IF(Simulation!RS5&lt;Obligors!$I$5,1,0)</f>
        <v/>
      </c>
      <c r="RT5" s="20">
        <f>IF(Simulation!RT5&lt;Obligors!$I$5,1,0)</f>
        <v/>
      </c>
      <c r="RU5" s="20">
        <f>IF(Simulation!RU5&lt;Obligors!$I$5,1,0)</f>
        <v/>
      </c>
      <c r="RV5" s="20">
        <f>IF(Simulation!RV5&lt;Obligors!$I$5,1,0)</f>
        <v/>
      </c>
      <c r="RW5" s="20">
        <f>IF(Simulation!RW5&lt;Obligors!$I$5,1,0)</f>
        <v/>
      </c>
      <c r="RX5" s="20">
        <f>IF(Simulation!RX5&lt;Obligors!$I$5,1,0)</f>
        <v/>
      </c>
      <c r="RY5" s="20">
        <f>IF(Simulation!RY5&lt;Obligors!$I$5,1,0)</f>
        <v/>
      </c>
      <c r="RZ5" s="20">
        <f>IF(Simulation!RZ5&lt;Obligors!$I$5,1,0)</f>
        <v/>
      </c>
      <c r="SA5" s="20">
        <f>IF(Simulation!SA5&lt;Obligors!$I$5,1,0)</f>
        <v/>
      </c>
      <c r="SB5" s="20">
        <f>IF(Simulation!SB5&lt;Obligors!$I$5,1,0)</f>
        <v/>
      </c>
      <c r="SC5" s="20">
        <f>IF(Simulation!SC5&lt;Obligors!$I$5,1,0)</f>
        <v/>
      </c>
      <c r="SD5" s="20">
        <f>IF(Simulation!SD5&lt;Obligors!$I$5,1,0)</f>
        <v/>
      </c>
      <c r="SE5" s="20">
        <f>IF(Simulation!SE5&lt;Obligors!$I$5,1,0)</f>
        <v/>
      </c>
      <c r="SF5" s="20">
        <f>IF(Simulation!SF5&lt;Obligors!$I$5,1,0)</f>
        <v/>
      </c>
      <c r="SG5" s="20">
        <f>IF(Simulation!SG5&lt;Obligors!$I$5,1,0)</f>
        <v/>
      </c>
    </row>
    <row r="6">
      <c r="A6" s="17" t="inlineStr">
        <is>
          <t>OBL-005</t>
        </is>
      </c>
      <c r="B6" s="20">
        <f>IF(Simulation!B6&lt;Obligors!$I$6,1,0)</f>
        <v/>
      </c>
      <c r="C6" s="20">
        <f>IF(Simulation!C6&lt;Obligors!$I$6,1,0)</f>
        <v/>
      </c>
      <c r="D6" s="20">
        <f>IF(Simulation!D6&lt;Obligors!$I$6,1,0)</f>
        <v/>
      </c>
      <c r="E6" s="20">
        <f>IF(Simulation!E6&lt;Obligors!$I$6,1,0)</f>
        <v/>
      </c>
      <c r="F6" s="20">
        <f>IF(Simulation!F6&lt;Obligors!$I$6,1,0)</f>
        <v/>
      </c>
      <c r="G6" s="20">
        <f>IF(Simulation!G6&lt;Obligors!$I$6,1,0)</f>
        <v/>
      </c>
      <c r="H6" s="20">
        <f>IF(Simulation!H6&lt;Obligors!$I$6,1,0)</f>
        <v/>
      </c>
      <c r="I6" s="20">
        <f>IF(Simulation!I6&lt;Obligors!$I$6,1,0)</f>
        <v/>
      </c>
      <c r="J6" s="20">
        <f>IF(Simulation!J6&lt;Obligors!$I$6,1,0)</f>
        <v/>
      </c>
      <c r="K6" s="20">
        <f>IF(Simulation!K6&lt;Obligors!$I$6,1,0)</f>
        <v/>
      </c>
      <c r="L6" s="20">
        <f>IF(Simulation!L6&lt;Obligors!$I$6,1,0)</f>
        <v/>
      </c>
      <c r="M6" s="20">
        <f>IF(Simulation!M6&lt;Obligors!$I$6,1,0)</f>
        <v/>
      </c>
      <c r="N6" s="20">
        <f>IF(Simulation!N6&lt;Obligors!$I$6,1,0)</f>
        <v/>
      </c>
      <c r="O6" s="20">
        <f>IF(Simulation!O6&lt;Obligors!$I$6,1,0)</f>
        <v/>
      </c>
      <c r="P6" s="20">
        <f>IF(Simulation!P6&lt;Obligors!$I$6,1,0)</f>
        <v/>
      </c>
      <c r="Q6" s="20">
        <f>IF(Simulation!Q6&lt;Obligors!$I$6,1,0)</f>
        <v/>
      </c>
      <c r="R6" s="20">
        <f>IF(Simulation!R6&lt;Obligors!$I$6,1,0)</f>
        <v/>
      </c>
      <c r="S6" s="20">
        <f>IF(Simulation!S6&lt;Obligors!$I$6,1,0)</f>
        <v/>
      </c>
      <c r="T6" s="20">
        <f>IF(Simulation!T6&lt;Obligors!$I$6,1,0)</f>
        <v/>
      </c>
      <c r="U6" s="20">
        <f>IF(Simulation!U6&lt;Obligors!$I$6,1,0)</f>
        <v/>
      </c>
      <c r="V6" s="20">
        <f>IF(Simulation!V6&lt;Obligors!$I$6,1,0)</f>
        <v/>
      </c>
      <c r="W6" s="20">
        <f>IF(Simulation!W6&lt;Obligors!$I$6,1,0)</f>
        <v/>
      </c>
      <c r="X6" s="20">
        <f>IF(Simulation!X6&lt;Obligors!$I$6,1,0)</f>
        <v/>
      </c>
      <c r="Y6" s="20">
        <f>IF(Simulation!Y6&lt;Obligors!$I$6,1,0)</f>
        <v/>
      </c>
      <c r="Z6" s="20">
        <f>IF(Simulation!Z6&lt;Obligors!$I$6,1,0)</f>
        <v/>
      </c>
      <c r="AA6" s="20">
        <f>IF(Simulation!AA6&lt;Obligors!$I$6,1,0)</f>
        <v/>
      </c>
      <c r="AB6" s="20">
        <f>IF(Simulation!AB6&lt;Obligors!$I$6,1,0)</f>
        <v/>
      </c>
      <c r="AC6" s="20">
        <f>IF(Simulation!AC6&lt;Obligors!$I$6,1,0)</f>
        <v/>
      </c>
      <c r="AD6" s="20">
        <f>IF(Simulation!AD6&lt;Obligors!$I$6,1,0)</f>
        <v/>
      </c>
      <c r="AE6" s="20">
        <f>IF(Simulation!AE6&lt;Obligors!$I$6,1,0)</f>
        <v/>
      </c>
      <c r="AF6" s="20">
        <f>IF(Simulation!AF6&lt;Obligors!$I$6,1,0)</f>
        <v/>
      </c>
      <c r="AG6" s="20">
        <f>IF(Simulation!AG6&lt;Obligors!$I$6,1,0)</f>
        <v/>
      </c>
      <c r="AH6" s="20">
        <f>IF(Simulation!AH6&lt;Obligors!$I$6,1,0)</f>
        <v/>
      </c>
      <c r="AI6" s="20">
        <f>IF(Simulation!AI6&lt;Obligors!$I$6,1,0)</f>
        <v/>
      </c>
      <c r="AJ6" s="20">
        <f>IF(Simulation!AJ6&lt;Obligors!$I$6,1,0)</f>
        <v/>
      </c>
      <c r="AK6" s="20">
        <f>IF(Simulation!AK6&lt;Obligors!$I$6,1,0)</f>
        <v/>
      </c>
      <c r="AL6" s="20">
        <f>IF(Simulation!AL6&lt;Obligors!$I$6,1,0)</f>
        <v/>
      </c>
      <c r="AM6" s="20">
        <f>IF(Simulation!AM6&lt;Obligors!$I$6,1,0)</f>
        <v/>
      </c>
      <c r="AN6" s="20">
        <f>IF(Simulation!AN6&lt;Obligors!$I$6,1,0)</f>
        <v/>
      </c>
      <c r="AO6" s="20">
        <f>IF(Simulation!AO6&lt;Obligors!$I$6,1,0)</f>
        <v/>
      </c>
      <c r="AP6" s="20">
        <f>IF(Simulation!AP6&lt;Obligors!$I$6,1,0)</f>
        <v/>
      </c>
      <c r="AQ6" s="20">
        <f>IF(Simulation!AQ6&lt;Obligors!$I$6,1,0)</f>
        <v/>
      </c>
      <c r="AR6" s="20">
        <f>IF(Simulation!AR6&lt;Obligors!$I$6,1,0)</f>
        <v/>
      </c>
      <c r="AS6" s="20">
        <f>IF(Simulation!AS6&lt;Obligors!$I$6,1,0)</f>
        <v/>
      </c>
      <c r="AT6" s="20">
        <f>IF(Simulation!AT6&lt;Obligors!$I$6,1,0)</f>
        <v/>
      </c>
      <c r="AU6" s="20">
        <f>IF(Simulation!AU6&lt;Obligors!$I$6,1,0)</f>
        <v/>
      </c>
      <c r="AV6" s="20">
        <f>IF(Simulation!AV6&lt;Obligors!$I$6,1,0)</f>
        <v/>
      </c>
      <c r="AW6" s="20">
        <f>IF(Simulation!AW6&lt;Obligors!$I$6,1,0)</f>
        <v/>
      </c>
      <c r="AX6" s="20">
        <f>IF(Simulation!AX6&lt;Obligors!$I$6,1,0)</f>
        <v/>
      </c>
      <c r="AY6" s="20">
        <f>IF(Simulation!AY6&lt;Obligors!$I$6,1,0)</f>
        <v/>
      </c>
      <c r="AZ6" s="20">
        <f>IF(Simulation!AZ6&lt;Obligors!$I$6,1,0)</f>
        <v/>
      </c>
      <c r="BA6" s="20">
        <f>IF(Simulation!BA6&lt;Obligors!$I$6,1,0)</f>
        <v/>
      </c>
      <c r="BB6" s="20">
        <f>IF(Simulation!BB6&lt;Obligors!$I$6,1,0)</f>
        <v/>
      </c>
      <c r="BC6" s="20">
        <f>IF(Simulation!BC6&lt;Obligors!$I$6,1,0)</f>
        <v/>
      </c>
      <c r="BD6" s="20">
        <f>IF(Simulation!BD6&lt;Obligors!$I$6,1,0)</f>
        <v/>
      </c>
      <c r="BE6" s="20">
        <f>IF(Simulation!BE6&lt;Obligors!$I$6,1,0)</f>
        <v/>
      </c>
      <c r="BF6" s="20">
        <f>IF(Simulation!BF6&lt;Obligors!$I$6,1,0)</f>
        <v/>
      </c>
      <c r="BG6" s="20">
        <f>IF(Simulation!BG6&lt;Obligors!$I$6,1,0)</f>
        <v/>
      </c>
      <c r="BH6" s="20">
        <f>IF(Simulation!BH6&lt;Obligors!$I$6,1,0)</f>
        <v/>
      </c>
      <c r="BI6" s="20">
        <f>IF(Simulation!BI6&lt;Obligors!$I$6,1,0)</f>
        <v/>
      </c>
      <c r="BJ6" s="20">
        <f>IF(Simulation!BJ6&lt;Obligors!$I$6,1,0)</f>
        <v/>
      </c>
      <c r="BK6" s="20">
        <f>IF(Simulation!BK6&lt;Obligors!$I$6,1,0)</f>
        <v/>
      </c>
      <c r="BL6" s="20">
        <f>IF(Simulation!BL6&lt;Obligors!$I$6,1,0)</f>
        <v/>
      </c>
      <c r="BM6" s="20">
        <f>IF(Simulation!BM6&lt;Obligors!$I$6,1,0)</f>
        <v/>
      </c>
      <c r="BN6" s="20">
        <f>IF(Simulation!BN6&lt;Obligors!$I$6,1,0)</f>
        <v/>
      </c>
      <c r="BO6" s="20">
        <f>IF(Simulation!BO6&lt;Obligors!$I$6,1,0)</f>
        <v/>
      </c>
      <c r="BP6" s="20">
        <f>IF(Simulation!BP6&lt;Obligors!$I$6,1,0)</f>
        <v/>
      </c>
      <c r="BQ6" s="20">
        <f>IF(Simulation!BQ6&lt;Obligors!$I$6,1,0)</f>
        <v/>
      </c>
      <c r="BR6" s="20">
        <f>IF(Simulation!BR6&lt;Obligors!$I$6,1,0)</f>
        <v/>
      </c>
      <c r="BS6" s="20">
        <f>IF(Simulation!BS6&lt;Obligors!$I$6,1,0)</f>
        <v/>
      </c>
      <c r="BT6" s="20">
        <f>IF(Simulation!BT6&lt;Obligors!$I$6,1,0)</f>
        <v/>
      </c>
      <c r="BU6" s="20">
        <f>IF(Simulation!BU6&lt;Obligors!$I$6,1,0)</f>
        <v/>
      </c>
      <c r="BV6" s="20">
        <f>IF(Simulation!BV6&lt;Obligors!$I$6,1,0)</f>
        <v/>
      </c>
      <c r="BW6" s="20">
        <f>IF(Simulation!BW6&lt;Obligors!$I$6,1,0)</f>
        <v/>
      </c>
      <c r="BX6" s="20">
        <f>IF(Simulation!BX6&lt;Obligors!$I$6,1,0)</f>
        <v/>
      </c>
      <c r="BY6" s="20">
        <f>IF(Simulation!BY6&lt;Obligors!$I$6,1,0)</f>
        <v/>
      </c>
      <c r="BZ6" s="20">
        <f>IF(Simulation!BZ6&lt;Obligors!$I$6,1,0)</f>
        <v/>
      </c>
      <c r="CA6" s="20">
        <f>IF(Simulation!CA6&lt;Obligors!$I$6,1,0)</f>
        <v/>
      </c>
      <c r="CB6" s="20">
        <f>IF(Simulation!CB6&lt;Obligors!$I$6,1,0)</f>
        <v/>
      </c>
      <c r="CC6" s="20">
        <f>IF(Simulation!CC6&lt;Obligors!$I$6,1,0)</f>
        <v/>
      </c>
      <c r="CD6" s="20">
        <f>IF(Simulation!CD6&lt;Obligors!$I$6,1,0)</f>
        <v/>
      </c>
      <c r="CE6" s="20">
        <f>IF(Simulation!CE6&lt;Obligors!$I$6,1,0)</f>
        <v/>
      </c>
      <c r="CF6" s="20">
        <f>IF(Simulation!CF6&lt;Obligors!$I$6,1,0)</f>
        <v/>
      </c>
      <c r="CG6" s="20">
        <f>IF(Simulation!CG6&lt;Obligors!$I$6,1,0)</f>
        <v/>
      </c>
      <c r="CH6" s="20">
        <f>IF(Simulation!CH6&lt;Obligors!$I$6,1,0)</f>
        <v/>
      </c>
      <c r="CI6" s="20">
        <f>IF(Simulation!CI6&lt;Obligors!$I$6,1,0)</f>
        <v/>
      </c>
      <c r="CJ6" s="20">
        <f>IF(Simulation!CJ6&lt;Obligors!$I$6,1,0)</f>
        <v/>
      </c>
      <c r="CK6" s="20">
        <f>IF(Simulation!CK6&lt;Obligors!$I$6,1,0)</f>
        <v/>
      </c>
      <c r="CL6" s="20">
        <f>IF(Simulation!CL6&lt;Obligors!$I$6,1,0)</f>
        <v/>
      </c>
      <c r="CM6" s="20">
        <f>IF(Simulation!CM6&lt;Obligors!$I$6,1,0)</f>
        <v/>
      </c>
      <c r="CN6" s="20">
        <f>IF(Simulation!CN6&lt;Obligors!$I$6,1,0)</f>
        <v/>
      </c>
      <c r="CO6" s="20">
        <f>IF(Simulation!CO6&lt;Obligors!$I$6,1,0)</f>
        <v/>
      </c>
      <c r="CP6" s="20">
        <f>IF(Simulation!CP6&lt;Obligors!$I$6,1,0)</f>
        <v/>
      </c>
      <c r="CQ6" s="20">
        <f>IF(Simulation!CQ6&lt;Obligors!$I$6,1,0)</f>
        <v/>
      </c>
      <c r="CR6" s="20">
        <f>IF(Simulation!CR6&lt;Obligors!$I$6,1,0)</f>
        <v/>
      </c>
      <c r="CS6" s="20">
        <f>IF(Simulation!CS6&lt;Obligors!$I$6,1,0)</f>
        <v/>
      </c>
      <c r="CT6" s="20">
        <f>IF(Simulation!CT6&lt;Obligors!$I$6,1,0)</f>
        <v/>
      </c>
      <c r="CU6" s="20">
        <f>IF(Simulation!CU6&lt;Obligors!$I$6,1,0)</f>
        <v/>
      </c>
      <c r="CV6" s="20">
        <f>IF(Simulation!CV6&lt;Obligors!$I$6,1,0)</f>
        <v/>
      </c>
      <c r="CW6" s="20">
        <f>IF(Simulation!CW6&lt;Obligors!$I$6,1,0)</f>
        <v/>
      </c>
      <c r="CX6" s="20">
        <f>IF(Simulation!CX6&lt;Obligors!$I$6,1,0)</f>
        <v/>
      </c>
      <c r="CY6" s="20">
        <f>IF(Simulation!CY6&lt;Obligors!$I$6,1,0)</f>
        <v/>
      </c>
      <c r="CZ6" s="20">
        <f>IF(Simulation!CZ6&lt;Obligors!$I$6,1,0)</f>
        <v/>
      </c>
      <c r="DA6" s="20">
        <f>IF(Simulation!DA6&lt;Obligors!$I$6,1,0)</f>
        <v/>
      </c>
      <c r="DB6" s="20">
        <f>IF(Simulation!DB6&lt;Obligors!$I$6,1,0)</f>
        <v/>
      </c>
      <c r="DC6" s="20">
        <f>IF(Simulation!DC6&lt;Obligors!$I$6,1,0)</f>
        <v/>
      </c>
      <c r="DD6" s="20">
        <f>IF(Simulation!DD6&lt;Obligors!$I$6,1,0)</f>
        <v/>
      </c>
      <c r="DE6" s="20">
        <f>IF(Simulation!DE6&lt;Obligors!$I$6,1,0)</f>
        <v/>
      </c>
      <c r="DF6" s="20">
        <f>IF(Simulation!DF6&lt;Obligors!$I$6,1,0)</f>
        <v/>
      </c>
      <c r="DG6" s="20">
        <f>IF(Simulation!DG6&lt;Obligors!$I$6,1,0)</f>
        <v/>
      </c>
      <c r="DH6" s="20">
        <f>IF(Simulation!DH6&lt;Obligors!$I$6,1,0)</f>
        <v/>
      </c>
      <c r="DI6" s="20">
        <f>IF(Simulation!DI6&lt;Obligors!$I$6,1,0)</f>
        <v/>
      </c>
      <c r="DJ6" s="20">
        <f>IF(Simulation!DJ6&lt;Obligors!$I$6,1,0)</f>
        <v/>
      </c>
      <c r="DK6" s="20">
        <f>IF(Simulation!DK6&lt;Obligors!$I$6,1,0)</f>
        <v/>
      </c>
      <c r="DL6" s="20">
        <f>IF(Simulation!DL6&lt;Obligors!$I$6,1,0)</f>
        <v/>
      </c>
      <c r="DM6" s="20">
        <f>IF(Simulation!DM6&lt;Obligors!$I$6,1,0)</f>
        <v/>
      </c>
      <c r="DN6" s="20">
        <f>IF(Simulation!DN6&lt;Obligors!$I$6,1,0)</f>
        <v/>
      </c>
      <c r="DO6" s="20">
        <f>IF(Simulation!DO6&lt;Obligors!$I$6,1,0)</f>
        <v/>
      </c>
      <c r="DP6" s="20">
        <f>IF(Simulation!DP6&lt;Obligors!$I$6,1,0)</f>
        <v/>
      </c>
      <c r="DQ6" s="20">
        <f>IF(Simulation!DQ6&lt;Obligors!$I$6,1,0)</f>
        <v/>
      </c>
      <c r="DR6" s="20">
        <f>IF(Simulation!DR6&lt;Obligors!$I$6,1,0)</f>
        <v/>
      </c>
      <c r="DS6" s="20">
        <f>IF(Simulation!DS6&lt;Obligors!$I$6,1,0)</f>
        <v/>
      </c>
      <c r="DT6" s="20">
        <f>IF(Simulation!DT6&lt;Obligors!$I$6,1,0)</f>
        <v/>
      </c>
      <c r="DU6" s="20">
        <f>IF(Simulation!DU6&lt;Obligors!$I$6,1,0)</f>
        <v/>
      </c>
      <c r="DV6" s="20">
        <f>IF(Simulation!DV6&lt;Obligors!$I$6,1,0)</f>
        <v/>
      </c>
      <c r="DW6" s="20">
        <f>IF(Simulation!DW6&lt;Obligors!$I$6,1,0)</f>
        <v/>
      </c>
      <c r="DX6" s="20">
        <f>IF(Simulation!DX6&lt;Obligors!$I$6,1,0)</f>
        <v/>
      </c>
      <c r="DY6" s="20">
        <f>IF(Simulation!DY6&lt;Obligors!$I$6,1,0)</f>
        <v/>
      </c>
      <c r="DZ6" s="20">
        <f>IF(Simulation!DZ6&lt;Obligors!$I$6,1,0)</f>
        <v/>
      </c>
      <c r="EA6" s="20">
        <f>IF(Simulation!EA6&lt;Obligors!$I$6,1,0)</f>
        <v/>
      </c>
      <c r="EB6" s="20">
        <f>IF(Simulation!EB6&lt;Obligors!$I$6,1,0)</f>
        <v/>
      </c>
      <c r="EC6" s="20">
        <f>IF(Simulation!EC6&lt;Obligors!$I$6,1,0)</f>
        <v/>
      </c>
      <c r="ED6" s="20">
        <f>IF(Simulation!ED6&lt;Obligors!$I$6,1,0)</f>
        <v/>
      </c>
      <c r="EE6" s="20">
        <f>IF(Simulation!EE6&lt;Obligors!$I$6,1,0)</f>
        <v/>
      </c>
      <c r="EF6" s="20">
        <f>IF(Simulation!EF6&lt;Obligors!$I$6,1,0)</f>
        <v/>
      </c>
      <c r="EG6" s="20">
        <f>IF(Simulation!EG6&lt;Obligors!$I$6,1,0)</f>
        <v/>
      </c>
      <c r="EH6" s="20">
        <f>IF(Simulation!EH6&lt;Obligors!$I$6,1,0)</f>
        <v/>
      </c>
      <c r="EI6" s="20">
        <f>IF(Simulation!EI6&lt;Obligors!$I$6,1,0)</f>
        <v/>
      </c>
      <c r="EJ6" s="20">
        <f>IF(Simulation!EJ6&lt;Obligors!$I$6,1,0)</f>
        <v/>
      </c>
      <c r="EK6" s="20">
        <f>IF(Simulation!EK6&lt;Obligors!$I$6,1,0)</f>
        <v/>
      </c>
      <c r="EL6" s="20">
        <f>IF(Simulation!EL6&lt;Obligors!$I$6,1,0)</f>
        <v/>
      </c>
      <c r="EM6" s="20">
        <f>IF(Simulation!EM6&lt;Obligors!$I$6,1,0)</f>
        <v/>
      </c>
      <c r="EN6" s="20">
        <f>IF(Simulation!EN6&lt;Obligors!$I$6,1,0)</f>
        <v/>
      </c>
      <c r="EO6" s="20">
        <f>IF(Simulation!EO6&lt;Obligors!$I$6,1,0)</f>
        <v/>
      </c>
      <c r="EP6" s="20">
        <f>IF(Simulation!EP6&lt;Obligors!$I$6,1,0)</f>
        <v/>
      </c>
      <c r="EQ6" s="20">
        <f>IF(Simulation!EQ6&lt;Obligors!$I$6,1,0)</f>
        <v/>
      </c>
      <c r="ER6" s="20">
        <f>IF(Simulation!ER6&lt;Obligors!$I$6,1,0)</f>
        <v/>
      </c>
      <c r="ES6" s="20">
        <f>IF(Simulation!ES6&lt;Obligors!$I$6,1,0)</f>
        <v/>
      </c>
      <c r="ET6" s="20">
        <f>IF(Simulation!ET6&lt;Obligors!$I$6,1,0)</f>
        <v/>
      </c>
      <c r="EU6" s="20">
        <f>IF(Simulation!EU6&lt;Obligors!$I$6,1,0)</f>
        <v/>
      </c>
      <c r="EV6" s="20">
        <f>IF(Simulation!EV6&lt;Obligors!$I$6,1,0)</f>
        <v/>
      </c>
      <c r="EW6" s="20">
        <f>IF(Simulation!EW6&lt;Obligors!$I$6,1,0)</f>
        <v/>
      </c>
      <c r="EX6" s="20">
        <f>IF(Simulation!EX6&lt;Obligors!$I$6,1,0)</f>
        <v/>
      </c>
      <c r="EY6" s="20">
        <f>IF(Simulation!EY6&lt;Obligors!$I$6,1,0)</f>
        <v/>
      </c>
      <c r="EZ6" s="20">
        <f>IF(Simulation!EZ6&lt;Obligors!$I$6,1,0)</f>
        <v/>
      </c>
      <c r="FA6" s="20">
        <f>IF(Simulation!FA6&lt;Obligors!$I$6,1,0)</f>
        <v/>
      </c>
      <c r="FB6" s="20">
        <f>IF(Simulation!FB6&lt;Obligors!$I$6,1,0)</f>
        <v/>
      </c>
      <c r="FC6" s="20">
        <f>IF(Simulation!FC6&lt;Obligors!$I$6,1,0)</f>
        <v/>
      </c>
      <c r="FD6" s="20">
        <f>IF(Simulation!FD6&lt;Obligors!$I$6,1,0)</f>
        <v/>
      </c>
      <c r="FE6" s="20">
        <f>IF(Simulation!FE6&lt;Obligors!$I$6,1,0)</f>
        <v/>
      </c>
      <c r="FF6" s="20">
        <f>IF(Simulation!FF6&lt;Obligors!$I$6,1,0)</f>
        <v/>
      </c>
      <c r="FG6" s="20">
        <f>IF(Simulation!FG6&lt;Obligors!$I$6,1,0)</f>
        <v/>
      </c>
      <c r="FH6" s="20">
        <f>IF(Simulation!FH6&lt;Obligors!$I$6,1,0)</f>
        <v/>
      </c>
      <c r="FI6" s="20">
        <f>IF(Simulation!FI6&lt;Obligors!$I$6,1,0)</f>
        <v/>
      </c>
      <c r="FJ6" s="20">
        <f>IF(Simulation!FJ6&lt;Obligors!$I$6,1,0)</f>
        <v/>
      </c>
      <c r="FK6" s="20">
        <f>IF(Simulation!FK6&lt;Obligors!$I$6,1,0)</f>
        <v/>
      </c>
      <c r="FL6" s="20">
        <f>IF(Simulation!FL6&lt;Obligors!$I$6,1,0)</f>
        <v/>
      </c>
      <c r="FM6" s="20">
        <f>IF(Simulation!FM6&lt;Obligors!$I$6,1,0)</f>
        <v/>
      </c>
      <c r="FN6" s="20">
        <f>IF(Simulation!FN6&lt;Obligors!$I$6,1,0)</f>
        <v/>
      </c>
      <c r="FO6" s="20">
        <f>IF(Simulation!FO6&lt;Obligors!$I$6,1,0)</f>
        <v/>
      </c>
      <c r="FP6" s="20">
        <f>IF(Simulation!FP6&lt;Obligors!$I$6,1,0)</f>
        <v/>
      </c>
      <c r="FQ6" s="20">
        <f>IF(Simulation!FQ6&lt;Obligors!$I$6,1,0)</f>
        <v/>
      </c>
      <c r="FR6" s="20">
        <f>IF(Simulation!FR6&lt;Obligors!$I$6,1,0)</f>
        <v/>
      </c>
      <c r="FS6" s="20">
        <f>IF(Simulation!FS6&lt;Obligors!$I$6,1,0)</f>
        <v/>
      </c>
      <c r="FT6" s="20">
        <f>IF(Simulation!FT6&lt;Obligors!$I$6,1,0)</f>
        <v/>
      </c>
      <c r="FU6" s="20">
        <f>IF(Simulation!FU6&lt;Obligors!$I$6,1,0)</f>
        <v/>
      </c>
      <c r="FV6" s="20">
        <f>IF(Simulation!FV6&lt;Obligors!$I$6,1,0)</f>
        <v/>
      </c>
      <c r="FW6" s="20">
        <f>IF(Simulation!FW6&lt;Obligors!$I$6,1,0)</f>
        <v/>
      </c>
      <c r="FX6" s="20">
        <f>IF(Simulation!FX6&lt;Obligors!$I$6,1,0)</f>
        <v/>
      </c>
      <c r="FY6" s="20">
        <f>IF(Simulation!FY6&lt;Obligors!$I$6,1,0)</f>
        <v/>
      </c>
      <c r="FZ6" s="20">
        <f>IF(Simulation!FZ6&lt;Obligors!$I$6,1,0)</f>
        <v/>
      </c>
      <c r="GA6" s="20">
        <f>IF(Simulation!GA6&lt;Obligors!$I$6,1,0)</f>
        <v/>
      </c>
      <c r="GB6" s="20">
        <f>IF(Simulation!GB6&lt;Obligors!$I$6,1,0)</f>
        <v/>
      </c>
      <c r="GC6" s="20">
        <f>IF(Simulation!GC6&lt;Obligors!$I$6,1,0)</f>
        <v/>
      </c>
      <c r="GD6" s="20">
        <f>IF(Simulation!GD6&lt;Obligors!$I$6,1,0)</f>
        <v/>
      </c>
      <c r="GE6" s="20">
        <f>IF(Simulation!GE6&lt;Obligors!$I$6,1,0)</f>
        <v/>
      </c>
      <c r="GF6" s="20">
        <f>IF(Simulation!GF6&lt;Obligors!$I$6,1,0)</f>
        <v/>
      </c>
      <c r="GG6" s="20">
        <f>IF(Simulation!GG6&lt;Obligors!$I$6,1,0)</f>
        <v/>
      </c>
      <c r="GH6" s="20">
        <f>IF(Simulation!GH6&lt;Obligors!$I$6,1,0)</f>
        <v/>
      </c>
      <c r="GI6" s="20">
        <f>IF(Simulation!GI6&lt;Obligors!$I$6,1,0)</f>
        <v/>
      </c>
      <c r="GJ6" s="20">
        <f>IF(Simulation!GJ6&lt;Obligors!$I$6,1,0)</f>
        <v/>
      </c>
      <c r="GK6" s="20">
        <f>IF(Simulation!GK6&lt;Obligors!$I$6,1,0)</f>
        <v/>
      </c>
      <c r="GL6" s="20">
        <f>IF(Simulation!GL6&lt;Obligors!$I$6,1,0)</f>
        <v/>
      </c>
      <c r="GM6" s="20">
        <f>IF(Simulation!GM6&lt;Obligors!$I$6,1,0)</f>
        <v/>
      </c>
      <c r="GN6" s="20">
        <f>IF(Simulation!GN6&lt;Obligors!$I$6,1,0)</f>
        <v/>
      </c>
      <c r="GO6" s="20">
        <f>IF(Simulation!GO6&lt;Obligors!$I$6,1,0)</f>
        <v/>
      </c>
      <c r="GP6" s="20">
        <f>IF(Simulation!GP6&lt;Obligors!$I$6,1,0)</f>
        <v/>
      </c>
      <c r="GQ6" s="20">
        <f>IF(Simulation!GQ6&lt;Obligors!$I$6,1,0)</f>
        <v/>
      </c>
      <c r="GR6" s="20">
        <f>IF(Simulation!GR6&lt;Obligors!$I$6,1,0)</f>
        <v/>
      </c>
      <c r="GS6" s="20">
        <f>IF(Simulation!GS6&lt;Obligors!$I$6,1,0)</f>
        <v/>
      </c>
      <c r="GT6" s="20">
        <f>IF(Simulation!GT6&lt;Obligors!$I$6,1,0)</f>
        <v/>
      </c>
      <c r="GU6" s="20">
        <f>IF(Simulation!GU6&lt;Obligors!$I$6,1,0)</f>
        <v/>
      </c>
      <c r="GV6" s="20">
        <f>IF(Simulation!GV6&lt;Obligors!$I$6,1,0)</f>
        <v/>
      </c>
      <c r="GW6" s="20">
        <f>IF(Simulation!GW6&lt;Obligors!$I$6,1,0)</f>
        <v/>
      </c>
      <c r="GX6" s="20">
        <f>IF(Simulation!GX6&lt;Obligors!$I$6,1,0)</f>
        <v/>
      </c>
      <c r="GY6" s="20">
        <f>IF(Simulation!GY6&lt;Obligors!$I$6,1,0)</f>
        <v/>
      </c>
      <c r="GZ6" s="20">
        <f>IF(Simulation!GZ6&lt;Obligors!$I$6,1,0)</f>
        <v/>
      </c>
      <c r="HA6" s="20">
        <f>IF(Simulation!HA6&lt;Obligors!$I$6,1,0)</f>
        <v/>
      </c>
      <c r="HB6" s="20">
        <f>IF(Simulation!HB6&lt;Obligors!$I$6,1,0)</f>
        <v/>
      </c>
      <c r="HC6" s="20">
        <f>IF(Simulation!HC6&lt;Obligors!$I$6,1,0)</f>
        <v/>
      </c>
      <c r="HD6" s="20">
        <f>IF(Simulation!HD6&lt;Obligors!$I$6,1,0)</f>
        <v/>
      </c>
      <c r="HE6" s="20">
        <f>IF(Simulation!HE6&lt;Obligors!$I$6,1,0)</f>
        <v/>
      </c>
      <c r="HF6" s="20">
        <f>IF(Simulation!HF6&lt;Obligors!$I$6,1,0)</f>
        <v/>
      </c>
      <c r="HG6" s="20">
        <f>IF(Simulation!HG6&lt;Obligors!$I$6,1,0)</f>
        <v/>
      </c>
      <c r="HH6" s="20">
        <f>IF(Simulation!HH6&lt;Obligors!$I$6,1,0)</f>
        <v/>
      </c>
      <c r="HI6" s="20">
        <f>IF(Simulation!HI6&lt;Obligors!$I$6,1,0)</f>
        <v/>
      </c>
      <c r="HJ6" s="20">
        <f>IF(Simulation!HJ6&lt;Obligors!$I$6,1,0)</f>
        <v/>
      </c>
      <c r="HK6" s="20">
        <f>IF(Simulation!HK6&lt;Obligors!$I$6,1,0)</f>
        <v/>
      </c>
      <c r="HL6" s="20">
        <f>IF(Simulation!HL6&lt;Obligors!$I$6,1,0)</f>
        <v/>
      </c>
      <c r="HM6" s="20">
        <f>IF(Simulation!HM6&lt;Obligors!$I$6,1,0)</f>
        <v/>
      </c>
      <c r="HN6" s="20">
        <f>IF(Simulation!HN6&lt;Obligors!$I$6,1,0)</f>
        <v/>
      </c>
      <c r="HO6" s="20">
        <f>IF(Simulation!HO6&lt;Obligors!$I$6,1,0)</f>
        <v/>
      </c>
      <c r="HP6" s="20">
        <f>IF(Simulation!HP6&lt;Obligors!$I$6,1,0)</f>
        <v/>
      </c>
      <c r="HQ6" s="20">
        <f>IF(Simulation!HQ6&lt;Obligors!$I$6,1,0)</f>
        <v/>
      </c>
      <c r="HR6" s="20">
        <f>IF(Simulation!HR6&lt;Obligors!$I$6,1,0)</f>
        <v/>
      </c>
      <c r="HS6" s="20">
        <f>IF(Simulation!HS6&lt;Obligors!$I$6,1,0)</f>
        <v/>
      </c>
      <c r="HT6" s="20">
        <f>IF(Simulation!HT6&lt;Obligors!$I$6,1,0)</f>
        <v/>
      </c>
      <c r="HU6" s="20">
        <f>IF(Simulation!HU6&lt;Obligors!$I$6,1,0)</f>
        <v/>
      </c>
      <c r="HV6" s="20">
        <f>IF(Simulation!HV6&lt;Obligors!$I$6,1,0)</f>
        <v/>
      </c>
      <c r="HW6" s="20">
        <f>IF(Simulation!HW6&lt;Obligors!$I$6,1,0)</f>
        <v/>
      </c>
      <c r="HX6" s="20">
        <f>IF(Simulation!HX6&lt;Obligors!$I$6,1,0)</f>
        <v/>
      </c>
      <c r="HY6" s="20">
        <f>IF(Simulation!HY6&lt;Obligors!$I$6,1,0)</f>
        <v/>
      </c>
      <c r="HZ6" s="20">
        <f>IF(Simulation!HZ6&lt;Obligors!$I$6,1,0)</f>
        <v/>
      </c>
      <c r="IA6" s="20">
        <f>IF(Simulation!IA6&lt;Obligors!$I$6,1,0)</f>
        <v/>
      </c>
      <c r="IB6" s="20">
        <f>IF(Simulation!IB6&lt;Obligors!$I$6,1,0)</f>
        <v/>
      </c>
      <c r="IC6" s="20">
        <f>IF(Simulation!IC6&lt;Obligors!$I$6,1,0)</f>
        <v/>
      </c>
      <c r="ID6" s="20">
        <f>IF(Simulation!ID6&lt;Obligors!$I$6,1,0)</f>
        <v/>
      </c>
      <c r="IE6" s="20">
        <f>IF(Simulation!IE6&lt;Obligors!$I$6,1,0)</f>
        <v/>
      </c>
      <c r="IF6" s="20">
        <f>IF(Simulation!IF6&lt;Obligors!$I$6,1,0)</f>
        <v/>
      </c>
      <c r="IG6" s="20">
        <f>IF(Simulation!IG6&lt;Obligors!$I$6,1,0)</f>
        <v/>
      </c>
      <c r="IH6" s="20">
        <f>IF(Simulation!IH6&lt;Obligors!$I$6,1,0)</f>
        <v/>
      </c>
      <c r="II6" s="20">
        <f>IF(Simulation!II6&lt;Obligors!$I$6,1,0)</f>
        <v/>
      </c>
      <c r="IJ6" s="20">
        <f>IF(Simulation!IJ6&lt;Obligors!$I$6,1,0)</f>
        <v/>
      </c>
      <c r="IK6" s="20">
        <f>IF(Simulation!IK6&lt;Obligors!$I$6,1,0)</f>
        <v/>
      </c>
      <c r="IL6" s="20">
        <f>IF(Simulation!IL6&lt;Obligors!$I$6,1,0)</f>
        <v/>
      </c>
      <c r="IM6" s="20">
        <f>IF(Simulation!IM6&lt;Obligors!$I$6,1,0)</f>
        <v/>
      </c>
      <c r="IN6" s="20">
        <f>IF(Simulation!IN6&lt;Obligors!$I$6,1,0)</f>
        <v/>
      </c>
      <c r="IO6" s="20">
        <f>IF(Simulation!IO6&lt;Obligors!$I$6,1,0)</f>
        <v/>
      </c>
      <c r="IP6" s="20">
        <f>IF(Simulation!IP6&lt;Obligors!$I$6,1,0)</f>
        <v/>
      </c>
      <c r="IQ6" s="20">
        <f>IF(Simulation!IQ6&lt;Obligors!$I$6,1,0)</f>
        <v/>
      </c>
      <c r="IR6" s="20">
        <f>IF(Simulation!IR6&lt;Obligors!$I$6,1,0)</f>
        <v/>
      </c>
      <c r="IS6" s="20">
        <f>IF(Simulation!IS6&lt;Obligors!$I$6,1,0)</f>
        <v/>
      </c>
      <c r="IT6" s="20">
        <f>IF(Simulation!IT6&lt;Obligors!$I$6,1,0)</f>
        <v/>
      </c>
      <c r="IU6" s="20">
        <f>IF(Simulation!IU6&lt;Obligors!$I$6,1,0)</f>
        <v/>
      </c>
      <c r="IV6" s="20">
        <f>IF(Simulation!IV6&lt;Obligors!$I$6,1,0)</f>
        <v/>
      </c>
      <c r="IW6" s="20">
        <f>IF(Simulation!IW6&lt;Obligors!$I$6,1,0)</f>
        <v/>
      </c>
      <c r="IX6" s="20">
        <f>IF(Simulation!IX6&lt;Obligors!$I$6,1,0)</f>
        <v/>
      </c>
      <c r="IY6" s="20">
        <f>IF(Simulation!IY6&lt;Obligors!$I$6,1,0)</f>
        <v/>
      </c>
      <c r="IZ6" s="20">
        <f>IF(Simulation!IZ6&lt;Obligors!$I$6,1,0)</f>
        <v/>
      </c>
      <c r="JA6" s="20">
        <f>IF(Simulation!JA6&lt;Obligors!$I$6,1,0)</f>
        <v/>
      </c>
      <c r="JB6" s="20">
        <f>IF(Simulation!JB6&lt;Obligors!$I$6,1,0)</f>
        <v/>
      </c>
      <c r="JC6" s="20">
        <f>IF(Simulation!JC6&lt;Obligors!$I$6,1,0)</f>
        <v/>
      </c>
      <c r="JD6" s="20">
        <f>IF(Simulation!JD6&lt;Obligors!$I$6,1,0)</f>
        <v/>
      </c>
      <c r="JE6" s="20">
        <f>IF(Simulation!JE6&lt;Obligors!$I$6,1,0)</f>
        <v/>
      </c>
      <c r="JF6" s="20">
        <f>IF(Simulation!JF6&lt;Obligors!$I$6,1,0)</f>
        <v/>
      </c>
      <c r="JG6" s="20">
        <f>IF(Simulation!JG6&lt;Obligors!$I$6,1,0)</f>
        <v/>
      </c>
      <c r="JH6" s="20">
        <f>IF(Simulation!JH6&lt;Obligors!$I$6,1,0)</f>
        <v/>
      </c>
      <c r="JI6" s="20">
        <f>IF(Simulation!JI6&lt;Obligors!$I$6,1,0)</f>
        <v/>
      </c>
      <c r="JJ6" s="20">
        <f>IF(Simulation!JJ6&lt;Obligors!$I$6,1,0)</f>
        <v/>
      </c>
      <c r="JK6" s="20">
        <f>IF(Simulation!JK6&lt;Obligors!$I$6,1,0)</f>
        <v/>
      </c>
      <c r="JL6" s="20">
        <f>IF(Simulation!JL6&lt;Obligors!$I$6,1,0)</f>
        <v/>
      </c>
      <c r="JM6" s="20">
        <f>IF(Simulation!JM6&lt;Obligors!$I$6,1,0)</f>
        <v/>
      </c>
      <c r="JN6" s="20">
        <f>IF(Simulation!JN6&lt;Obligors!$I$6,1,0)</f>
        <v/>
      </c>
      <c r="JO6" s="20">
        <f>IF(Simulation!JO6&lt;Obligors!$I$6,1,0)</f>
        <v/>
      </c>
      <c r="JP6" s="20">
        <f>IF(Simulation!JP6&lt;Obligors!$I$6,1,0)</f>
        <v/>
      </c>
      <c r="JQ6" s="20">
        <f>IF(Simulation!JQ6&lt;Obligors!$I$6,1,0)</f>
        <v/>
      </c>
      <c r="JR6" s="20">
        <f>IF(Simulation!JR6&lt;Obligors!$I$6,1,0)</f>
        <v/>
      </c>
      <c r="JS6" s="20">
        <f>IF(Simulation!JS6&lt;Obligors!$I$6,1,0)</f>
        <v/>
      </c>
      <c r="JT6" s="20">
        <f>IF(Simulation!JT6&lt;Obligors!$I$6,1,0)</f>
        <v/>
      </c>
      <c r="JU6" s="20">
        <f>IF(Simulation!JU6&lt;Obligors!$I$6,1,0)</f>
        <v/>
      </c>
      <c r="JV6" s="20">
        <f>IF(Simulation!JV6&lt;Obligors!$I$6,1,0)</f>
        <v/>
      </c>
      <c r="JW6" s="20">
        <f>IF(Simulation!JW6&lt;Obligors!$I$6,1,0)</f>
        <v/>
      </c>
      <c r="JX6" s="20">
        <f>IF(Simulation!JX6&lt;Obligors!$I$6,1,0)</f>
        <v/>
      </c>
      <c r="JY6" s="20">
        <f>IF(Simulation!JY6&lt;Obligors!$I$6,1,0)</f>
        <v/>
      </c>
      <c r="JZ6" s="20">
        <f>IF(Simulation!JZ6&lt;Obligors!$I$6,1,0)</f>
        <v/>
      </c>
      <c r="KA6" s="20">
        <f>IF(Simulation!KA6&lt;Obligors!$I$6,1,0)</f>
        <v/>
      </c>
      <c r="KB6" s="20">
        <f>IF(Simulation!KB6&lt;Obligors!$I$6,1,0)</f>
        <v/>
      </c>
      <c r="KC6" s="20">
        <f>IF(Simulation!KC6&lt;Obligors!$I$6,1,0)</f>
        <v/>
      </c>
      <c r="KD6" s="20">
        <f>IF(Simulation!KD6&lt;Obligors!$I$6,1,0)</f>
        <v/>
      </c>
      <c r="KE6" s="20">
        <f>IF(Simulation!KE6&lt;Obligors!$I$6,1,0)</f>
        <v/>
      </c>
      <c r="KF6" s="20">
        <f>IF(Simulation!KF6&lt;Obligors!$I$6,1,0)</f>
        <v/>
      </c>
      <c r="KG6" s="20">
        <f>IF(Simulation!KG6&lt;Obligors!$I$6,1,0)</f>
        <v/>
      </c>
      <c r="KH6" s="20">
        <f>IF(Simulation!KH6&lt;Obligors!$I$6,1,0)</f>
        <v/>
      </c>
      <c r="KI6" s="20">
        <f>IF(Simulation!KI6&lt;Obligors!$I$6,1,0)</f>
        <v/>
      </c>
      <c r="KJ6" s="20">
        <f>IF(Simulation!KJ6&lt;Obligors!$I$6,1,0)</f>
        <v/>
      </c>
      <c r="KK6" s="20">
        <f>IF(Simulation!KK6&lt;Obligors!$I$6,1,0)</f>
        <v/>
      </c>
      <c r="KL6" s="20">
        <f>IF(Simulation!KL6&lt;Obligors!$I$6,1,0)</f>
        <v/>
      </c>
      <c r="KM6" s="20">
        <f>IF(Simulation!KM6&lt;Obligors!$I$6,1,0)</f>
        <v/>
      </c>
      <c r="KN6" s="20">
        <f>IF(Simulation!KN6&lt;Obligors!$I$6,1,0)</f>
        <v/>
      </c>
      <c r="KO6" s="20">
        <f>IF(Simulation!KO6&lt;Obligors!$I$6,1,0)</f>
        <v/>
      </c>
      <c r="KP6" s="20">
        <f>IF(Simulation!KP6&lt;Obligors!$I$6,1,0)</f>
        <v/>
      </c>
      <c r="KQ6" s="20">
        <f>IF(Simulation!KQ6&lt;Obligors!$I$6,1,0)</f>
        <v/>
      </c>
      <c r="KR6" s="20">
        <f>IF(Simulation!KR6&lt;Obligors!$I$6,1,0)</f>
        <v/>
      </c>
      <c r="KS6" s="20">
        <f>IF(Simulation!KS6&lt;Obligors!$I$6,1,0)</f>
        <v/>
      </c>
      <c r="KT6" s="20">
        <f>IF(Simulation!KT6&lt;Obligors!$I$6,1,0)</f>
        <v/>
      </c>
      <c r="KU6" s="20">
        <f>IF(Simulation!KU6&lt;Obligors!$I$6,1,0)</f>
        <v/>
      </c>
      <c r="KV6" s="20">
        <f>IF(Simulation!KV6&lt;Obligors!$I$6,1,0)</f>
        <v/>
      </c>
      <c r="KW6" s="20">
        <f>IF(Simulation!KW6&lt;Obligors!$I$6,1,0)</f>
        <v/>
      </c>
      <c r="KX6" s="20">
        <f>IF(Simulation!KX6&lt;Obligors!$I$6,1,0)</f>
        <v/>
      </c>
      <c r="KY6" s="20">
        <f>IF(Simulation!KY6&lt;Obligors!$I$6,1,0)</f>
        <v/>
      </c>
      <c r="KZ6" s="20">
        <f>IF(Simulation!KZ6&lt;Obligors!$I$6,1,0)</f>
        <v/>
      </c>
      <c r="LA6" s="20">
        <f>IF(Simulation!LA6&lt;Obligors!$I$6,1,0)</f>
        <v/>
      </c>
      <c r="LB6" s="20">
        <f>IF(Simulation!LB6&lt;Obligors!$I$6,1,0)</f>
        <v/>
      </c>
      <c r="LC6" s="20">
        <f>IF(Simulation!LC6&lt;Obligors!$I$6,1,0)</f>
        <v/>
      </c>
      <c r="LD6" s="20">
        <f>IF(Simulation!LD6&lt;Obligors!$I$6,1,0)</f>
        <v/>
      </c>
      <c r="LE6" s="20">
        <f>IF(Simulation!LE6&lt;Obligors!$I$6,1,0)</f>
        <v/>
      </c>
      <c r="LF6" s="20">
        <f>IF(Simulation!LF6&lt;Obligors!$I$6,1,0)</f>
        <v/>
      </c>
      <c r="LG6" s="20">
        <f>IF(Simulation!LG6&lt;Obligors!$I$6,1,0)</f>
        <v/>
      </c>
      <c r="LH6" s="20">
        <f>IF(Simulation!LH6&lt;Obligors!$I$6,1,0)</f>
        <v/>
      </c>
      <c r="LI6" s="20">
        <f>IF(Simulation!LI6&lt;Obligors!$I$6,1,0)</f>
        <v/>
      </c>
      <c r="LJ6" s="20">
        <f>IF(Simulation!LJ6&lt;Obligors!$I$6,1,0)</f>
        <v/>
      </c>
      <c r="LK6" s="20">
        <f>IF(Simulation!LK6&lt;Obligors!$I$6,1,0)</f>
        <v/>
      </c>
      <c r="LL6" s="20">
        <f>IF(Simulation!LL6&lt;Obligors!$I$6,1,0)</f>
        <v/>
      </c>
      <c r="LM6" s="20">
        <f>IF(Simulation!LM6&lt;Obligors!$I$6,1,0)</f>
        <v/>
      </c>
      <c r="LN6" s="20">
        <f>IF(Simulation!LN6&lt;Obligors!$I$6,1,0)</f>
        <v/>
      </c>
      <c r="LO6" s="20">
        <f>IF(Simulation!LO6&lt;Obligors!$I$6,1,0)</f>
        <v/>
      </c>
      <c r="LP6" s="20">
        <f>IF(Simulation!LP6&lt;Obligors!$I$6,1,0)</f>
        <v/>
      </c>
      <c r="LQ6" s="20">
        <f>IF(Simulation!LQ6&lt;Obligors!$I$6,1,0)</f>
        <v/>
      </c>
      <c r="LR6" s="20">
        <f>IF(Simulation!LR6&lt;Obligors!$I$6,1,0)</f>
        <v/>
      </c>
      <c r="LS6" s="20">
        <f>IF(Simulation!LS6&lt;Obligors!$I$6,1,0)</f>
        <v/>
      </c>
      <c r="LT6" s="20">
        <f>IF(Simulation!LT6&lt;Obligors!$I$6,1,0)</f>
        <v/>
      </c>
      <c r="LU6" s="20">
        <f>IF(Simulation!LU6&lt;Obligors!$I$6,1,0)</f>
        <v/>
      </c>
      <c r="LV6" s="20">
        <f>IF(Simulation!LV6&lt;Obligors!$I$6,1,0)</f>
        <v/>
      </c>
      <c r="LW6" s="20">
        <f>IF(Simulation!LW6&lt;Obligors!$I$6,1,0)</f>
        <v/>
      </c>
      <c r="LX6" s="20">
        <f>IF(Simulation!LX6&lt;Obligors!$I$6,1,0)</f>
        <v/>
      </c>
      <c r="LY6" s="20">
        <f>IF(Simulation!LY6&lt;Obligors!$I$6,1,0)</f>
        <v/>
      </c>
      <c r="LZ6" s="20">
        <f>IF(Simulation!LZ6&lt;Obligors!$I$6,1,0)</f>
        <v/>
      </c>
      <c r="MA6" s="20">
        <f>IF(Simulation!MA6&lt;Obligors!$I$6,1,0)</f>
        <v/>
      </c>
      <c r="MB6" s="20">
        <f>IF(Simulation!MB6&lt;Obligors!$I$6,1,0)</f>
        <v/>
      </c>
      <c r="MC6" s="20">
        <f>IF(Simulation!MC6&lt;Obligors!$I$6,1,0)</f>
        <v/>
      </c>
      <c r="MD6" s="20">
        <f>IF(Simulation!MD6&lt;Obligors!$I$6,1,0)</f>
        <v/>
      </c>
      <c r="ME6" s="20">
        <f>IF(Simulation!ME6&lt;Obligors!$I$6,1,0)</f>
        <v/>
      </c>
      <c r="MF6" s="20">
        <f>IF(Simulation!MF6&lt;Obligors!$I$6,1,0)</f>
        <v/>
      </c>
      <c r="MG6" s="20">
        <f>IF(Simulation!MG6&lt;Obligors!$I$6,1,0)</f>
        <v/>
      </c>
      <c r="MH6" s="20">
        <f>IF(Simulation!MH6&lt;Obligors!$I$6,1,0)</f>
        <v/>
      </c>
      <c r="MI6" s="20">
        <f>IF(Simulation!MI6&lt;Obligors!$I$6,1,0)</f>
        <v/>
      </c>
      <c r="MJ6" s="20">
        <f>IF(Simulation!MJ6&lt;Obligors!$I$6,1,0)</f>
        <v/>
      </c>
      <c r="MK6" s="20">
        <f>IF(Simulation!MK6&lt;Obligors!$I$6,1,0)</f>
        <v/>
      </c>
      <c r="ML6" s="20">
        <f>IF(Simulation!ML6&lt;Obligors!$I$6,1,0)</f>
        <v/>
      </c>
      <c r="MM6" s="20">
        <f>IF(Simulation!MM6&lt;Obligors!$I$6,1,0)</f>
        <v/>
      </c>
      <c r="MN6" s="20">
        <f>IF(Simulation!MN6&lt;Obligors!$I$6,1,0)</f>
        <v/>
      </c>
      <c r="MO6" s="20">
        <f>IF(Simulation!MO6&lt;Obligors!$I$6,1,0)</f>
        <v/>
      </c>
      <c r="MP6" s="20">
        <f>IF(Simulation!MP6&lt;Obligors!$I$6,1,0)</f>
        <v/>
      </c>
      <c r="MQ6" s="20">
        <f>IF(Simulation!MQ6&lt;Obligors!$I$6,1,0)</f>
        <v/>
      </c>
      <c r="MR6" s="20">
        <f>IF(Simulation!MR6&lt;Obligors!$I$6,1,0)</f>
        <v/>
      </c>
      <c r="MS6" s="20">
        <f>IF(Simulation!MS6&lt;Obligors!$I$6,1,0)</f>
        <v/>
      </c>
      <c r="MT6" s="20">
        <f>IF(Simulation!MT6&lt;Obligors!$I$6,1,0)</f>
        <v/>
      </c>
      <c r="MU6" s="20">
        <f>IF(Simulation!MU6&lt;Obligors!$I$6,1,0)</f>
        <v/>
      </c>
      <c r="MV6" s="20">
        <f>IF(Simulation!MV6&lt;Obligors!$I$6,1,0)</f>
        <v/>
      </c>
      <c r="MW6" s="20">
        <f>IF(Simulation!MW6&lt;Obligors!$I$6,1,0)</f>
        <v/>
      </c>
      <c r="MX6" s="20">
        <f>IF(Simulation!MX6&lt;Obligors!$I$6,1,0)</f>
        <v/>
      </c>
      <c r="MY6" s="20">
        <f>IF(Simulation!MY6&lt;Obligors!$I$6,1,0)</f>
        <v/>
      </c>
      <c r="MZ6" s="20">
        <f>IF(Simulation!MZ6&lt;Obligors!$I$6,1,0)</f>
        <v/>
      </c>
      <c r="NA6" s="20">
        <f>IF(Simulation!NA6&lt;Obligors!$I$6,1,0)</f>
        <v/>
      </c>
      <c r="NB6" s="20">
        <f>IF(Simulation!NB6&lt;Obligors!$I$6,1,0)</f>
        <v/>
      </c>
      <c r="NC6" s="20">
        <f>IF(Simulation!NC6&lt;Obligors!$I$6,1,0)</f>
        <v/>
      </c>
      <c r="ND6" s="20">
        <f>IF(Simulation!ND6&lt;Obligors!$I$6,1,0)</f>
        <v/>
      </c>
      <c r="NE6" s="20">
        <f>IF(Simulation!NE6&lt;Obligors!$I$6,1,0)</f>
        <v/>
      </c>
      <c r="NF6" s="20">
        <f>IF(Simulation!NF6&lt;Obligors!$I$6,1,0)</f>
        <v/>
      </c>
      <c r="NG6" s="20">
        <f>IF(Simulation!NG6&lt;Obligors!$I$6,1,0)</f>
        <v/>
      </c>
      <c r="NH6" s="20">
        <f>IF(Simulation!NH6&lt;Obligors!$I$6,1,0)</f>
        <v/>
      </c>
      <c r="NI6" s="20">
        <f>IF(Simulation!NI6&lt;Obligors!$I$6,1,0)</f>
        <v/>
      </c>
      <c r="NJ6" s="20">
        <f>IF(Simulation!NJ6&lt;Obligors!$I$6,1,0)</f>
        <v/>
      </c>
      <c r="NK6" s="20">
        <f>IF(Simulation!NK6&lt;Obligors!$I$6,1,0)</f>
        <v/>
      </c>
      <c r="NL6" s="20">
        <f>IF(Simulation!NL6&lt;Obligors!$I$6,1,0)</f>
        <v/>
      </c>
      <c r="NM6" s="20">
        <f>IF(Simulation!NM6&lt;Obligors!$I$6,1,0)</f>
        <v/>
      </c>
      <c r="NN6" s="20">
        <f>IF(Simulation!NN6&lt;Obligors!$I$6,1,0)</f>
        <v/>
      </c>
      <c r="NO6" s="20">
        <f>IF(Simulation!NO6&lt;Obligors!$I$6,1,0)</f>
        <v/>
      </c>
      <c r="NP6" s="20">
        <f>IF(Simulation!NP6&lt;Obligors!$I$6,1,0)</f>
        <v/>
      </c>
      <c r="NQ6" s="20">
        <f>IF(Simulation!NQ6&lt;Obligors!$I$6,1,0)</f>
        <v/>
      </c>
      <c r="NR6" s="20">
        <f>IF(Simulation!NR6&lt;Obligors!$I$6,1,0)</f>
        <v/>
      </c>
      <c r="NS6" s="20">
        <f>IF(Simulation!NS6&lt;Obligors!$I$6,1,0)</f>
        <v/>
      </c>
      <c r="NT6" s="20">
        <f>IF(Simulation!NT6&lt;Obligors!$I$6,1,0)</f>
        <v/>
      </c>
      <c r="NU6" s="20">
        <f>IF(Simulation!NU6&lt;Obligors!$I$6,1,0)</f>
        <v/>
      </c>
      <c r="NV6" s="20">
        <f>IF(Simulation!NV6&lt;Obligors!$I$6,1,0)</f>
        <v/>
      </c>
      <c r="NW6" s="20">
        <f>IF(Simulation!NW6&lt;Obligors!$I$6,1,0)</f>
        <v/>
      </c>
      <c r="NX6" s="20">
        <f>IF(Simulation!NX6&lt;Obligors!$I$6,1,0)</f>
        <v/>
      </c>
      <c r="NY6" s="20">
        <f>IF(Simulation!NY6&lt;Obligors!$I$6,1,0)</f>
        <v/>
      </c>
      <c r="NZ6" s="20">
        <f>IF(Simulation!NZ6&lt;Obligors!$I$6,1,0)</f>
        <v/>
      </c>
      <c r="OA6" s="20">
        <f>IF(Simulation!OA6&lt;Obligors!$I$6,1,0)</f>
        <v/>
      </c>
      <c r="OB6" s="20">
        <f>IF(Simulation!OB6&lt;Obligors!$I$6,1,0)</f>
        <v/>
      </c>
      <c r="OC6" s="20">
        <f>IF(Simulation!OC6&lt;Obligors!$I$6,1,0)</f>
        <v/>
      </c>
      <c r="OD6" s="20">
        <f>IF(Simulation!OD6&lt;Obligors!$I$6,1,0)</f>
        <v/>
      </c>
      <c r="OE6" s="20">
        <f>IF(Simulation!OE6&lt;Obligors!$I$6,1,0)</f>
        <v/>
      </c>
      <c r="OF6" s="20">
        <f>IF(Simulation!OF6&lt;Obligors!$I$6,1,0)</f>
        <v/>
      </c>
      <c r="OG6" s="20">
        <f>IF(Simulation!OG6&lt;Obligors!$I$6,1,0)</f>
        <v/>
      </c>
      <c r="OH6" s="20">
        <f>IF(Simulation!OH6&lt;Obligors!$I$6,1,0)</f>
        <v/>
      </c>
      <c r="OI6" s="20">
        <f>IF(Simulation!OI6&lt;Obligors!$I$6,1,0)</f>
        <v/>
      </c>
      <c r="OJ6" s="20">
        <f>IF(Simulation!OJ6&lt;Obligors!$I$6,1,0)</f>
        <v/>
      </c>
      <c r="OK6" s="20">
        <f>IF(Simulation!OK6&lt;Obligors!$I$6,1,0)</f>
        <v/>
      </c>
      <c r="OL6" s="20">
        <f>IF(Simulation!OL6&lt;Obligors!$I$6,1,0)</f>
        <v/>
      </c>
      <c r="OM6" s="20">
        <f>IF(Simulation!OM6&lt;Obligors!$I$6,1,0)</f>
        <v/>
      </c>
      <c r="ON6" s="20">
        <f>IF(Simulation!ON6&lt;Obligors!$I$6,1,0)</f>
        <v/>
      </c>
      <c r="OO6" s="20">
        <f>IF(Simulation!OO6&lt;Obligors!$I$6,1,0)</f>
        <v/>
      </c>
      <c r="OP6" s="20">
        <f>IF(Simulation!OP6&lt;Obligors!$I$6,1,0)</f>
        <v/>
      </c>
      <c r="OQ6" s="20">
        <f>IF(Simulation!OQ6&lt;Obligors!$I$6,1,0)</f>
        <v/>
      </c>
      <c r="OR6" s="20">
        <f>IF(Simulation!OR6&lt;Obligors!$I$6,1,0)</f>
        <v/>
      </c>
      <c r="OS6" s="20">
        <f>IF(Simulation!OS6&lt;Obligors!$I$6,1,0)</f>
        <v/>
      </c>
      <c r="OT6" s="20">
        <f>IF(Simulation!OT6&lt;Obligors!$I$6,1,0)</f>
        <v/>
      </c>
      <c r="OU6" s="20">
        <f>IF(Simulation!OU6&lt;Obligors!$I$6,1,0)</f>
        <v/>
      </c>
      <c r="OV6" s="20">
        <f>IF(Simulation!OV6&lt;Obligors!$I$6,1,0)</f>
        <v/>
      </c>
      <c r="OW6" s="20">
        <f>IF(Simulation!OW6&lt;Obligors!$I$6,1,0)</f>
        <v/>
      </c>
      <c r="OX6" s="20">
        <f>IF(Simulation!OX6&lt;Obligors!$I$6,1,0)</f>
        <v/>
      </c>
      <c r="OY6" s="20">
        <f>IF(Simulation!OY6&lt;Obligors!$I$6,1,0)</f>
        <v/>
      </c>
      <c r="OZ6" s="20">
        <f>IF(Simulation!OZ6&lt;Obligors!$I$6,1,0)</f>
        <v/>
      </c>
      <c r="PA6" s="20">
        <f>IF(Simulation!PA6&lt;Obligors!$I$6,1,0)</f>
        <v/>
      </c>
      <c r="PB6" s="20">
        <f>IF(Simulation!PB6&lt;Obligors!$I$6,1,0)</f>
        <v/>
      </c>
      <c r="PC6" s="20">
        <f>IF(Simulation!PC6&lt;Obligors!$I$6,1,0)</f>
        <v/>
      </c>
      <c r="PD6" s="20">
        <f>IF(Simulation!PD6&lt;Obligors!$I$6,1,0)</f>
        <v/>
      </c>
      <c r="PE6" s="20">
        <f>IF(Simulation!PE6&lt;Obligors!$I$6,1,0)</f>
        <v/>
      </c>
      <c r="PF6" s="20">
        <f>IF(Simulation!PF6&lt;Obligors!$I$6,1,0)</f>
        <v/>
      </c>
      <c r="PG6" s="20">
        <f>IF(Simulation!PG6&lt;Obligors!$I$6,1,0)</f>
        <v/>
      </c>
      <c r="PH6" s="20">
        <f>IF(Simulation!PH6&lt;Obligors!$I$6,1,0)</f>
        <v/>
      </c>
      <c r="PI6" s="20">
        <f>IF(Simulation!PI6&lt;Obligors!$I$6,1,0)</f>
        <v/>
      </c>
      <c r="PJ6" s="20">
        <f>IF(Simulation!PJ6&lt;Obligors!$I$6,1,0)</f>
        <v/>
      </c>
      <c r="PK6" s="20">
        <f>IF(Simulation!PK6&lt;Obligors!$I$6,1,0)</f>
        <v/>
      </c>
      <c r="PL6" s="20">
        <f>IF(Simulation!PL6&lt;Obligors!$I$6,1,0)</f>
        <v/>
      </c>
      <c r="PM6" s="20">
        <f>IF(Simulation!PM6&lt;Obligors!$I$6,1,0)</f>
        <v/>
      </c>
      <c r="PN6" s="20">
        <f>IF(Simulation!PN6&lt;Obligors!$I$6,1,0)</f>
        <v/>
      </c>
      <c r="PO6" s="20">
        <f>IF(Simulation!PO6&lt;Obligors!$I$6,1,0)</f>
        <v/>
      </c>
      <c r="PP6" s="20">
        <f>IF(Simulation!PP6&lt;Obligors!$I$6,1,0)</f>
        <v/>
      </c>
      <c r="PQ6" s="20">
        <f>IF(Simulation!PQ6&lt;Obligors!$I$6,1,0)</f>
        <v/>
      </c>
      <c r="PR6" s="20">
        <f>IF(Simulation!PR6&lt;Obligors!$I$6,1,0)</f>
        <v/>
      </c>
      <c r="PS6" s="20">
        <f>IF(Simulation!PS6&lt;Obligors!$I$6,1,0)</f>
        <v/>
      </c>
      <c r="PT6" s="20">
        <f>IF(Simulation!PT6&lt;Obligors!$I$6,1,0)</f>
        <v/>
      </c>
      <c r="PU6" s="20">
        <f>IF(Simulation!PU6&lt;Obligors!$I$6,1,0)</f>
        <v/>
      </c>
      <c r="PV6" s="20">
        <f>IF(Simulation!PV6&lt;Obligors!$I$6,1,0)</f>
        <v/>
      </c>
      <c r="PW6" s="20">
        <f>IF(Simulation!PW6&lt;Obligors!$I$6,1,0)</f>
        <v/>
      </c>
      <c r="PX6" s="20">
        <f>IF(Simulation!PX6&lt;Obligors!$I$6,1,0)</f>
        <v/>
      </c>
      <c r="PY6" s="20">
        <f>IF(Simulation!PY6&lt;Obligors!$I$6,1,0)</f>
        <v/>
      </c>
      <c r="PZ6" s="20">
        <f>IF(Simulation!PZ6&lt;Obligors!$I$6,1,0)</f>
        <v/>
      </c>
      <c r="QA6" s="20">
        <f>IF(Simulation!QA6&lt;Obligors!$I$6,1,0)</f>
        <v/>
      </c>
      <c r="QB6" s="20">
        <f>IF(Simulation!QB6&lt;Obligors!$I$6,1,0)</f>
        <v/>
      </c>
      <c r="QC6" s="20">
        <f>IF(Simulation!QC6&lt;Obligors!$I$6,1,0)</f>
        <v/>
      </c>
      <c r="QD6" s="20">
        <f>IF(Simulation!QD6&lt;Obligors!$I$6,1,0)</f>
        <v/>
      </c>
      <c r="QE6" s="20">
        <f>IF(Simulation!QE6&lt;Obligors!$I$6,1,0)</f>
        <v/>
      </c>
      <c r="QF6" s="20">
        <f>IF(Simulation!QF6&lt;Obligors!$I$6,1,0)</f>
        <v/>
      </c>
      <c r="QG6" s="20">
        <f>IF(Simulation!QG6&lt;Obligors!$I$6,1,0)</f>
        <v/>
      </c>
      <c r="QH6" s="20">
        <f>IF(Simulation!QH6&lt;Obligors!$I$6,1,0)</f>
        <v/>
      </c>
      <c r="QI6" s="20">
        <f>IF(Simulation!QI6&lt;Obligors!$I$6,1,0)</f>
        <v/>
      </c>
      <c r="QJ6" s="20">
        <f>IF(Simulation!QJ6&lt;Obligors!$I$6,1,0)</f>
        <v/>
      </c>
      <c r="QK6" s="20">
        <f>IF(Simulation!QK6&lt;Obligors!$I$6,1,0)</f>
        <v/>
      </c>
      <c r="QL6" s="20">
        <f>IF(Simulation!QL6&lt;Obligors!$I$6,1,0)</f>
        <v/>
      </c>
      <c r="QM6" s="20">
        <f>IF(Simulation!QM6&lt;Obligors!$I$6,1,0)</f>
        <v/>
      </c>
      <c r="QN6" s="20">
        <f>IF(Simulation!QN6&lt;Obligors!$I$6,1,0)</f>
        <v/>
      </c>
      <c r="QO6" s="20">
        <f>IF(Simulation!QO6&lt;Obligors!$I$6,1,0)</f>
        <v/>
      </c>
      <c r="QP6" s="20">
        <f>IF(Simulation!QP6&lt;Obligors!$I$6,1,0)</f>
        <v/>
      </c>
      <c r="QQ6" s="20">
        <f>IF(Simulation!QQ6&lt;Obligors!$I$6,1,0)</f>
        <v/>
      </c>
      <c r="QR6" s="20">
        <f>IF(Simulation!QR6&lt;Obligors!$I$6,1,0)</f>
        <v/>
      </c>
      <c r="QS6" s="20">
        <f>IF(Simulation!QS6&lt;Obligors!$I$6,1,0)</f>
        <v/>
      </c>
      <c r="QT6" s="20">
        <f>IF(Simulation!QT6&lt;Obligors!$I$6,1,0)</f>
        <v/>
      </c>
      <c r="QU6" s="20">
        <f>IF(Simulation!QU6&lt;Obligors!$I$6,1,0)</f>
        <v/>
      </c>
      <c r="QV6" s="20">
        <f>IF(Simulation!QV6&lt;Obligors!$I$6,1,0)</f>
        <v/>
      </c>
      <c r="QW6" s="20">
        <f>IF(Simulation!QW6&lt;Obligors!$I$6,1,0)</f>
        <v/>
      </c>
      <c r="QX6" s="20">
        <f>IF(Simulation!QX6&lt;Obligors!$I$6,1,0)</f>
        <v/>
      </c>
      <c r="QY6" s="20">
        <f>IF(Simulation!QY6&lt;Obligors!$I$6,1,0)</f>
        <v/>
      </c>
      <c r="QZ6" s="20">
        <f>IF(Simulation!QZ6&lt;Obligors!$I$6,1,0)</f>
        <v/>
      </c>
      <c r="RA6" s="20">
        <f>IF(Simulation!RA6&lt;Obligors!$I$6,1,0)</f>
        <v/>
      </c>
      <c r="RB6" s="20">
        <f>IF(Simulation!RB6&lt;Obligors!$I$6,1,0)</f>
        <v/>
      </c>
      <c r="RC6" s="20">
        <f>IF(Simulation!RC6&lt;Obligors!$I$6,1,0)</f>
        <v/>
      </c>
      <c r="RD6" s="20">
        <f>IF(Simulation!RD6&lt;Obligors!$I$6,1,0)</f>
        <v/>
      </c>
      <c r="RE6" s="20">
        <f>IF(Simulation!RE6&lt;Obligors!$I$6,1,0)</f>
        <v/>
      </c>
      <c r="RF6" s="20">
        <f>IF(Simulation!RF6&lt;Obligors!$I$6,1,0)</f>
        <v/>
      </c>
      <c r="RG6" s="20">
        <f>IF(Simulation!RG6&lt;Obligors!$I$6,1,0)</f>
        <v/>
      </c>
      <c r="RH6" s="20">
        <f>IF(Simulation!RH6&lt;Obligors!$I$6,1,0)</f>
        <v/>
      </c>
      <c r="RI6" s="20">
        <f>IF(Simulation!RI6&lt;Obligors!$I$6,1,0)</f>
        <v/>
      </c>
      <c r="RJ6" s="20">
        <f>IF(Simulation!RJ6&lt;Obligors!$I$6,1,0)</f>
        <v/>
      </c>
      <c r="RK6" s="20">
        <f>IF(Simulation!RK6&lt;Obligors!$I$6,1,0)</f>
        <v/>
      </c>
      <c r="RL6" s="20">
        <f>IF(Simulation!RL6&lt;Obligors!$I$6,1,0)</f>
        <v/>
      </c>
      <c r="RM6" s="20">
        <f>IF(Simulation!RM6&lt;Obligors!$I$6,1,0)</f>
        <v/>
      </c>
      <c r="RN6" s="20">
        <f>IF(Simulation!RN6&lt;Obligors!$I$6,1,0)</f>
        <v/>
      </c>
      <c r="RO6" s="20">
        <f>IF(Simulation!RO6&lt;Obligors!$I$6,1,0)</f>
        <v/>
      </c>
      <c r="RP6" s="20">
        <f>IF(Simulation!RP6&lt;Obligors!$I$6,1,0)</f>
        <v/>
      </c>
      <c r="RQ6" s="20">
        <f>IF(Simulation!RQ6&lt;Obligors!$I$6,1,0)</f>
        <v/>
      </c>
      <c r="RR6" s="20">
        <f>IF(Simulation!RR6&lt;Obligors!$I$6,1,0)</f>
        <v/>
      </c>
      <c r="RS6" s="20">
        <f>IF(Simulation!RS6&lt;Obligors!$I$6,1,0)</f>
        <v/>
      </c>
      <c r="RT6" s="20">
        <f>IF(Simulation!RT6&lt;Obligors!$I$6,1,0)</f>
        <v/>
      </c>
      <c r="RU6" s="20">
        <f>IF(Simulation!RU6&lt;Obligors!$I$6,1,0)</f>
        <v/>
      </c>
      <c r="RV6" s="20">
        <f>IF(Simulation!RV6&lt;Obligors!$I$6,1,0)</f>
        <v/>
      </c>
      <c r="RW6" s="20">
        <f>IF(Simulation!RW6&lt;Obligors!$I$6,1,0)</f>
        <v/>
      </c>
      <c r="RX6" s="20">
        <f>IF(Simulation!RX6&lt;Obligors!$I$6,1,0)</f>
        <v/>
      </c>
      <c r="RY6" s="20">
        <f>IF(Simulation!RY6&lt;Obligors!$I$6,1,0)</f>
        <v/>
      </c>
      <c r="RZ6" s="20">
        <f>IF(Simulation!RZ6&lt;Obligors!$I$6,1,0)</f>
        <v/>
      </c>
      <c r="SA6" s="20">
        <f>IF(Simulation!SA6&lt;Obligors!$I$6,1,0)</f>
        <v/>
      </c>
      <c r="SB6" s="20">
        <f>IF(Simulation!SB6&lt;Obligors!$I$6,1,0)</f>
        <v/>
      </c>
      <c r="SC6" s="20">
        <f>IF(Simulation!SC6&lt;Obligors!$I$6,1,0)</f>
        <v/>
      </c>
      <c r="SD6" s="20">
        <f>IF(Simulation!SD6&lt;Obligors!$I$6,1,0)</f>
        <v/>
      </c>
      <c r="SE6" s="20">
        <f>IF(Simulation!SE6&lt;Obligors!$I$6,1,0)</f>
        <v/>
      </c>
      <c r="SF6" s="20">
        <f>IF(Simulation!SF6&lt;Obligors!$I$6,1,0)</f>
        <v/>
      </c>
      <c r="SG6" s="20">
        <f>IF(Simulation!SG6&lt;Obligors!$I$6,1,0)</f>
        <v/>
      </c>
    </row>
    <row r="7">
      <c r="A7" s="17" t="inlineStr">
        <is>
          <t>OBL-006</t>
        </is>
      </c>
      <c r="B7" s="20">
        <f>IF(Simulation!B7&lt;Obligors!$I$7,1,0)</f>
        <v/>
      </c>
      <c r="C7" s="20">
        <f>IF(Simulation!C7&lt;Obligors!$I$7,1,0)</f>
        <v/>
      </c>
      <c r="D7" s="20">
        <f>IF(Simulation!D7&lt;Obligors!$I$7,1,0)</f>
        <v/>
      </c>
      <c r="E7" s="20">
        <f>IF(Simulation!E7&lt;Obligors!$I$7,1,0)</f>
        <v/>
      </c>
      <c r="F7" s="20">
        <f>IF(Simulation!F7&lt;Obligors!$I$7,1,0)</f>
        <v/>
      </c>
      <c r="G7" s="20">
        <f>IF(Simulation!G7&lt;Obligors!$I$7,1,0)</f>
        <v/>
      </c>
      <c r="H7" s="20">
        <f>IF(Simulation!H7&lt;Obligors!$I$7,1,0)</f>
        <v/>
      </c>
      <c r="I7" s="20">
        <f>IF(Simulation!I7&lt;Obligors!$I$7,1,0)</f>
        <v/>
      </c>
      <c r="J7" s="20">
        <f>IF(Simulation!J7&lt;Obligors!$I$7,1,0)</f>
        <v/>
      </c>
      <c r="K7" s="20">
        <f>IF(Simulation!K7&lt;Obligors!$I$7,1,0)</f>
        <v/>
      </c>
      <c r="L7" s="20">
        <f>IF(Simulation!L7&lt;Obligors!$I$7,1,0)</f>
        <v/>
      </c>
      <c r="M7" s="20">
        <f>IF(Simulation!M7&lt;Obligors!$I$7,1,0)</f>
        <v/>
      </c>
      <c r="N7" s="20">
        <f>IF(Simulation!N7&lt;Obligors!$I$7,1,0)</f>
        <v/>
      </c>
      <c r="O7" s="20">
        <f>IF(Simulation!O7&lt;Obligors!$I$7,1,0)</f>
        <v/>
      </c>
      <c r="P7" s="20">
        <f>IF(Simulation!P7&lt;Obligors!$I$7,1,0)</f>
        <v/>
      </c>
      <c r="Q7" s="20">
        <f>IF(Simulation!Q7&lt;Obligors!$I$7,1,0)</f>
        <v/>
      </c>
      <c r="R7" s="20">
        <f>IF(Simulation!R7&lt;Obligors!$I$7,1,0)</f>
        <v/>
      </c>
      <c r="S7" s="20">
        <f>IF(Simulation!S7&lt;Obligors!$I$7,1,0)</f>
        <v/>
      </c>
      <c r="T7" s="20">
        <f>IF(Simulation!T7&lt;Obligors!$I$7,1,0)</f>
        <v/>
      </c>
      <c r="U7" s="20">
        <f>IF(Simulation!U7&lt;Obligors!$I$7,1,0)</f>
        <v/>
      </c>
      <c r="V7" s="20">
        <f>IF(Simulation!V7&lt;Obligors!$I$7,1,0)</f>
        <v/>
      </c>
      <c r="W7" s="20">
        <f>IF(Simulation!W7&lt;Obligors!$I$7,1,0)</f>
        <v/>
      </c>
      <c r="X7" s="20">
        <f>IF(Simulation!X7&lt;Obligors!$I$7,1,0)</f>
        <v/>
      </c>
      <c r="Y7" s="20">
        <f>IF(Simulation!Y7&lt;Obligors!$I$7,1,0)</f>
        <v/>
      </c>
      <c r="Z7" s="20">
        <f>IF(Simulation!Z7&lt;Obligors!$I$7,1,0)</f>
        <v/>
      </c>
      <c r="AA7" s="20">
        <f>IF(Simulation!AA7&lt;Obligors!$I$7,1,0)</f>
        <v/>
      </c>
      <c r="AB7" s="20">
        <f>IF(Simulation!AB7&lt;Obligors!$I$7,1,0)</f>
        <v/>
      </c>
      <c r="AC7" s="20">
        <f>IF(Simulation!AC7&lt;Obligors!$I$7,1,0)</f>
        <v/>
      </c>
      <c r="AD7" s="20">
        <f>IF(Simulation!AD7&lt;Obligors!$I$7,1,0)</f>
        <v/>
      </c>
      <c r="AE7" s="20">
        <f>IF(Simulation!AE7&lt;Obligors!$I$7,1,0)</f>
        <v/>
      </c>
      <c r="AF7" s="20">
        <f>IF(Simulation!AF7&lt;Obligors!$I$7,1,0)</f>
        <v/>
      </c>
      <c r="AG7" s="20">
        <f>IF(Simulation!AG7&lt;Obligors!$I$7,1,0)</f>
        <v/>
      </c>
      <c r="AH7" s="20">
        <f>IF(Simulation!AH7&lt;Obligors!$I$7,1,0)</f>
        <v/>
      </c>
      <c r="AI7" s="20">
        <f>IF(Simulation!AI7&lt;Obligors!$I$7,1,0)</f>
        <v/>
      </c>
      <c r="AJ7" s="20">
        <f>IF(Simulation!AJ7&lt;Obligors!$I$7,1,0)</f>
        <v/>
      </c>
      <c r="AK7" s="20">
        <f>IF(Simulation!AK7&lt;Obligors!$I$7,1,0)</f>
        <v/>
      </c>
      <c r="AL7" s="20">
        <f>IF(Simulation!AL7&lt;Obligors!$I$7,1,0)</f>
        <v/>
      </c>
      <c r="AM7" s="20">
        <f>IF(Simulation!AM7&lt;Obligors!$I$7,1,0)</f>
        <v/>
      </c>
      <c r="AN7" s="20">
        <f>IF(Simulation!AN7&lt;Obligors!$I$7,1,0)</f>
        <v/>
      </c>
      <c r="AO7" s="20">
        <f>IF(Simulation!AO7&lt;Obligors!$I$7,1,0)</f>
        <v/>
      </c>
      <c r="AP7" s="20">
        <f>IF(Simulation!AP7&lt;Obligors!$I$7,1,0)</f>
        <v/>
      </c>
      <c r="AQ7" s="20">
        <f>IF(Simulation!AQ7&lt;Obligors!$I$7,1,0)</f>
        <v/>
      </c>
      <c r="AR7" s="20">
        <f>IF(Simulation!AR7&lt;Obligors!$I$7,1,0)</f>
        <v/>
      </c>
      <c r="AS7" s="20">
        <f>IF(Simulation!AS7&lt;Obligors!$I$7,1,0)</f>
        <v/>
      </c>
      <c r="AT7" s="20">
        <f>IF(Simulation!AT7&lt;Obligors!$I$7,1,0)</f>
        <v/>
      </c>
      <c r="AU7" s="20">
        <f>IF(Simulation!AU7&lt;Obligors!$I$7,1,0)</f>
        <v/>
      </c>
      <c r="AV7" s="20">
        <f>IF(Simulation!AV7&lt;Obligors!$I$7,1,0)</f>
        <v/>
      </c>
      <c r="AW7" s="20">
        <f>IF(Simulation!AW7&lt;Obligors!$I$7,1,0)</f>
        <v/>
      </c>
      <c r="AX7" s="20">
        <f>IF(Simulation!AX7&lt;Obligors!$I$7,1,0)</f>
        <v/>
      </c>
      <c r="AY7" s="20">
        <f>IF(Simulation!AY7&lt;Obligors!$I$7,1,0)</f>
        <v/>
      </c>
      <c r="AZ7" s="20">
        <f>IF(Simulation!AZ7&lt;Obligors!$I$7,1,0)</f>
        <v/>
      </c>
      <c r="BA7" s="20">
        <f>IF(Simulation!BA7&lt;Obligors!$I$7,1,0)</f>
        <v/>
      </c>
      <c r="BB7" s="20">
        <f>IF(Simulation!BB7&lt;Obligors!$I$7,1,0)</f>
        <v/>
      </c>
      <c r="BC7" s="20">
        <f>IF(Simulation!BC7&lt;Obligors!$I$7,1,0)</f>
        <v/>
      </c>
      <c r="BD7" s="20">
        <f>IF(Simulation!BD7&lt;Obligors!$I$7,1,0)</f>
        <v/>
      </c>
      <c r="BE7" s="20">
        <f>IF(Simulation!BE7&lt;Obligors!$I$7,1,0)</f>
        <v/>
      </c>
      <c r="BF7" s="20">
        <f>IF(Simulation!BF7&lt;Obligors!$I$7,1,0)</f>
        <v/>
      </c>
      <c r="BG7" s="20">
        <f>IF(Simulation!BG7&lt;Obligors!$I$7,1,0)</f>
        <v/>
      </c>
      <c r="BH7" s="20">
        <f>IF(Simulation!BH7&lt;Obligors!$I$7,1,0)</f>
        <v/>
      </c>
      <c r="BI7" s="20">
        <f>IF(Simulation!BI7&lt;Obligors!$I$7,1,0)</f>
        <v/>
      </c>
      <c r="BJ7" s="20">
        <f>IF(Simulation!BJ7&lt;Obligors!$I$7,1,0)</f>
        <v/>
      </c>
      <c r="BK7" s="20">
        <f>IF(Simulation!BK7&lt;Obligors!$I$7,1,0)</f>
        <v/>
      </c>
      <c r="BL7" s="20">
        <f>IF(Simulation!BL7&lt;Obligors!$I$7,1,0)</f>
        <v/>
      </c>
      <c r="BM7" s="20">
        <f>IF(Simulation!BM7&lt;Obligors!$I$7,1,0)</f>
        <v/>
      </c>
      <c r="BN7" s="20">
        <f>IF(Simulation!BN7&lt;Obligors!$I$7,1,0)</f>
        <v/>
      </c>
      <c r="BO7" s="20">
        <f>IF(Simulation!BO7&lt;Obligors!$I$7,1,0)</f>
        <v/>
      </c>
      <c r="BP7" s="20">
        <f>IF(Simulation!BP7&lt;Obligors!$I$7,1,0)</f>
        <v/>
      </c>
      <c r="BQ7" s="20">
        <f>IF(Simulation!BQ7&lt;Obligors!$I$7,1,0)</f>
        <v/>
      </c>
      <c r="BR7" s="20">
        <f>IF(Simulation!BR7&lt;Obligors!$I$7,1,0)</f>
        <v/>
      </c>
      <c r="BS7" s="20">
        <f>IF(Simulation!BS7&lt;Obligors!$I$7,1,0)</f>
        <v/>
      </c>
      <c r="BT7" s="20">
        <f>IF(Simulation!BT7&lt;Obligors!$I$7,1,0)</f>
        <v/>
      </c>
      <c r="BU7" s="20">
        <f>IF(Simulation!BU7&lt;Obligors!$I$7,1,0)</f>
        <v/>
      </c>
      <c r="BV7" s="20">
        <f>IF(Simulation!BV7&lt;Obligors!$I$7,1,0)</f>
        <v/>
      </c>
      <c r="BW7" s="20">
        <f>IF(Simulation!BW7&lt;Obligors!$I$7,1,0)</f>
        <v/>
      </c>
      <c r="BX7" s="20">
        <f>IF(Simulation!BX7&lt;Obligors!$I$7,1,0)</f>
        <v/>
      </c>
      <c r="BY7" s="20">
        <f>IF(Simulation!BY7&lt;Obligors!$I$7,1,0)</f>
        <v/>
      </c>
      <c r="BZ7" s="20">
        <f>IF(Simulation!BZ7&lt;Obligors!$I$7,1,0)</f>
        <v/>
      </c>
      <c r="CA7" s="20">
        <f>IF(Simulation!CA7&lt;Obligors!$I$7,1,0)</f>
        <v/>
      </c>
      <c r="CB7" s="20">
        <f>IF(Simulation!CB7&lt;Obligors!$I$7,1,0)</f>
        <v/>
      </c>
      <c r="CC7" s="20">
        <f>IF(Simulation!CC7&lt;Obligors!$I$7,1,0)</f>
        <v/>
      </c>
      <c r="CD7" s="20">
        <f>IF(Simulation!CD7&lt;Obligors!$I$7,1,0)</f>
        <v/>
      </c>
      <c r="CE7" s="20">
        <f>IF(Simulation!CE7&lt;Obligors!$I$7,1,0)</f>
        <v/>
      </c>
      <c r="CF7" s="20">
        <f>IF(Simulation!CF7&lt;Obligors!$I$7,1,0)</f>
        <v/>
      </c>
      <c r="CG7" s="20">
        <f>IF(Simulation!CG7&lt;Obligors!$I$7,1,0)</f>
        <v/>
      </c>
      <c r="CH7" s="20">
        <f>IF(Simulation!CH7&lt;Obligors!$I$7,1,0)</f>
        <v/>
      </c>
      <c r="CI7" s="20">
        <f>IF(Simulation!CI7&lt;Obligors!$I$7,1,0)</f>
        <v/>
      </c>
      <c r="CJ7" s="20">
        <f>IF(Simulation!CJ7&lt;Obligors!$I$7,1,0)</f>
        <v/>
      </c>
      <c r="CK7" s="20">
        <f>IF(Simulation!CK7&lt;Obligors!$I$7,1,0)</f>
        <v/>
      </c>
      <c r="CL7" s="20">
        <f>IF(Simulation!CL7&lt;Obligors!$I$7,1,0)</f>
        <v/>
      </c>
      <c r="CM7" s="20">
        <f>IF(Simulation!CM7&lt;Obligors!$I$7,1,0)</f>
        <v/>
      </c>
      <c r="CN7" s="20">
        <f>IF(Simulation!CN7&lt;Obligors!$I$7,1,0)</f>
        <v/>
      </c>
      <c r="CO7" s="20">
        <f>IF(Simulation!CO7&lt;Obligors!$I$7,1,0)</f>
        <v/>
      </c>
      <c r="CP7" s="20">
        <f>IF(Simulation!CP7&lt;Obligors!$I$7,1,0)</f>
        <v/>
      </c>
      <c r="CQ7" s="20">
        <f>IF(Simulation!CQ7&lt;Obligors!$I$7,1,0)</f>
        <v/>
      </c>
      <c r="CR7" s="20">
        <f>IF(Simulation!CR7&lt;Obligors!$I$7,1,0)</f>
        <v/>
      </c>
      <c r="CS7" s="20">
        <f>IF(Simulation!CS7&lt;Obligors!$I$7,1,0)</f>
        <v/>
      </c>
      <c r="CT7" s="20">
        <f>IF(Simulation!CT7&lt;Obligors!$I$7,1,0)</f>
        <v/>
      </c>
      <c r="CU7" s="20">
        <f>IF(Simulation!CU7&lt;Obligors!$I$7,1,0)</f>
        <v/>
      </c>
      <c r="CV7" s="20">
        <f>IF(Simulation!CV7&lt;Obligors!$I$7,1,0)</f>
        <v/>
      </c>
      <c r="CW7" s="20">
        <f>IF(Simulation!CW7&lt;Obligors!$I$7,1,0)</f>
        <v/>
      </c>
      <c r="CX7" s="20">
        <f>IF(Simulation!CX7&lt;Obligors!$I$7,1,0)</f>
        <v/>
      </c>
      <c r="CY7" s="20">
        <f>IF(Simulation!CY7&lt;Obligors!$I$7,1,0)</f>
        <v/>
      </c>
      <c r="CZ7" s="20">
        <f>IF(Simulation!CZ7&lt;Obligors!$I$7,1,0)</f>
        <v/>
      </c>
      <c r="DA7" s="20">
        <f>IF(Simulation!DA7&lt;Obligors!$I$7,1,0)</f>
        <v/>
      </c>
      <c r="DB7" s="20">
        <f>IF(Simulation!DB7&lt;Obligors!$I$7,1,0)</f>
        <v/>
      </c>
      <c r="DC7" s="20">
        <f>IF(Simulation!DC7&lt;Obligors!$I$7,1,0)</f>
        <v/>
      </c>
      <c r="DD7" s="20">
        <f>IF(Simulation!DD7&lt;Obligors!$I$7,1,0)</f>
        <v/>
      </c>
      <c r="DE7" s="20">
        <f>IF(Simulation!DE7&lt;Obligors!$I$7,1,0)</f>
        <v/>
      </c>
      <c r="DF7" s="20">
        <f>IF(Simulation!DF7&lt;Obligors!$I$7,1,0)</f>
        <v/>
      </c>
      <c r="DG7" s="20">
        <f>IF(Simulation!DG7&lt;Obligors!$I$7,1,0)</f>
        <v/>
      </c>
      <c r="DH7" s="20">
        <f>IF(Simulation!DH7&lt;Obligors!$I$7,1,0)</f>
        <v/>
      </c>
      <c r="DI7" s="20">
        <f>IF(Simulation!DI7&lt;Obligors!$I$7,1,0)</f>
        <v/>
      </c>
      <c r="DJ7" s="20">
        <f>IF(Simulation!DJ7&lt;Obligors!$I$7,1,0)</f>
        <v/>
      </c>
      <c r="DK7" s="20">
        <f>IF(Simulation!DK7&lt;Obligors!$I$7,1,0)</f>
        <v/>
      </c>
      <c r="DL7" s="20">
        <f>IF(Simulation!DL7&lt;Obligors!$I$7,1,0)</f>
        <v/>
      </c>
      <c r="DM7" s="20">
        <f>IF(Simulation!DM7&lt;Obligors!$I$7,1,0)</f>
        <v/>
      </c>
      <c r="DN7" s="20">
        <f>IF(Simulation!DN7&lt;Obligors!$I$7,1,0)</f>
        <v/>
      </c>
      <c r="DO7" s="20">
        <f>IF(Simulation!DO7&lt;Obligors!$I$7,1,0)</f>
        <v/>
      </c>
      <c r="DP7" s="20">
        <f>IF(Simulation!DP7&lt;Obligors!$I$7,1,0)</f>
        <v/>
      </c>
      <c r="DQ7" s="20">
        <f>IF(Simulation!DQ7&lt;Obligors!$I$7,1,0)</f>
        <v/>
      </c>
      <c r="DR7" s="20">
        <f>IF(Simulation!DR7&lt;Obligors!$I$7,1,0)</f>
        <v/>
      </c>
      <c r="DS7" s="20">
        <f>IF(Simulation!DS7&lt;Obligors!$I$7,1,0)</f>
        <v/>
      </c>
      <c r="DT7" s="20">
        <f>IF(Simulation!DT7&lt;Obligors!$I$7,1,0)</f>
        <v/>
      </c>
      <c r="DU7" s="20">
        <f>IF(Simulation!DU7&lt;Obligors!$I$7,1,0)</f>
        <v/>
      </c>
      <c r="DV7" s="20">
        <f>IF(Simulation!DV7&lt;Obligors!$I$7,1,0)</f>
        <v/>
      </c>
      <c r="DW7" s="20">
        <f>IF(Simulation!DW7&lt;Obligors!$I$7,1,0)</f>
        <v/>
      </c>
      <c r="DX7" s="20">
        <f>IF(Simulation!DX7&lt;Obligors!$I$7,1,0)</f>
        <v/>
      </c>
      <c r="DY7" s="20">
        <f>IF(Simulation!DY7&lt;Obligors!$I$7,1,0)</f>
        <v/>
      </c>
      <c r="DZ7" s="20">
        <f>IF(Simulation!DZ7&lt;Obligors!$I$7,1,0)</f>
        <v/>
      </c>
      <c r="EA7" s="20">
        <f>IF(Simulation!EA7&lt;Obligors!$I$7,1,0)</f>
        <v/>
      </c>
      <c r="EB7" s="20">
        <f>IF(Simulation!EB7&lt;Obligors!$I$7,1,0)</f>
        <v/>
      </c>
      <c r="EC7" s="20">
        <f>IF(Simulation!EC7&lt;Obligors!$I$7,1,0)</f>
        <v/>
      </c>
      <c r="ED7" s="20">
        <f>IF(Simulation!ED7&lt;Obligors!$I$7,1,0)</f>
        <v/>
      </c>
      <c r="EE7" s="20">
        <f>IF(Simulation!EE7&lt;Obligors!$I$7,1,0)</f>
        <v/>
      </c>
      <c r="EF7" s="20">
        <f>IF(Simulation!EF7&lt;Obligors!$I$7,1,0)</f>
        <v/>
      </c>
      <c r="EG7" s="20">
        <f>IF(Simulation!EG7&lt;Obligors!$I$7,1,0)</f>
        <v/>
      </c>
      <c r="EH7" s="20">
        <f>IF(Simulation!EH7&lt;Obligors!$I$7,1,0)</f>
        <v/>
      </c>
      <c r="EI7" s="20">
        <f>IF(Simulation!EI7&lt;Obligors!$I$7,1,0)</f>
        <v/>
      </c>
      <c r="EJ7" s="20">
        <f>IF(Simulation!EJ7&lt;Obligors!$I$7,1,0)</f>
        <v/>
      </c>
      <c r="EK7" s="20">
        <f>IF(Simulation!EK7&lt;Obligors!$I$7,1,0)</f>
        <v/>
      </c>
      <c r="EL7" s="20">
        <f>IF(Simulation!EL7&lt;Obligors!$I$7,1,0)</f>
        <v/>
      </c>
      <c r="EM7" s="20">
        <f>IF(Simulation!EM7&lt;Obligors!$I$7,1,0)</f>
        <v/>
      </c>
      <c r="EN7" s="20">
        <f>IF(Simulation!EN7&lt;Obligors!$I$7,1,0)</f>
        <v/>
      </c>
      <c r="EO7" s="20">
        <f>IF(Simulation!EO7&lt;Obligors!$I$7,1,0)</f>
        <v/>
      </c>
      <c r="EP7" s="20">
        <f>IF(Simulation!EP7&lt;Obligors!$I$7,1,0)</f>
        <v/>
      </c>
      <c r="EQ7" s="20">
        <f>IF(Simulation!EQ7&lt;Obligors!$I$7,1,0)</f>
        <v/>
      </c>
      <c r="ER7" s="20">
        <f>IF(Simulation!ER7&lt;Obligors!$I$7,1,0)</f>
        <v/>
      </c>
      <c r="ES7" s="20">
        <f>IF(Simulation!ES7&lt;Obligors!$I$7,1,0)</f>
        <v/>
      </c>
      <c r="ET7" s="20">
        <f>IF(Simulation!ET7&lt;Obligors!$I$7,1,0)</f>
        <v/>
      </c>
      <c r="EU7" s="20">
        <f>IF(Simulation!EU7&lt;Obligors!$I$7,1,0)</f>
        <v/>
      </c>
      <c r="EV7" s="20">
        <f>IF(Simulation!EV7&lt;Obligors!$I$7,1,0)</f>
        <v/>
      </c>
      <c r="EW7" s="20">
        <f>IF(Simulation!EW7&lt;Obligors!$I$7,1,0)</f>
        <v/>
      </c>
      <c r="EX7" s="20">
        <f>IF(Simulation!EX7&lt;Obligors!$I$7,1,0)</f>
        <v/>
      </c>
      <c r="EY7" s="20">
        <f>IF(Simulation!EY7&lt;Obligors!$I$7,1,0)</f>
        <v/>
      </c>
      <c r="EZ7" s="20">
        <f>IF(Simulation!EZ7&lt;Obligors!$I$7,1,0)</f>
        <v/>
      </c>
      <c r="FA7" s="20">
        <f>IF(Simulation!FA7&lt;Obligors!$I$7,1,0)</f>
        <v/>
      </c>
      <c r="FB7" s="20">
        <f>IF(Simulation!FB7&lt;Obligors!$I$7,1,0)</f>
        <v/>
      </c>
      <c r="FC7" s="20">
        <f>IF(Simulation!FC7&lt;Obligors!$I$7,1,0)</f>
        <v/>
      </c>
      <c r="FD7" s="20">
        <f>IF(Simulation!FD7&lt;Obligors!$I$7,1,0)</f>
        <v/>
      </c>
      <c r="FE7" s="20">
        <f>IF(Simulation!FE7&lt;Obligors!$I$7,1,0)</f>
        <v/>
      </c>
      <c r="FF7" s="20">
        <f>IF(Simulation!FF7&lt;Obligors!$I$7,1,0)</f>
        <v/>
      </c>
      <c r="FG7" s="20">
        <f>IF(Simulation!FG7&lt;Obligors!$I$7,1,0)</f>
        <v/>
      </c>
      <c r="FH7" s="20">
        <f>IF(Simulation!FH7&lt;Obligors!$I$7,1,0)</f>
        <v/>
      </c>
      <c r="FI7" s="20">
        <f>IF(Simulation!FI7&lt;Obligors!$I$7,1,0)</f>
        <v/>
      </c>
      <c r="FJ7" s="20">
        <f>IF(Simulation!FJ7&lt;Obligors!$I$7,1,0)</f>
        <v/>
      </c>
      <c r="FK7" s="20">
        <f>IF(Simulation!FK7&lt;Obligors!$I$7,1,0)</f>
        <v/>
      </c>
      <c r="FL7" s="20">
        <f>IF(Simulation!FL7&lt;Obligors!$I$7,1,0)</f>
        <v/>
      </c>
      <c r="FM7" s="20">
        <f>IF(Simulation!FM7&lt;Obligors!$I$7,1,0)</f>
        <v/>
      </c>
      <c r="FN7" s="20">
        <f>IF(Simulation!FN7&lt;Obligors!$I$7,1,0)</f>
        <v/>
      </c>
      <c r="FO7" s="20">
        <f>IF(Simulation!FO7&lt;Obligors!$I$7,1,0)</f>
        <v/>
      </c>
      <c r="FP7" s="20">
        <f>IF(Simulation!FP7&lt;Obligors!$I$7,1,0)</f>
        <v/>
      </c>
      <c r="FQ7" s="20">
        <f>IF(Simulation!FQ7&lt;Obligors!$I$7,1,0)</f>
        <v/>
      </c>
      <c r="FR7" s="20">
        <f>IF(Simulation!FR7&lt;Obligors!$I$7,1,0)</f>
        <v/>
      </c>
      <c r="FS7" s="20">
        <f>IF(Simulation!FS7&lt;Obligors!$I$7,1,0)</f>
        <v/>
      </c>
      <c r="FT7" s="20">
        <f>IF(Simulation!FT7&lt;Obligors!$I$7,1,0)</f>
        <v/>
      </c>
      <c r="FU7" s="20">
        <f>IF(Simulation!FU7&lt;Obligors!$I$7,1,0)</f>
        <v/>
      </c>
      <c r="FV7" s="20">
        <f>IF(Simulation!FV7&lt;Obligors!$I$7,1,0)</f>
        <v/>
      </c>
      <c r="FW7" s="20">
        <f>IF(Simulation!FW7&lt;Obligors!$I$7,1,0)</f>
        <v/>
      </c>
      <c r="FX7" s="20">
        <f>IF(Simulation!FX7&lt;Obligors!$I$7,1,0)</f>
        <v/>
      </c>
      <c r="FY7" s="20">
        <f>IF(Simulation!FY7&lt;Obligors!$I$7,1,0)</f>
        <v/>
      </c>
      <c r="FZ7" s="20">
        <f>IF(Simulation!FZ7&lt;Obligors!$I$7,1,0)</f>
        <v/>
      </c>
      <c r="GA7" s="20">
        <f>IF(Simulation!GA7&lt;Obligors!$I$7,1,0)</f>
        <v/>
      </c>
      <c r="GB7" s="20">
        <f>IF(Simulation!GB7&lt;Obligors!$I$7,1,0)</f>
        <v/>
      </c>
      <c r="GC7" s="20">
        <f>IF(Simulation!GC7&lt;Obligors!$I$7,1,0)</f>
        <v/>
      </c>
      <c r="GD7" s="20">
        <f>IF(Simulation!GD7&lt;Obligors!$I$7,1,0)</f>
        <v/>
      </c>
      <c r="GE7" s="20">
        <f>IF(Simulation!GE7&lt;Obligors!$I$7,1,0)</f>
        <v/>
      </c>
      <c r="GF7" s="20">
        <f>IF(Simulation!GF7&lt;Obligors!$I$7,1,0)</f>
        <v/>
      </c>
      <c r="GG7" s="20">
        <f>IF(Simulation!GG7&lt;Obligors!$I$7,1,0)</f>
        <v/>
      </c>
      <c r="GH7" s="20">
        <f>IF(Simulation!GH7&lt;Obligors!$I$7,1,0)</f>
        <v/>
      </c>
      <c r="GI7" s="20">
        <f>IF(Simulation!GI7&lt;Obligors!$I$7,1,0)</f>
        <v/>
      </c>
      <c r="GJ7" s="20">
        <f>IF(Simulation!GJ7&lt;Obligors!$I$7,1,0)</f>
        <v/>
      </c>
      <c r="GK7" s="20">
        <f>IF(Simulation!GK7&lt;Obligors!$I$7,1,0)</f>
        <v/>
      </c>
      <c r="GL7" s="20">
        <f>IF(Simulation!GL7&lt;Obligors!$I$7,1,0)</f>
        <v/>
      </c>
      <c r="GM7" s="20">
        <f>IF(Simulation!GM7&lt;Obligors!$I$7,1,0)</f>
        <v/>
      </c>
      <c r="GN7" s="20">
        <f>IF(Simulation!GN7&lt;Obligors!$I$7,1,0)</f>
        <v/>
      </c>
      <c r="GO7" s="20">
        <f>IF(Simulation!GO7&lt;Obligors!$I$7,1,0)</f>
        <v/>
      </c>
      <c r="GP7" s="20">
        <f>IF(Simulation!GP7&lt;Obligors!$I$7,1,0)</f>
        <v/>
      </c>
      <c r="GQ7" s="20">
        <f>IF(Simulation!GQ7&lt;Obligors!$I$7,1,0)</f>
        <v/>
      </c>
      <c r="GR7" s="20">
        <f>IF(Simulation!GR7&lt;Obligors!$I$7,1,0)</f>
        <v/>
      </c>
      <c r="GS7" s="20">
        <f>IF(Simulation!GS7&lt;Obligors!$I$7,1,0)</f>
        <v/>
      </c>
      <c r="GT7" s="20">
        <f>IF(Simulation!GT7&lt;Obligors!$I$7,1,0)</f>
        <v/>
      </c>
      <c r="GU7" s="20">
        <f>IF(Simulation!GU7&lt;Obligors!$I$7,1,0)</f>
        <v/>
      </c>
      <c r="GV7" s="20">
        <f>IF(Simulation!GV7&lt;Obligors!$I$7,1,0)</f>
        <v/>
      </c>
      <c r="GW7" s="20">
        <f>IF(Simulation!GW7&lt;Obligors!$I$7,1,0)</f>
        <v/>
      </c>
      <c r="GX7" s="20">
        <f>IF(Simulation!GX7&lt;Obligors!$I$7,1,0)</f>
        <v/>
      </c>
      <c r="GY7" s="20">
        <f>IF(Simulation!GY7&lt;Obligors!$I$7,1,0)</f>
        <v/>
      </c>
      <c r="GZ7" s="20">
        <f>IF(Simulation!GZ7&lt;Obligors!$I$7,1,0)</f>
        <v/>
      </c>
      <c r="HA7" s="20">
        <f>IF(Simulation!HA7&lt;Obligors!$I$7,1,0)</f>
        <v/>
      </c>
      <c r="HB7" s="20">
        <f>IF(Simulation!HB7&lt;Obligors!$I$7,1,0)</f>
        <v/>
      </c>
      <c r="HC7" s="20">
        <f>IF(Simulation!HC7&lt;Obligors!$I$7,1,0)</f>
        <v/>
      </c>
      <c r="HD7" s="20">
        <f>IF(Simulation!HD7&lt;Obligors!$I$7,1,0)</f>
        <v/>
      </c>
      <c r="HE7" s="20">
        <f>IF(Simulation!HE7&lt;Obligors!$I$7,1,0)</f>
        <v/>
      </c>
      <c r="HF7" s="20">
        <f>IF(Simulation!HF7&lt;Obligors!$I$7,1,0)</f>
        <v/>
      </c>
      <c r="HG7" s="20">
        <f>IF(Simulation!HG7&lt;Obligors!$I$7,1,0)</f>
        <v/>
      </c>
      <c r="HH7" s="20">
        <f>IF(Simulation!HH7&lt;Obligors!$I$7,1,0)</f>
        <v/>
      </c>
      <c r="HI7" s="20">
        <f>IF(Simulation!HI7&lt;Obligors!$I$7,1,0)</f>
        <v/>
      </c>
      <c r="HJ7" s="20">
        <f>IF(Simulation!HJ7&lt;Obligors!$I$7,1,0)</f>
        <v/>
      </c>
      <c r="HK7" s="20">
        <f>IF(Simulation!HK7&lt;Obligors!$I$7,1,0)</f>
        <v/>
      </c>
      <c r="HL7" s="20">
        <f>IF(Simulation!HL7&lt;Obligors!$I$7,1,0)</f>
        <v/>
      </c>
      <c r="HM7" s="20">
        <f>IF(Simulation!HM7&lt;Obligors!$I$7,1,0)</f>
        <v/>
      </c>
      <c r="HN7" s="20">
        <f>IF(Simulation!HN7&lt;Obligors!$I$7,1,0)</f>
        <v/>
      </c>
      <c r="HO7" s="20">
        <f>IF(Simulation!HO7&lt;Obligors!$I$7,1,0)</f>
        <v/>
      </c>
      <c r="HP7" s="20">
        <f>IF(Simulation!HP7&lt;Obligors!$I$7,1,0)</f>
        <v/>
      </c>
      <c r="HQ7" s="20">
        <f>IF(Simulation!HQ7&lt;Obligors!$I$7,1,0)</f>
        <v/>
      </c>
      <c r="HR7" s="20">
        <f>IF(Simulation!HR7&lt;Obligors!$I$7,1,0)</f>
        <v/>
      </c>
      <c r="HS7" s="20">
        <f>IF(Simulation!HS7&lt;Obligors!$I$7,1,0)</f>
        <v/>
      </c>
      <c r="HT7" s="20">
        <f>IF(Simulation!HT7&lt;Obligors!$I$7,1,0)</f>
        <v/>
      </c>
      <c r="HU7" s="20">
        <f>IF(Simulation!HU7&lt;Obligors!$I$7,1,0)</f>
        <v/>
      </c>
      <c r="HV7" s="20">
        <f>IF(Simulation!HV7&lt;Obligors!$I$7,1,0)</f>
        <v/>
      </c>
      <c r="HW7" s="20">
        <f>IF(Simulation!HW7&lt;Obligors!$I$7,1,0)</f>
        <v/>
      </c>
      <c r="HX7" s="20">
        <f>IF(Simulation!HX7&lt;Obligors!$I$7,1,0)</f>
        <v/>
      </c>
      <c r="HY7" s="20">
        <f>IF(Simulation!HY7&lt;Obligors!$I$7,1,0)</f>
        <v/>
      </c>
      <c r="HZ7" s="20">
        <f>IF(Simulation!HZ7&lt;Obligors!$I$7,1,0)</f>
        <v/>
      </c>
      <c r="IA7" s="20">
        <f>IF(Simulation!IA7&lt;Obligors!$I$7,1,0)</f>
        <v/>
      </c>
      <c r="IB7" s="20">
        <f>IF(Simulation!IB7&lt;Obligors!$I$7,1,0)</f>
        <v/>
      </c>
      <c r="IC7" s="20">
        <f>IF(Simulation!IC7&lt;Obligors!$I$7,1,0)</f>
        <v/>
      </c>
      <c r="ID7" s="20">
        <f>IF(Simulation!ID7&lt;Obligors!$I$7,1,0)</f>
        <v/>
      </c>
      <c r="IE7" s="20">
        <f>IF(Simulation!IE7&lt;Obligors!$I$7,1,0)</f>
        <v/>
      </c>
      <c r="IF7" s="20">
        <f>IF(Simulation!IF7&lt;Obligors!$I$7,1,0)</f>
        <v/>
      </c>
      <c r="IG7" s="20">
        <f>IF(Simulation!IG7&lt;Obligors!$I$7,1,0)</f>
        <v/>
      </c>
      <c r="IH7" s="20">
        <f>IF(Simulation!IH7&lt;Obligors!$I$7,1,0)</f>
        <v/>
      </c>
      <c r="II7" s="20">
        <f>IF(Simulation!II7&lt;Obligors!$I$7,1,0)</f>
        <v/>
      </c>
      <c r="IJ7" s="20">
        <f>IF(Simulation!IJ7&lt;Obligors!$I$7,1,0)</f>
        <v/>
      </c>
      <c r="IK7" s="20">
        <f>IF(Simulation!IK7&lt;Obligors!$I$7,1,0)</f>
        <v/>
      </c>
      <c r="IL7" s="20">
        <f>IF(Simulation!IL7&lt;Obligors!$I$7,1,0)</f>
        <v/>
      </c>
      <c r="IM7" s="20">
        <f>IF(Simulation!IM7&lt;Obligors!$I$7,1,0)</f>
        <v/>
      </c>
      <c r="IN7" s="20">
        <f>IF(Simulation!IN7&lt;Obligors!$I$7,1,0)</f>
        <v/>
      </c>
      <c r="IO7" s="20">
        <f>IF(Simulation!IO7&lt;Obligors!$I$7,1,0)</f>
        <v/>
      </c>
      <c r="IP7" s="20">
        <f>IF(Simulation!IP7&lt;Obligors!$I$7,1,0)</f>
        <v/>
      </c>
      <c r="IQ7" s="20">
        <f>IF(Simulation!IQ7&lt;Obligors!$I$7,1,0)</f>
        <v/>
      </c>
      <c r="IR7" s="20">
        <f>IF(Simulation!IR7&lt;Obligors!$I$7,1,0)</f>
        <v/>
      </c>
      <c r="IS7" s="20">
        <f>IF(Simulation!IS7&lt;Obligors!$I$7,1,0)</f>
        <v/>
      </c>
      <c r="IT7" s="20">
        <f>IF(Simulation!IT7&lt;Obligors!$I$7,1,0)</f>
        <v/>
      </c>
      <c r="IU7" s="20">
        <f>IF(Simulation!IU7&lt;Obligors!$I$7,1,0)</f>
        <v/>
      </c>
      <c r="IV7" s="20">
        <f>IF(Simulation!IV7&lt;Obligors!$I$7,1,0)</f>
        <v/>
      </c>
      <c r="IW7" s="20">
        <f>IF(Simulation!IW7&lt;Obligors!$I$7,1,0)</f>
        <v/>
      </c>
      <c r="IX7" s="20">
        <f>IF(Simulation!IX7&lt;Obligors!$I$7,1,0)</f>
        <v/>
      </c>
      <c r="IY7" s="20">
        <f>IF(Simulation!IY7&lt;Obligors!$I$7,1,0)</f>
        <v/>
      </c>
      <c r="IZ7" s="20">
        <f>IF(Simulation!IZ7&lt;Obligors!$I$7,1,0)</f>
        <v/>
      </c>
      <c r="JA7" s="20">
        <f>IF(Simulation!JA7&lt;Obligors!$I$7,1,0)</f>
        <v/>
      </c>
      <c r="JB7" s="20">
        <f>IF(Simulation!JB7&lt;Obligors!$I$7,1,0)</f>
        <v/>
      </c>
      <c r="JC7" s="20">
        <f>IF(Simulation!JC7&lt;Obligors!$I$7,1,0)</f>
        <v/>
      </c>
      <c r="JD7" s="20">
        <f>IF(Simulation!JD7&lt;Obligors!$I$7,1,0)</f>
        <v/>
      </c>
      <c r="JE7" s="20">
        <f>IF(Simulation!JE7&lt;Obligors!$I$7,1,0)</f>
        <v/>
      </c>
      <c r="JF7" s="20">
        <f>IF(Simulation!JF7&lt;Obligors!$I$7,1,0)</f>
        <v/>
      </c>
      <c r="JG7" s="20">
        <f>IF(Simulation!JG7&lt;Obligors!$I$7,1,0)</f>
        <v/>
      </c>
      <c r="JH7" s="20">
        <f>IF(Simulation!JH7&lt;Obligors!$I$7,1,0)</f>
        <v/>
      </c>
      <c r="JI7" s="20">
        <f>IF(Simulation!JI7&lt;Obligors!$I$7,1,0)</f>
        <v/>
      </c>
      <c r="JJ7" s="20">
        <f>IF(Simulation!JJ7&lt;Obligors!$I$7,1,0)</f>
        <v/>
      </c>
      <c r="JK7" s="20">
        <f>IF(Simulation!JK7&lt;Obligors!$I$7,1,0)</f>
        <v/>
      </c>
      <c r="JL7" s="20">
        <f>IF(Simulation!JL7&lt;Obligors!$I$7,1,0)</f>
        <v/>
      </c>
      <c r="JM7" s="20">
        <f>IF(Simulation!JM7&lt;Obligors!$I$7,1,0)</f>
        <v/>
      </c>
      <c r="JN7" s="20">
        <f>IF(Simulation!JN7&lt;Obligors!$I$7,1,0)</f>
        <v/>
      </c>
      <c r="JO7" s="20">
        <f>IF(Simulation!JO7&lt;Obligors!$I$7,1,0)</f>
        <v/>
      </c>
      <c r="JP7" s="20">
        <f>IF(Simulation!JP7&lt;Obligors!$I$7,1,0)</f>
        <v/>
      </c>
      <c r="JQ7" s="20">
        <f>IF(Simulation!JQ7&lt;Obligors!$I$7,1,0)</f>
        <v/>
      </c>
      <c r="JR7" s="20">
        <f>IF(Simulation!JR7&lt;Obligors!$I$7,1,0)</f>
        <v/>
      </c>
      <c r="JS7" s="20">
        <f>IF(Simulation!JS7&lt;Obligors!$I$7,1,0)</f>
        <v/>
      </c>
      <c r="JT7" s="20">
        <f>IF(Simulation!JT7&lt;Obligors!$I$7,1,0)</f>
        <v/>
      </c>
      <c r="JU7" s="20">
        <f>IF(Simulation!JU7&lt;Obligors!$I$7,1,0)</f>
        <v/>
      </c>
      <c r="JV7" s="20">
        <f>IF(Simulation!JV7&lt;Obligors!$I$7,1,0)</f>
        <v/>
      </c>
      <c r="JW7" s="20">
        <f>IF(Simulation!JW7&lt;Obligors!$I$7,1,0)</f>
        <v/>
      </c>
      <c r="JX7" s="20">
        <f>IF(Simulation!JX7&lt;Obligors!$I$7,1,0)</f>
        <v/>
      </c>
      <c r="JY7" s="20">
        <f>IF(Simulation!JY7&lt;Obligors!$I$7,1,0)</f>
        <v/>
      </c>
      <c r="JZ7" s="20">
        <f>IF(Simulation!JZ7&lt;Obligors!$I$7,1,0)</f>
        <v/>
      </c>
      <c r="KA7" s="20">
        <f>IF(Simulation!KA7&lt;Obligors!$I$7,1,0)</f>
        <v/>
      </c>
      <c r="KB7" s="20">
        <f>IF(Simulation!KB7&lt;Obligors!$I$7,1,0)</f>
        <v/>
      </c>
      <c r="KC7" s="20">
        <f>IF(Simulation!KC7&lt;Obligors!$I$7,1,0)</f>
        <v/>
      </c>
      <c r="KD7" s="20">
        <f>IF(Simulation!KD7&lt;Obligors!$I$7,1,0)</f>
        <v/>
      </c>
      <c r="KE7" s="20">
        <f>IF(Simulation!KE7&lt;Obligors!$I$7,1,0)</f>
        <v/>
      </c>
      <c r="KF7" s="20">
        <f>IF(Simulation!KF7&lt;Obligors!$I$7,1,0)</f>
        <v/>
      </c>
      <c r="KG7" s="20">
        <f>IF(Simulation!KG7&lt;Obligors!$I$7,1,0)</f>
        <v/>
      </c>
      <c r="KH7" s="20">
        <f>IF(Simulation!KH7&lt;Obligors!$I$7,1,0)</f>
        <v/>
      </c>
      <c r="KI7" s="20">
        <f>IF(Simulation!KI7&lt;Obligors!$I$7,1,0)</f>
        <v/>
      </c>
      <c r="KJ7" s="20">
        <f>IF(Simulation!KJ7&lt;Obligors!$I$7,1,0)</f>
        <v/>
      </c>
      <c r="KK7" s="20">
        <f>IF(Simulation!KK7&lt;Obligors!$I$7,1,0)</f>
        <v/>
      </c>
      <c r="KL7" s="20">
        <f>IF(Simulation!KL7&lt;Obligors!$I$7,1,0)</f>
        <v/>
      </c>
      <c r="KM7" s="20">
        <f>IF(Simulation!KM7&lt;Obligors!$I$7,1,0)</f>
        <v/>
      </c>
      <c r="KN7" s="20">
        <f>IF(Simulation!KN7&lt;Obligors!$I$7,1,0)</f>
        <v/>
      </c>
      <c r="KO7" s="20">
        <f>IF(Simulation!KO7&lt;Obligors!$I$7,1,0)</f>
        <v/>
      </c>
      <c r="KP7" s="20">
        <f>IF(Simulation!KP7&lt;Obligors!$I$7,1,0)</f>
        <v/>
      </c>
      <c r="KQ7" s="20">
        <f>IF(Simulation!KQ7&lt;Obligors!$I$7,1,0)</f>
        <v/>
      </c>
      <c r="KR7" s="20">
        <f>IF(Simulation!KR7&lt;Obligors!$I$7,1,0)</f>
        <v/>
      </c>
      <c r="KS7" s="20">
        <f>IF(Simulation!KS7&lt;Obligors!$I$7,1,0)</f>
        <v/>
      </c>
      <c r="KT7" s="20">
        <f>IF(Simulation!KT7&lt;Obligors!$I$7,1,0)</f>
        <v/>
      </c>
      <c r="KU7" s="20">
        <f>IF(Simulation!KU7&lt;Obligors!$I$7,1,0)</f>
        <v/>
      </c>
      <c r="KV7" s="20">
        <f>IF(Simulation!KV7&lt;Obligors!$I$7,1,0)</f>
        <v/>
      </c>
      <c r="KW7" s="20">
        <f>IF(Simulation!KW7&lt;Obligors!$I$7,1,0)</f>
        <v/>
      </c>
      <c r="KX7" s="20">
        <f>IF(Simulation!KX7&lt;Obligors!$I$7,1,0)</f>
        <v/>
      </c>
      <c r="KY7" s="20">
        <f>IF(Simulation!KY7&lt;Obligors!$I$7,1,0)</f>
        <v/>
      </c>
      <c r="KZ7" s="20">
        <f>IF(Simulation!KZ7&lt;Obligors!$I$7,1,0)</f>
        <v/>
      </c>
      <c r="LA7" s="20">
        <f>IF(Simulation!LA7&lt;Obligors!$I$7,1,0)</f>
        <v/>
      </c>
      <c r="LB7" s="20">
        <f>IF(Simulation!LB7&lt;Obligors!$I$7,1,0)</f>
        <v/>
      </c>
      <c r="LC7" s="20">
        <f>IF(Simulation!LC7&lt;Obligors!$I$7,1,0)</f>
        <v/>
      </c>
      <c r="LD7" s="20">
        <f>IF(Simulation!LD7&lt;Obligors!$I$7,1,0)</f>
        <v/>
      </c>
      <c r="LE7" s="20">
        <f>IF(Simulation!LE7&lt;Obligors!$I$7,1,0)</f>
        <v/>
      </c>
      <c r="LF7" s="20">
        <f>IF(Simulation!LF7&lt;Obligors!$I$7,1,0)</f>
        <v/>
      </c>
      <c r="LG7" s="20">
        <f>IF(Simulation!LG7&lt;Obligors!$I$7,1,0)</f>
        <v/>
      </c>
      <c r="LH7" s="20">
        <f>IF(Simulation!LH7&lt;Obligors!$I$7,1,0)</f>
        <v/>
      </c>
      <c r="LI7" s="20">
        <f>IF(Simulation!LI7&lt;Obligors!$I$7,1,0)</f>
        <v/>
      </c>
      <c r="LJ7" s="20">
        <f>IF(Simulation!LJ7&lt;Obligors!$I$7,1,0)</f>
        <v/>
      </c>
      <c r="LK7" s="20">
        <f>IF(Simulation!LK7&lt;Obligors!$I$7,1,0)</f>
        <v/>
      </c>
      <c r="LL7" s="20">
        <f>IF(Simulation!LL7&lt;Obligors!$I$7,1,0)</f>
        <v/>
      </c>
      <c r="LM7" s="20">
        <f>IF(Simulation!LM7&lt;Obligors!$I$7,1,0)</f>
        <v/>
      </c>
      <c r="LN7" s="20">
        <f>IF(Simulation!LN7&lt;Obligors!$I$7,1,0)</f>
        <v/>
      </c>
      <c r="LO7" s="20">
        <f>IF(Simulation!LO7&lt;Obligors!$I$7,1,0)</f>
        <v/>
      </c>
      <c r="LP7" s="20">
        <f>IF(Simulation!LP7&lt;Obligors!$I$7,1,0)</f>
        <v/>
      </c>
      <c r="LQ7" s="20">
        <f>IF(Simulation!LQ7&lt;Obligors!$I$7,1,0)</f>
        <v/>
      </c>
      <c r="LR7" s="20">
        <f>IF(Simulation!LR7&lt;Obligors!$I$7,1,0)</f>
        <v/>
      </c>
      <c r="LS7" s="20">
        <f>IF(Simulation!LS7&lt;Obligors!$I$7,1,0)</f>
        <v/>
      </c>
      <c r="LT7" s="20">
        <f>IF(Simulation!LT7&lt;Obligors!$I$7,1,0)</f>
        <v/>
      </c>
      <c r="LU7" s="20">
        <f>IF(Simulation!LU7&lt;Obligors!$I$7,1,0)</f>
        <v/>
      </c>
      <c r="LV7" s="20">
        <f>IF(Simulation!LV7&lt;Obligors!$I$7,1,0)</f>
        <v/>
      </c>
      <c r="LW7" s="20">
        <f>IF(Simulation!LW7&lt;Obligors!$I$7,1,0)</f>
        <v/>
      </c>
      <c r="LX7" s="20">
        <f>IF(Simulation!LX7&lt;Obligors!$I$7,1,0)</f>
        <v/>
      </c>
      <c r="LY7" s="20">
        <f>IF(Simulation!LY7&lt;Obligors!$I$7,1,0)</f>
        <v/>
      </c>
      <c r="LZ7" s="20">
        <f>IF(Simulation!LZ7&lt;Obligors!$I$7,1,0)</f>
        <v/>
      </c>
      <c r="MA7" s="20">
        <f>IF(Simulation!MA7&lt;Obligors!$I$7,1,0)</f>
        <v/>
      </c>
      <c r="MB7" s="20">
        <f>IF(Simulation!MB7&lt;Obligors!$I$7,1,0)</f>
        <v/>
      </c>
      <c r="MC7" s="20">
        <f>IF(Simulation!MC7&lt;Obligors!$I$7,1,0)</f>
        <v/>
      </c>
      <c r="MD7" s="20">
        <f>IF(Simulation!MD7&lt;Obligors!$I$7,1,0)</f>
        <v/>
      </c>
      <c r="ME7" s="20">
        <f>IF(Simulation!ME7&lt;Obligors!$I$7,1,0)</f>
        <v/>
      </c>
      <c r="MF7" s="20">
        <f>IF(Simulation!MF7&lt;Obligors!$I$7,1,0)</f>
        <v/>
      </c>
      <c r="MG7" s="20">
        <f>IF(Simulation!MG7&lt;Obligors!$I$7,1,0)</f>
        <v/>
      </c>
      <c r="MH7" s="20">
        <f>IF(Simulation!MH7&lt;Obligors!$I$7,1,0)</f>
        <v/>
      </c>
      <c r="MI7" s="20">
        <f>IF(Simulation!MI7&lt;Obligors!$I$7,1,0)</f>
        <v/>
      </c>
      <c r="MJ7" s="20">
        <f>IF(Simulation!MJ7&lt;Obligors!$I$7,1,0)</f>
        <v/>
      </c>
      <c r="MK7" s="20">
        <f>IF(Simulation!MK7&lt;Obligors!$I$7,1,0)</f>
        <v/>
      </c>
      <c r="ML7" s="20">
        <f>IF(Simulation!ML7&lt;Obligors!$I$7,1,0)</f>
        <v/>
      </c>
      <c r="MM7" s="20">
        <f>IF(Simulation!MM7&lt;Obligors!$I$7,1,0)</f>
        <v/>
      </c>
      <c r="MN7" s="20">
        <f>IF(Simulation!MN7&lt;Obligors!$I$7,1,0)</f>
        <v/>
      </c>
      <c r="MO7" s="20">
        <f>IF(Simulation!MO7&lt;Obligors!$I$7,1,0)</f>
        <v/>
      </c>
      <c r="MP7" s="20">
        <f>IF(Simulation!MP7&lt;Obligors!$I$7,1,0)</f>
        <v/>
      </c>
      <c r="MQ7" s="20">
        <f>IF(Simulation!MQ7&lt;Obligors!$I$7,1,0)</f>
        <v/>
      </c>
      <c r="MR7" s="20">
        <f>IF(Simulation!MR7&lt;Obligors!$I$7,1,0)</f>
        <v/>
      </c>
      <c r="MS7" s="20">
        <f>IF(Simulation!MS7&lt;Obligors!$I$7,1,0)</f>
        <v/>
      </c>
      <c r="MT7" s="20">
        <f>IF(Simulation!MT7&lt;Obligors!$I$7,1,0)</f>
        <v/>
      </c>
      <c r="MU7" s="20">
        <f>IF(Simulation!MU7&lt;Obligors!$I$7,1,0)</f>
        <v/>
      </c>
      <c r="MV7" s="20">
        <f>IF(Simulation!MV7&lt;Obligors!$I$7,1,0)</f>
        <v/>
      </c>
      <c r="MW7" s="20">
        <f>IF(Simulation!MW7&lt;Obligors!$I$7,1,0)</f>
        <v/>
      </c>
      <c r="MX7" s="20">
        <f>IF(Simulation!MX7&lt;Obligors!$I$7,1,0)</f>
        <v/>
      </c>
      <c r="MY7" s="20">
        <f>IF(Simulation!MY7&lt;Obligors!$I$7,1,0)</f>
        <v/>
      </c>
      <c r="MZ7" s="20">
        <f>IF(Simulation!MZ7&lt;Obligors!$I$7,1,0)</f>
        <v/>
      </c>
      <c r="NA7" s="20">
        <f>IF(Simulation!NA7&lt;Obligors!$I$7,1,0)</f>
        <v/>
      </c>
      <c r="NB7" s="20">
        <f>IF(Simulation!NB7&lt;Obligors!$I$7,1,0)</f>
        <v/>
      </c>
      <c r="NC7" s="20">
        <f>IF(Simulation!NC7&lt;Obligors!$I$7,1,0)</f>
        <v/>
      </c>
      <c r="ND7" s="20">
        <f>IF(Simulation!ND7&lt;Obligors!$I$7,1,0)</f>
        <v/>
      </c>
      <c r="NE7" s="20">
        <f>IF(Simulation!NE7&lt;Obligors!$I$7,1,0)</f>
        <v/>
      </c>
      <c r="NF7" s="20">
        <f>IF(Simulation!NF7&lt;Obligors!$I$7,1,0)</f>
        <v/>
      </c>
      <c r="NG7" s="20">
        <f>IF(Simulation!NG7&lt;Obligors!$I$7,1,0)</f>
        <v/>
      </c>
      <c r="NH7" s="20">
        <f>IF(Simulation!NH7&lt;Obligors!$I$7,1,0)</f>
        <v/>
      </c>
      <c r="NI7" s="20">
        <f>IF(Simulation!NI7&lt;Obligors!$I$7,1,0)</f>
        <v/>
      </c>
      <c r="NJ7" s="20">
        <f>IF(Simulation!NJ7&lt;Obligors!$I$7,1,0)</f>
        <v/>
      </c>
      <c r="NK7" s="20">
        <f>IF(Simulation!NK7&lt;Obligors!$I$7,1,0)</f>
        <v/>
      </c>
      <c r="NL7" s="20">
        <f>IF(Simulation!NL7&lt;Obligors!$I$7,1,0)</f>
        <v/>
      </c>
      <c r="NM7" s="20">
        <f>IF(Simulation!NM7&lt;Obligors!$I$7,1,0)</f>
        <v/>
      </c>
      <c r="NN7" s="20">
        <f>IF(Simulation!NN7&lt;Obligors!$I$7,1,0)</f>
        <v/>
      </c>
      <c r="NO7" s="20">
        <f>IF(Simulation!NO7&lt;Obligors!$I$7,1,0)</f>
        <v/>
      </c>
      <c r="NP7" s="20">
        <f>IF(Simulation!NP7&lt;Obligors!$I$7,1,0)</f>
        <v/>
      </c>
      <c r="NQ7" s="20">
        <f>IF(Simulation!NQ7&lt;Obligors!$I$7,1,0)</f>
        <v/>
      </c>
      <c r="NR7" s="20">
        <f>IF(Simulation!NR7&lt;Obligors!$I$7,1,0)</f>
        <v/>
      </c>
      <c r="NS7" s="20">
        <f>IF(Simulation!NS7&lt;Obligors!$I$7,1,0)</f>
        <v/>
      </c>
      <c r="NT7" s="20">
        <f>IF(Simulation!NT7&lt;Obligors!$I$7,1,0)</f>
        <v/>
      </c>
      <c r="NU7" s="20">
        <f>IF(Simulation!NU7&lt;Obligors!$I$7,1,0)</f>
        <v/>
      </c>
      <c r="NV7" s="20">
        <f>IF(Simulation!NV7&lt;Obligors!$I$7,1,0)</f>
        <v/>
      </c>
      <c r="NW7" s="20">
        <f>IF(Simulation!NW7&lt;Obligors!$I$7,1,0)</f>
        <v/>
      </c>
      <c r="NX7" s="20">
        <f>IF(Simulation!NX7&lt;Obligors!$I$7,1,0)</f>
        <v/>
      </c>
      <c r="NY7" s="20">
        <f>IF(Simulation!NY7&lt;Obligors!$I$7,1,0)</f>
        <v/>
      </c>
      <c r="NZ7" s="20">
        <f>IF(Simulation!NZ7&lt;Obligors!$I$7,1,0)</f>
        <v/>
      </c>
      <c r="OA7" s="20">
        <f>IF(Simulation!OA7&lt;Obligors!$I$7,1,0)</f>
        <v/>
      </c>
      <c r="OB7" s="20">
        <f>IF(Simulation!OB7&lt;Obligors!$I$7,1,0)</f>
        <v/>
      </c>
      <c r="OC7" s="20">
        <f>IF(Simulation!OC7&lt;Obligors!$I$7,1,0)</f>
        <v/>
      </c>
      <c r="OD7" s="20">
        <f>IF(Simulation!OD7&lt;Obligors!$I$7,1,0)</f>
        <v/>
      </c>
      <c r="OE7" s="20">
        <f>IF(Simulation!OE7&lt;Obligors!$I$7,1,0)</f>
        <v/>
      </c>
      <c r="OF7" s="20">
        <f>IF(Simulation!OF7&lt;Obligors!$I$7,1,0)</f>
        <v/>
      </c>
      <c r="OG7" s="20">
        <f>IF(Simulation!OG7&lt;Obligors!$I$7,1,0)</f>
        <v/>
      </c>
      <c r="OH7" s="20">
        <f>IF(Simulation!OH7&lt;Obligors!$I$7,1,0)</f>
        <v/>
      </c>
      <c r="OI7" s="20">
        <f>IF(Simulation!OI7&lt;Obligors!$I$7,1,0)</f>
        <v/>
      </c>
      <c r="OJ7" s="20">
        <f>IF(Simulation!OJ7&lt;Obligors!$I$7,1,0)</f>
        <v/>
      </c>
      <c r="OK7" s="20">
        <f>IF(Simulation!OK7&lt;Obligors!$I$7,1,0)</f>
        <v/>
      </c>
      <c r="OL7" s="20">
        <f>IF(Simulation!OL7&lt;Obligors!$I$7,1,0)</f>
        <v/>
      </c>
      <c r="OM7" s="20">
        <f>IF(Simulation!OM7&lt;Obligors!$I$7,1,0)</f>
        <v/>
      </c>
      <c r="ON7" s="20">
        <f>IF(Simulation!ON7&lt;Obligors!$I$7,1,0)</f>
        <v/>
      </c>
      <c r="OO7" s="20">
        <f>IF(Simulation!OO7&lt;Obligors!$I$7,1,0)</f>
        <v/>
      </c>
      <c r="OP7" s="20">
        <f>IF(Simulation!OP7&lt;Obligors!$I$7,1,0)</f>
        <v/>
      </c>
      <c r="OQ7" s="20">
        <f>IF(Simulation!OQ7&lt;Obligors!$I$7,1,0)</f>
        <v/>
      </c>
      <c r="OR7" s="20">
        <f>IF(Simulation!OR7&lt;Obligors!$I$7,1,0)</f>
        <v/>
      </c>
      <c r="OS7" s="20">
        <f>IF(Simulation!OS7&lt;Obligors!$I$7,1,0)</f>
        <v/>
      </c>
      <c r="OT7" s="20">
        <f>IF(Simulation!OT7&lt;Obligors!$I$7,1,0)</f>
        <v/>
      </c>
      <c r="OU7" s="20">
        <f>IF(Simulation!OU7&lt;Obligors!$I$7,1,0)</f>
        <v/>
      </c>
      <c r="OV7" s="20">
        <f>IF(Simulation!OV7&lt;Obligors!$I$7,1,0)</f>
        <v/>
      </c>
      <c r="OW7" s="20">
        <f>IF(Simulation!OW7&lt;Obligors!$I$7,1,0)</f>
        <v/>
      </c>
      <c r="OX7" s="20">
        <f>IF(Simulation!OX7&lt;Obligors!$I$7,1,0)</f>
        <v/>
      </c>
      <c r="OY7" s="20">
        <f>IF(Simulation!OY7&lt;Obligors!$I$7,1,0)</f>
        <v/>
      </c>
      <c r="OZ7" s="20">
        <f>IF(Simulation!OZ7&lt;Obligors!$I$7,1,0)</f>
        <v/>
      </c>
      <c r="PA7" s="20">
        <f>IF(Simulation!PA7&lt;Obligors!$I$7,1,0)</f>
        <v/>
      </c>
      <c r="PB7" s="20">
        <f>IF(Simulation!PB7&lt;Obligors!$I$7,1,0)</f>
        <v/>
      </c>
      <c r="PC7" s="20">
        <f>IF(Simulation!PC7&lt;Obligors!$I$7,1,0)</f>
        <v/>
      </c>
      <c r="PD7" s="20">
        <f>IF(Simulation!PD7&lt;Obligors!$I$7,1,0)</f>
        <v/>
      </c>
      <c r="PE7" s="20">
        <f>IF(Simulation!PE7&lt;Obligors!$I$7,1,0)</f>
        <v/>
      </c>
      <c r="PF7" s="20">
        <f>IF(Simulation!PF7&lt;Obligors!$I$7,1,0)</f>
        <v/>
      </c>
      <c r="PG7" s="20">
        <f>IF(Simulation!PG7&lt;Obligors!$I$7,1,0)</f>
        <v/>
      </c>
      <c r="PH7" s="20">
        <f>IF(Simulation!PH7&lt;Obligors!$I$7,1,0)</f>
        <v/>
      </c>
      <c r="PI7" s="20">
        <f>IF(Simulation!PI7&lt;Obligors!$I$7,1,0)</f>
        <v/>
      </c>
      <c r="PJ7" s="20">
        <f>IF(Simulation!PJ7&lt;Obligors!$I$7,1,0)</f>
        <v/>
      </c>
      <c r="PK7" s="20">
        <f>IF(Simulation!PK7&lt;Obligors!$I$7,1,0)</f>
        <v/>
      </c>
      <c r="PL7" s="20">
        <f>IF(Simulation!PL7&lt;Obligors!$I$7,1,0)</f>
        <v/>
      </c>
      <c r="PM7" s="20">
        <f>IF(Simulation!PM7&lt;Obligors!$I$7,1,0)</f>
        <v/>
      </c>
      <c r="PN7" s="20">
        <f>IF(Simulation!PN7&lt;Obligors!$I$7,1,0)</f>
        <v/>
      </c>
      <c r="PO7" s="20">
        <f>IF(Simulation!PO7&lt;Obligors!$I$7,1,0)</f>
        <v/>
      </c>
      <c r="PP7" s="20">
        <f>IF(Simulation!PP7&lt;Obligors!$I$7,1,0)</f>
        <v/>
      </c>
      <c r="PQ7" s="20">
        <f>IF(Simulation!PQ7&lt;Obligors!$I$7,1,0)</f>
        <v/>
      </c>
      <c r="PR7" s="20">
        <f>IF(Simulation!PR7&lt;Obligors!$I$7,1,0)</f>
        <v/>
      </c>
      <c r="PS7" s="20">
        <f>IF(Simulation!PS7&lt;Obligors!$I$7,1,0)</f>
        <v/>
      </c>
      <c r="PT7" s="20">
        <f>IF(Simulation!PT7&lt;Obligors!$I$7,1,0)</f>
        <v/>
      </c>
      <c r="PU7" s="20">
        <f>IF(Simulation!PU7&lt;Obligors!$I$7,1,0)</f>
        <v/>
      </c>
      <c r="PV7" s="20">
        <f>IF(Simulation!PV7&lt;Obligors!$I$7,1,0)</f>
        <v/>
      </c>
      <c r="PW7" s="20">
        <f>IF(Simulation!PW7&lt;Obligors!$I$7,1,0)</f>
        <v/>
      </c>
      <c r="PX7" s="20">
        <f>IF(Simulation!PX7&lt;Obligors!$I$7,1,0)</f>
        <v/>
      </c>
      <c r="PY7" s="20">
        <f>IF(Simulation!PY7&lt;Obligors!$I$7,1,0)</f>
        <v/>
      </c>
      <c r="PZ7" s="20">
        <f>IF(Simulation!PZ7&lt;Obligors!$I$7,1,0)</f>
        <v/>
      </c>
      <c r="QA7" s="20">
        <f>IF(Simulation!QA7&lt;Obligors!$I$7,1,0)</f>
        <v/>
      </c>
      <c r="QB7" s="20">
        <f>IF(Simulation!QB7&lt;Obligors!$I$7,1,0)</f>
        <v/>
      </c>
      <c r="QC7" s="20">
        <f>IF(Simulation!QC7&lt;Obligors!$I$7,1,0)</f>
        <v/>
      </c>
      <c r="QD7" s="20">
        <f>IF(Simulation!QD7&lt;Obligors!$I$7,1,0)</f>
        <v/>
      </c>
      <c r="QE7" s="20">
        <f>IF(Simulation!QE7&lt;Obligors!$I$7,1,0)</f>
        <v/>
      </c>
      <c r="QF7" s="20">
        <f>IF(Simulation!QF7&lt;Obligors!$I$7,1,0)</f>
        <v/>
      </c>
      <c r="QG7" s="20">
        <f>IF(Simulation!QG7&lt;Obligors!$I$7,1,0)</f>
        <v/>
      </c>
      <c r="QH7" s="20">
        <f>IF(Simulation!QH7&lt;Obligors!$I$7,1,0)</f>
        <v/>
      </c>
      <c r="QI7" s="20">
        <f>IF(Simulation!QI7&lt;Obligors!$I$7,1,0)</f>
        <v/>
      </c>
      <c r="QJ7" s="20">
        <f>IF(Simulation!QJ7&lt;Obligors!$I$7,1,0)</f>
        <v/>
      </c>
      <c r="QK7" s="20">
        <f>IF(Simulation!QK7&lt;Obligors!$I$7,1,0)</f>
        <v/>
      </c>
      <c r="QL7" s="20">
        <f>IF(Simulation!QL7&lt;Obligors!$I$7,1,0)</f>
        <v/>
      </c>
      <c r="QM7" s="20">
        <f>IF(Simulation!QM7&lt;Obligors!$I$7,1,0)</f>
        <v/>
      </c>
      <c r="QN7" s="20">
        <f>IF(Simulation!QN7&lt;Obligors!$I$7,1,0)</f>
        <v/>
      </c>
      <c r="QO7" s="20">
        <f>IF(Simulation!QO7&lt;Obligors!$I$7,1,0)</f>
        <v/>
      </c>
      <c r="QP7" s="20">
        <f>IF(Simulation!QP7&lt;Obligors!$I$7,1,0)</f>
        <v/>
      </c>
      <c r="QQ7" s="20">
        <f>IF(Simulation!QQ7&lt;Obligors!$I$7,1,0)</f>
        <v/>
      </c>
      <c r="QR7" s="20">
        <f>IF(Simulation!QR7&lt;Obligors!$I$7,1,0)</f>
        <v/>
      </c>
      <c r="QS7" s="20">
        <f>IF(Simulation!QS7&lt;Obligors!$I$7,1,0)</f>
        <v/>
      </c>
      <c r="QT7" s="20">
        <f>IF(Simulation!QT7&lt;Obligors!$I$7,1,0)</f>
        <v/>
      </c>
      <c r="QU7" s="20">
        <f>IF(Simulation!QU7&lt;Obligors!$I$7,1,0)</f>
        <v/>
      </c>
      <c r="QV7" s="20">
        <f>IF(Simulation!QV7&lt;Obligors!$I$7,1,0)</f>
        <v/>
      </c>
      <c r="QW7" s="20">
        <f>IF(Simulation!QW7&lt;Obligors!$I$7,1,0)</f>
        <v/>
      </c>
      <c r="QX7" s="20">
        <f>IF(Simulation!QX7&lt;Obligors!$I$7,1,0)</f>
        <v/>
      </c>
      <c r="QY7" s="20">
        <f>IF(Simulation!QY7&lt;Obligors!$I$7,1,0)</f>
        <v/>
      </c>
      <c r="QZ7" s="20">
        <f>IF(Simulation!QZ7&lt;Obligors!$I$7,1,0)</f>
        <v/>
      </c>
      <c r="RA7" s="20">
        <f>IF(Simulation!RA7&lt;Obligors!$I$7,1,0)</f>
        <v/>
      </c>
      <c r="RB7" s="20">
        <f>IF(Simulation!RB7&lt;Obligors!$I$7,1,0)</f>
        <v/>
      </c>
      <c r="RC7" s="20">
        <f>IF(Simulation!RC7&lt;Obligors!$I$7,1,0)</f>
        <v/>
      </c>
      <c r="RD7" s="20">
        <f>IF(Simulation!RD7&lt;Obligors!$I$7,1,0)</f>
        <v/>
      </c>
      <c r="RE7" s="20">
        <f>IF(Simulation!RE7&lt;Obligors!$I$7,1,0)</f>
        <v/>
      </c>
      <c r="RF7" s="20">
        <f>IF(Simulation!RF7&lt;Obligors!$I$7,1,0)</f>
        <v/>
      </c>
      <c r="RG7" s="20">
        <f>IF(Simulation!RG7&lt;Obligors!$I$7,1,0)</f>
        <v/>
      </c>
      <c r="RH7" s="20">
        <f>IF(Simulation!RH7&lt;Obligors!$I$7,1,0)</f>
        <v/>
      </c>
      <c r="RI7" s="20">
        <f>IF(Simulation!RI7&lt;Obligors!$I$7,1,0)</f>
        <v/>
      </c>
      <c r="RJ7" s="20">
        <f>IF(Simulation!RJ7&lt;Obligors!$I$7,1,0)</f>
        <v/>
      </c>
      <c r="RK7" s="20">
        <f>IF(Simulation!RK7&lt;Obligors!$I$7,1,0)</f>
        <v/>
      </c>
      <c r="RL7" s="20">
        <f>IF(Simulation!RL7&lt;Obligors!$I$7,1,0)</f>
        <v/>
      </c>
      <c r="RM7" s="20">
        <f>IF(Simulation!RM7&lt;Obligors!$I$7,1,0)</f>
        <v/>
      </c>
      <c r="RN7" s="20">
        <f>IF(Simulation!RN7&lt;Obligors!$I$7,1,0)</f>
        <v/>
      </c>
      <c r="RO7" s="20">
        <f>IF(Simulation!RO7&lt;Obligors!$I$7,1,0)</f>
        <v/>
      </c>
      <c r="RP7" s="20">
        <f>IF(Simulation!RP7&lt;Obligors!$I$7,1,0)</f>
        <v/>
      </c>
      <c r="RQ7" s="20">
        <f>IF(Simulation!RQ7&lt;Obligors!$I$7,1,0)</f>
        <v/>
      </c>
      <c r="RR7" s="20">
        <f>IF(Simulation!RR7&lt;Obligors!$I$7,1,0)</f>
        <v/>
      </c>
      <c r="RS7" s="20">
        <f>IF(Simulation!RS7&lt;Obligors!$I$7,1,0)</f>
        <v/>
      </c>
      <c r="RT7" s="20">
        <f>IF(Simulation!RT7&lt;Obligors!$I$7,1,0)</f>
        <v/>
      </c>
      <c r="RU7" s="20">
        <f>IF(Simulation!RU7&lt;Obligors!$I$7,1,0)</f>
        <v/>
      </c>
      <c r="RV7" s="20">
        <f>IF(Simulation!RV7&lt;Obligors!$I$7,1,0)</f>
        <v/>
      </c>
      <c r="RW7" s="20">
        <f>IF(Simulation!RW7&lt;Obligors!$I$7,1,0)</f>
        <v/>
      </c>
      <c r="RX7" s="20">
        <f>IF(Simulation!RX7&lt;Obligors!$I$7,1,0)</f>
        <v/>
      </c>
      <c r="RY7" s="20">
        <f>IF(Simulation!RY7&lt;Obligors!$I$7,1,0)</f>
        <v/>
      </c>
      <c r="RZ7" s="20">
        <f>IF(Simulation!RZ7&lt;Obligors!$I$7,1,0)</f>
        <v/>
      </c>
      <c r="SA7" s="20">
        <f>IF(Simulation!SA7&lt;Obligors!$I$7,1,0)</f>
        <v/>
      </c>
      <c r="SB7" s="20">
        <f>IF(Simulation!SB7&lt;Obligors!$I$7,1,0)</f>
        <v/>
      </c>
      <c r="SC7" s="20">
        <f>IF(Simulation!SC7&lt;Obligors!$I$7,1,0)</f>
        <v/>
      </c>
      <c r="SD7" s="20">
        <f>IF(Simulation!SD7&lt;Obligors!$I$7,1,0)</f>
        <v/>
      </c>
      <c r="SE7" s="20">
        <f>IF(Simulation!SE7&lt;Obligors!$I$7,1,0)</f>
        <v/>
      </c>
      <c r="SF7" s="20">
        <f>IF(Simulation!SF7&lt;Obligors!$I$7,1,0)</f>
        <v/>
      </c>
      <c r="SG7" s="20">
        <f>IF(Simulation!SG7&lt;Obligors!$I$7,1,0)</f>
        <v/>
      </c>
    </row>
    <row r="8">
      <c r="A8" s="17" t="inlineStr">
        <is>
          <t>OBL-007</t>
        </is>
      </c>
      <c r="B8" s="20">
        <f>IF(Simulation!B8&lt;Obligors!$I$8,1,0)</f>
        <v/>
      </c>
      <c r="C8" s="20">
        <f>IF(Simulation!C8&lt;Obligors!$I$8,1,0)</f>
        <v/>
      </c>
      <c r="D8" s="20">
        <f>IF(Simulation!D8&lt;Obligors!$I$8,1,0)</f>
        <v/>
      </c>
      <c r="E8" s="20">
        <f>IF(Simulation!E8&lt;Obligors!$I$8,1,0)</f>
        <v/>
      </c>
      <c r="F8" s="20">
        <f>IF(Simulation!F8&lt;Obligors!$I$8,1,0)</f>
        <v/>
      </c>
      <c r="G8" s="20">
        <f>IF(Simulation!G8&lt;Obligors!$I$8,1,0)</f>
        <v/>
      </c>
      <c r="H8" s="20">
        <f>IF(Simulation!H8&lt;Obligors!$I$8,1,0)</f>
        <v/>
      </c>
      <c r="I8" s="20">
        <f>IF(Simulation!I8&lt;Obligors!$I$8,1,0)</f>
        <v/>
      </c>
      <c r="J8" s="20">
        <f>IF(Simulation!J8&lt;Obligors!$I$8,1,0)</f>
        <v/>
      </c>
      <c r="K8" s="20">
        <f>IF(Simulation!K8&lt;Obligors!$I$8,1,0)</f>
        <v/>
      </c>
      <c r="L8" s="20">
        <f>IF(Simulation!L8&lt;Obligors!$I$8,1,0)</f>
        <v/>
      </c>
      <c r="M8" s="20">
        <f>IF(Simulation!M8&lt;Obligors!$I$8,1,0)</f>
        <v/>
      </c>
      <c r="N8" s="20">
        <f>IF(Simulation!N8&lt;Obligors!$I$8,1,0)</f>
        <v/>
      </c>
      <c r="O8" s="20">
        <f>IF(Simulation!O8&lt;Obligors!$I$8,1,0)</f>
        <v/>
      </c>
      <c r="P8" s="20">
        <f>IF(Simulation!P8&lt;Obligors!$I$8,1,0)</f>
        <v/>
      </c>
      <c r="Q8" s="20">
        <f>IF(Simulation!Q8&lt;Obligors!$I$8,1,0)</f>
        <v/>
      </c>
      <c r="R8" s="20">
        <f>IF(Simulation!R8&lt;Obligors!$I$8,1,0)</f>
        <v/>
      </c>
      <c r="S8" s="20">
        <f>IF(Simulation!S8&lt;Obligors!$I$8,1,0)</f>
        <v/>
      </c>
      <c r="T8" s="20">
        <f>IF(Simulation!T8&lt;Obligors!$I$8,1,0)</f>
        <v/>
      </c>
      <c r="U8" s="20">
        <f>IF(Simulation!U8&lt;Obligors!$I$8,1,0)</f>
        <v/>
      </c>
      <c r="V8" s="20">
        <f>IF(Simulation!V8&lt;Obligors!$I$8,1,0)</f>
        <v/>
      </c>
      <c r="W8" s="20">
        <f>IF(Simulation!W8&lt;Obligors!$I$8,1,0)</f>
        <v/>
      </c>
      <c r="X8" s="20">
        <f>IF(Simulation!X8&lt;Obligors!$I$8,1,0)</f>
        <v/>
      </c>
      <c r="Y8" s="20">
        <f>IF(Simulation!Y8&lt;Obligors!$I$8,1,0)</f>
        <v/>
      </c>
      <c r="Z8" s="20">
        <f>IF(Simulation!Z8&lt;Obligors!$I$8,1,0)</f>
        <v/>
      </c>
      <c r="AA8" s="20">
        <f>IF(Simulation!AA8&lt;Obligors!$I$8,1,0)</f>
        <v/>
      </c>
      <c r="AB8" s="20">
        <f>IF(Simulation!AB8&lt;Obligors!$I$8,1,0)</f>
        <v/>
      </c>
      <c r="AC8" s="20">
        <f>IF(Simulation!AC8&lt;Obligors!$I$8,1,0)</f>
        <v/>
      </c>
      <c r="AD8" s="20">
        <f>IF(Simulation!AD8&lt;Obligors!$I$8,1,0)</f>
        <v/>
      </c>
      <c r="AE8" s="20">
        <f>IF(Simulation!AE8&lt;Obligors!$I$8,1,0)</f>
        <v/>
      </c>
      <c r="AF8" s="20">
        <f>IF(Simulation!AF8&lt;Obligors!$I$8,1,0)</f>
        <v/>
      </c>
      <c r="AG8" s="20">
        <f>IF(Simulation!AG8&lt;Obligors!$I$8,1,0)</f>
        <v/>
      </c>
      <c r="AH8" s="20">
        <f>IF(Simulation!AH8&lt;Obligors!$I$8,1,0)</f>
        <v/>
      </c>
      <c r="AI8" s="20">
        <f>IF(Simulation!AI8&lt;Obligors!$I$8,1,0)</f>
        <v/>
      </c>
      <c r="AJ8" s="20">
        <f>IF(Simulation!AJ8&lt;Obligors!$I$8,1,0)</f>
        <v/>
      </c>
      <c r="AK8" s="20">
        <f>IF(Simulation!AK8&lt;Obligors!$I$8,1,0)</f>
        <v/>
      </c>
      <c r="AL8" s="20">
        <f>IF(Simulation!AL8&lt;Obligors!$I$8,1,0)</f>
        <v/>
      </c>
      <c r="AM8" s="20">
        <f>IF(Simulation!AM8&lt;Obligors!$I$8,1,0)</f>
        <v/>
      </c>
      <c r="AN8" s="20">
        <f>IF(Simulation!AN8&lt;Obligors!$I$8,1,0)</f>
        <v/>
      </c>
      <c r="AO8" s="20">
        <f>IF(Simulation!AO8&lt;Obligors!$I$8,1,0)</f>
        <v/>
      </c>
      <c r="AP8" s="20">
        <f>IF(Simulation!AP8&lt;Obligors!$I$8,1,0)</f>
        <v/>
      </c>
      <c r="AQ8" s="20">
        <f>IF(Simulation!AQ8&lt;Obligors!$I$8,1,0)</f>
        <v/>
      </c>
      <c r="AR8" s="20">
        <f>IF(Simulation!AR8&lt;Obligors!$I$8,1,0)</f>
        <v/>
      </c>
      <c r="AS8" s="20">
        <f>IF(Simulation!AS8&lt;Obligors!$I$8,1,0)</f>
        <v/>
      </c>
      <c r="AT8" s="20">
        <f>IF(Simulation!AT8&lt;Obligors!$I$8,1,0)</f>
        <v/>
      </c>
      <c r="AU8" s="20">
        <f>IF(Simulation!AU8&lt;Obligors!$I$8,1,0)</f>
        <v/>
      </c>
      <c r="AV8" s="20">
        <f>IF(Simulation!AV8&lt;Obligors!$I$8,1,0)</f>
        <v/>
      </c>
      <c r="AW8" s="20">
        <f>IF(Simulation!AW8&lt;Obligors!$I$8,1,0)</f>
        <v/>
      </c>
      <c r="AX8" s="20">
        <f>IF(Simulation!AX8&lt;Obligors!$I$8,1,0)</f>
        <v/>
      </c>
      <c r="AY8" s="20">
        <f>IF(Simulation!AY8&lt;Obligors!$I$8,1,0)</f>
        <v/>
      </c>
      <c r="AZ8" s="20">
        <f>IF(Simulation!AZ8&lt;Obligors!$I$8,1,0)</f>
        <v/>
      </c>
      <c r="BA8" s="20">
        <f>IF(Simulation!BA8&lt;Obligors!$I$8,1,0)</f>
        <v/>
      </c>
      <c r="BB8" s="20">
        <f>IF(Simulation!BB8&lt;Obligors!$I$8,1,0)</f>
        <v/>
      </c>
      <c r="BC8" s="20">
        <f>IF(Simulation!BC8&lt;Obligors!$I$8,1,0)</f>
        <v/>
      </c>
      <c r="BD8" s="20">
        <f>IF(Simulation!BD8&lt;Obligors!$I$8,1,0)</f>
        <v/>
      </c>
      <c r="BE8" s="20">
        <f>IF(Simulation!BE8&lt;Obligors!$I$8,1,0)</f>
        <v/>
      </c>
      <c r="BF8" s="20">
        <f>IF(Simulation!BF8&lt;Obligors!$I$8,1,0)</f>
        <v/>
      </c>
      <c r="BG8" s="20">
        <f>IF(Simulation!BG8&lt;Obligors!$I$8,1,0)</f>
        <v/>
      </c>
      <c r="BH8" s="20">
        <f>IF(Simulation!BH8&lt;Obligors!$I$8,1,0)</f>
        <v/>
      </c>
      <c r="BI8" s="20">
        <f>IF(Simulation!BI8&lt;Obligors!$I$8,1,0)</f>
        <v/>
      </c>
      <c r="BJ8" s="20">
        <f>IF(Simulation!BJ8&lt;Obligors!$I$8,1,0)</f>
        <v/>
      </c>
      <c r="BK8" s="20">
        <f>IF(Simulation!BK8&lt;Obligors!$I$8,1,0)</f>
        <v/>
      </c>
      <c r="BL8" s="20">
        <f>IF(Simulation!BL8&lt;Obligors!$I$8,1,0)</f>
        <v/>
      </c>
      <c r="BM8" s="20">
        <f>IF(Simulation!BM8&lt;Obligors!$I$8,1,0)</f>
        <v/>
      </c>
      <c r="BN8" s="20">
        <f>IF(Simulation!BN8&lt;Obligors!$I$8,1,0)</f>
        <v/>
      </c>
      <c r="BO8" s="20">
        <f>IF(Simulation!BO8&lt;Obligors!$I$8,1,0)</f>
        <v/>
      </c>
      <c r="BP8" s="20">
        <f>IF(Simulation!BP8&lt;Obligors!$I$8,1,0)</f>
        <v/>
      </c>
      <c r="BQ8" s="20">
        <f>IF(Simulation!BQ8&lt;Obligors!$I$8,1,0)</f>
        <v/>
      </c>
      <c r="BR8" s="20">
        <f>IF(Simulation!BR8&lt;Obligors!$I$8,1,0)</f>
        <v/>
      </c>
      <c r="BS8" s="20">
        <f>IF(Simulation!BS8&lt;Obligors!$I$8,1,0)</f>
        <v/>
      </c>
      <c r="BT8" s="20">
        <f>IF(Simulation!BT8&lt;Obligors!$I$8,1,0)</f>
        <v/>
      </c>
      <c r="BU8" s="20">
        <f>IF(Simulation!BU8&lt;Obligors!$I$8,1,0)</f>
        <v/>
      </c>
      <c r="BV8" s="20">
        <f>IF(Simulation!BV8&lt;Obligors!$I$8,1,0)</f>
        <v/>
      </c>
      <c r="BW8" s="20">
        <f>IF(Simulation!BW8&lt;Obligors!$I$8,1,0)</f>
        <v/>
      </c>
      <c r="BX8" s="20">
        <f>IF(Simulation!BX8&lt;Obligors!$I$8,1,0)</f>
        <v/>
      </c>
      <c r="BY8" s="20">
        <f>IF(Simulation!BY8&lt;Obligors!$I$8,1,0)</f>
        <v/>
      </c>
      <c r="BZ8" s="20">
        <f>IF(Simulation!BZ8&lt;Obligors!$I$8,1,0)</f>
        <v/>
      </c>
      <c r="CA8" s="20">
        <f>IF(Simulation!CA8&lt;Obligors!$I$8,1,0)</f>
        <v/>
      </c>
      <c r="CB8" s="20">
        <f>IF(Simulation!CB8&lt;Obligors!$I$8,1,0)</f>
        <v/>
      </c>
      <c r="CC8" s="20">
        <f>IF(Simulation!CC8&lt;Obligors!$I$8,1,0)</f>
        <v/>
      </c>
      <c r="CD8" s="20">
        <f>IF(Simulation!CD8&lt;Obligors!$I$8,1,0)</f>
        <v/>
      </c>
      <c r="CE8" s="20">
        <f>IF(Simulation!CE8&lt;Obligors!$I$8,1,0)</f>
        <v/>
      </c>
      <c r="CF8" s="20">
        <f>IF(Simulation!CF8&lt;Obligors!$I$8,1,0)</f>
        <v/>
      </c>
      <c r="CG8" s="20">
        <f>IF(Simulation!CG8&lt;Obligors!$I$8,1,0)</f>
        <v/>
      </c>
      <c r="CH8" s="20">
        <f>IF(Simulation!CH8&lt;Obligors!$I$8,1,0)</f>
        <v/>
      </c>
      <c r="CI8" s="20">
        <f>IF(Simulation!CI8&lt;Obligors!$I$8,1,0)</f>
        <v/>
      </c>
      <c r="CJ8" s="20">
        <f>IF(Simulation!CJ8&lt;Obligors!$I$8,1,0)</f>
        <v/>
      </c>
      <c r="CK8" s="20">
        <f>IF(Simulation!CK8&lt;Obligors!$I$8,1,0)</f>
        <v/>
      </c>
      <c r="CL8" s="20">
        <f>IF(Simulation!CL8&lt;Obligors!$I$8,1,0)</f>
        <v/>
      </c>
      <c r="CM8" s="20">
        <f>IF(Simulation!CM8&lt;Obligors!$I$8,1,0)</f>
        <v/>
      </c>
      <c r="CN8" s="20">
        <f>IF(Simulation!CN8&lt;Obligors!$I$8,1,0)</f>
        <v/>
      </c>
      <c r="CO8" s="20">
        <f>IF(Simulation!CO8&lt;Obligors!$I$8,1,0)</f>
        <v/>
      </c>
      <c r="CP8" s="20">
        <f>IF(Simulation!CP8&lt;Obligors!$I$8,1,0)</f>
        <v/>
      </c>
      <c r="CQ8" s="20">
        <f>IF(Simulation!CQ8&lt;Obligors!$I$8,1,0)</f>
        <v/>
      </c>
      <c r="CR8" s="20">
        <f>IF(Simulation!CR8&lt;Obligors!$I$8,1,0)</f>
        <v/>
      </c>
      <c r="CS8" s="20">
        <f>IF(Simulation!CS8&lt;Obligors!$I$8,1,0)</f>
        <v/>
      </c>
      <c r="CT8" s="20">
        <f>IF(Simulation!CT8&lt;Obligors!$I$8,1,0)</f>
        <v/>
      </c>
      <c r="CU8" s="20">
        <f>IF(Simulation!CU8&lt;Obligors!$I$8,1,0)</f>
        <v/>
      </c>
      <c r="CV8" s="20">
        <f>IF(Simulation!CV8&lt;Obligors!$I$8,1,0)</f>
        <v/>
      </c>
      <c r="CW8" s="20">
        <f>IF(Simulation!CW8&lt;Obligors!$I$8,1,0)</f>
        <v/>
      </c>
      <c r="CX8" s="20">
        <f>IF(Simulation!CX8&lt;Obligors!$I$8,1,0)</f>
        <v/>
      </c>
      <c r="CY8" s="20">
        <f>IF(Simulation!CY8&lt;Obligors!$I$8,1,0)</f>
        <v/>
      </c>
      <c r="CZ8" s="20">
        <f>IF(Simulation!CZ8&lt;Obligors!$I$8,1,0)</f>
        <v/>
      </c>
      <c r="DA8" s="20">
        <f>IF(Simulation!DA8&lt;Obligors!$I$8,1,0)</f>
        <v/>
      </c>
      <c r="DB8" s="20">
        <f>IF(Simulation!DB8&lt;Obligors!$I$8,1,0)</f>
        <v/>
      </c>
      <c r="DC8" s="20">
        <f>IF(Simulation!DC8&lt;Obligors!$I$8,1,0)</f>
        <v/>
      </c>
      <c r="DD8" s="20">
        <f>IF(Simulation!DD8&lt;Obligors!$I$8,1,0)</f>
        <v/>
      </c>
      <c r="DE8" s="20">
        <f>IF(Simulation!DE8&lt;Obligors!$I$8,1,0)</f>
        <v/>
      </c>
      <c r="DF8" s="20">
        <f>IF(Simulation!DF8&lt;Obligors!$I$8,1,0)</f>
        <v/>
      </c>
      <c r="DG8" s="20">
        <f>IF(Simulation!DG8&lt;Obligors!$I$8,1,0)</f>
        <v/>
      </c>
      <c r="DH8" s="20">
        <f>IF(Simulation!DH8&lt;Obligors!$I$8,1,0)</f>
        <v/>
      </c>
      <c r="DI8" s="20">
        <f>IF(Simulation!DI8&lt;Obligors!$I$8,1,0)</f>
        <v/>
      </c>
      <c r="DJ8" s="20">
        <f>IF(Simulation!DJ8&lt;Obligors!$I$8,1,0)</f>
        <v/>
      </c>
      <c r="DK8" s="20">
        <f>IF(Simulation!DK8&lt;Obligors!$I$8,1,0)</f>
        <v/>
      </c>
      <c r="DL8" s="20">
        <f>IF(Simulation!DL8&lt;Obligors!$I$8,1,0)</f>
        <v/>
      </c>
      <c r="DM8" s="20">
        <f>IF(Simulation!DM8&lt;Obligors!$I$8,1,0)</f>
        <v/>
      </c>
      <c r="DN8" s="20">
        <f>IF(Simulation!DN8&lt;Obligors!$I$8,1,0)</f>
        <v/>
      </c>
      <c r="DO8" s="20">
        <f>IF(Simulation!DO8&lt;Obligors!$I$8,1,0)</f>
        <v/>
      </c>
      <c r="DP8" s="20">
        <f>IF(Simulation!DP8&lt;Obligors!$I$8,1,0)</f>
        <v/>
      </c>
      <c r="DQ8" s="20">
        <f>IF(Simulation!DQ8&lt;Obligors!$I$8,1,0)</f>
        <v/>
      </c>
      <c r="DR8" s="20">
        <f>IF(Simulation!DR8&lt;Obligors!$I$8,1,0)</f>
        <v/>
      </c>
      <c r="DS8" s="20">
        <f>IF(Simulation!DS8&lt;Obligors!$I$8,1,0)</f>
        <v/>
      </c>
      <c r="DT8" s="20">
        <f>IF(Simulation!DT8&lt;Obligors!$I$8,1,0)</f>
        <v/>
      </c>
      <c r="DU8" s="20">
        <f>IF(Simulation!DU8&lt;Obligors!$I$8,1,0)</f>
        <v/>
      </c>
      <c r="DV8" s="20">
        <f>IF(Simulation!DV8&lt;Obligors!$I$8,1,0)</f>
        <v/>
      </c>
      <c r="DW8" s="20">
        <f>IF(Simulation!DW8&lt;Obligors!$I$8,1,0)</f>
        <v/>
      </c>
      <c r="DX8" s="20">
        <f>IF(Simulation!DX8&lt;Obligors!$I$8,1,0)</f>
        <v/>
      </c>
      <c r="DY8" s="20">
        <f>IF(Simulation!DY8&lt;Obligors!$I$8,1,0)</f>
        <v/>
      </c>
      <c r="DZ8" s="20">
        <f>IF(Simulation!DZ8&lt;Obligors!$I$8,1,0)</f>
        <v/>
      </c>
      <c r="EA8" s="20">
        <f>IF(Simulation!EA8&lt;Obligors!$I$8,1,0)</f>
        <v/>
      </c>
      <c r="EB8" s="20">
        <f>IF(Simulation!EB8&lt;Obligors!$I$8,1,0)</f>
        <v/>
      </c>
      <c r="EC8" s="20">
        <f>IF(Simulation!EC8&lt;Obligors!$I$8,1,0)</f>
        <v/>
      </c>
      <c r="ED8" s="20">
        <f>IF(Simulation!ED8&lt;Obligors!$I$8,1,0)</f>
        <v/>
      </c>
      <c r="EE8" s="20">
        <f>IF(Simulation!EE8&lt;Obligors!$I$8,1,0)</f>
        <v/>
      </c>
      <c r="EF8" s="20">
        <f>IF(Simulation!EF8&lt;Obligors!$I$8,1,0)</f>
        <v/>
      </c>
      <c r="EG8" s="20">
        <f>IF(Simulation!EG8&lt;Obligors!$I$8,1,0)</f>
        <v/>
      </c>
      <c r="EH8" s="20">
        <f>IF(Simulation!EH8&lt;Obligors!$I$8,1,0)</f>
        <v/>
      </c>
      <c r="EI8" s="20">
        <f>IF(Simulation!EI8&lt;Obligors!$I$8,1,0)</f>
        <v/>
      </c>
      <c r="EJ8" s="20">
        <f>IF(Simulation!EJ8&lt;Obligors!$I$8,1,0)</f>
        <v/>
      </c>
      <c r="EK8" s="20">
        <f>IF(Simulation!EK8&lt;Obligors!$I$8,1,0)</f>
        <v/>
      </c>
      <c r="EL8" s="20">
        <f>IF(Simulation!EL8&lt;Obligors!$I$8,1,0)</f>
        <v/>
      </c>
      <c r="EM8" s="20">
        <f>IF(Simulation!EM8&lt;Obligors!$I$8,1,0)</f>
        <v/>
      </c>
      <c r="EN8" s="20">
        <f>IF(Simulation!EN8&lt;Obligors!$I$8,1,0)</f>
        <v/>
      </c>
      <c r="EO8" s="20">
        <f>IF(Simulation!EO8&lt;Obligors!$I$8,1,0)</f>
        <v/>
      </c>
      <c r="EP8" s="20">
        <f>IF(Simulation!EP8&lt;Obligors!$I$8,1,0)</f>
        <v/>
      </c>
      <c r="EQ8" s="20">
        <f>IF(Simulation!EQ8&lt;Obligors!$I$8,1,0)</f>
        <v/>
      </c>
      <c r="ER8" s="20">
        <f>IF(Simulation!ER8&lt;Obligors!$I$8,1,0)</f>
        <v/>
      </c>
      <c r="ES8" s="20">
        <f>IF(Simulation!ES8&lt;Obligors!$I$8,1,0)</f>
        <v/>
      </c>
      <c r="ET8" s="20">
        <f>IF(Simulation!ET8&lt;Obligors!$I$8,1,0)</f>
        <v/>
      </c>
      <c r="EU8" s="20">
        <f>IF(Simulation!EU8&lt;Obligors!$I$8,1,0)</f>
        <v/>
      </c>
      <c r="EV8" s="20">
        <f>IF(Simulation!EV8&lt;Obligors!$I$8,1,0)</f>
        <v/>
      </c>
      <c r="EW8" s="20">
        <f>IF(Simulation!EW8&lt;Obligors!$I$8,1,0)</f>
        <v/>
      </c>
      <c r="EX8" s="20">
        <f>IF(Simulation!EX8&lt;Obligors!$I$8,1,0)</f>
        <v/>
      </c>
      <c r="EY8" s="20">
        <f>IF(Simulation!EY8&lt;Obligors!$I$8,1,0)</f>
        <v/>
      </c>
      <c r="EZ8" s="20">
        <f>IF(Simulation!EZ8&lt;Obligors!$I$8,1,0)</f>
        <v/>
      </c>
      <c r="FA8" s="20">
        <f>IF(Simulation!FA8&lt;Obligors!$I$8,1,0)</f>
        <v/>
      </c>
      <c r="FB8" s="20">
        <f>IF(Simulation!FB8&lt;Obligors!$I$8,1,0)</f>
        <v/>
      </c>
      <c r="FC8" s="20">
        <f>IF(Simulation!FC8&lt;Obligors!$I$8,1,0)</f>
        <v/>
      </c>
      <c r="FD8" s="20">
        <f>IF(Simulation!FD8&lt;Obligors!$I$8,1,0)</f>
        <v/>
      </c>
      <c r="FE8" s="20">
        <f>IF(Simulation!FE8&lt;Obligors!$I$8,1,0)</f>
        <v/>
      </c>
      <c r="FF8" s="20">
        <f>IF(Simulation!FF8&lt;Obligors!$I$8,1,0)</f>
        <v/>
      </c>
      <c r="FG8" s="20">
        <f>IF(Simulation!FG8&lt;Obligors!$I$8,1,0)</f>
        <v/>
      </c>
      <c r="FH8" s="20">
        <f>IF(Simulation!FH8&lt;Obligors!$I$8,1,0)</f>
        <v/>
      </c>
      <c r="FI8" s="20">
        <f>IF(Simulation!FI8&lt;Obligors!$I$8,1,0)</f>
        <v/>
      </c>
      <c r="FJ8" s="20">
        <f>IF(Simulation!FJ8&lt;Obligors!$I$8,1,0)</f>
        <v/>
      </c>
      <c r="FK8" s="20">
        <f>IF(Simulation!FK8&lt;Obligors!$I$8,1,0)</f>
        <v/>
      </c>
      <c r="FL8" s="20">
        <f>IF(Simulation!FL8&lt;Obligors!$I$8,1,0)</f>
        <v/>
      </c>
      <c r="FM8" s="20">
        <f>IF(Simulation!FM8&lt;Obligors!$I$8,1,0)</f>
        <v/>
      </c>
      <c r="FN8" s="20">
        <f>IF(Simulation!FN8&lt;Obligors!$I$8,1,0)</f>
        <v/>
      </c>
      <c r="FO8" s="20">
        <f>IF(Simulation!FO8&lt;Obligors!$I$8,1,0)</f>
        <v/>
      </c>
      <c r="FP8" s="20">
        <f>IF(Simulation!FP8&lt;Obligors!$I$8,1,0)</f>
        <v/>
      </c>
      <c r="FQ8" s="20">
        <f>IF(Simulation!FQ8&lt;Obligors!$I$8,1,0)</f>
        <v/>
      </c>
      <c r="FR8" s="20">
        <f>IF(Simulation!FR8&lt;Obligors!$I$8,1,0)</f>
        <v/>
      </c>
      <c r="FS8" s="20">
        <f>IF(Simulation!FS8&lt;Obligors!$I$8,1,0)</f>
        <v/>
      </c>
      <c r="FT8" s="20">
        <f>IF(Simulation!FT8&lt;Obligors!$I$8,1,0)</f>
        <v/>
      </c>
      <c r="FU8" s="20">
        <f>IF(Simulation!FU8&lt;Obligors!$I$8,1,0)</f>
        <v/>
      </c>
      <c r="FV8" s="20">
        <f>IF(Simulation!FV8&lt;Obligors!$I$8,1,0)</f>
        <v/>
      </c>
      <c r="FW8" s="20">
        <f>IF(Simulation!FW8&lt;Obligors!$I$8,1,0)</f>
        <v/>
      </c>
      <c r="FX8" s="20">
        <f>IF(Simulation!FX8&lt;Obligors!$I$8,1,0)</f>
        <v/>
      </c>
      <c r="FY8" s="20">
        <f>IF(Simulation!FY8&lt;Obligors!$I$8,1,0)</f>
        <v/>
      </c>
      <c r="FZ8" s="20">
        <f>IF(Simulation!FZ8&lt;Obligors!$I$8,1,0)</f>
        <v/>
      </c>
      <c r="GA8" s="20">
        <f>IF(Simulation!GA8&lt;Obligors!$I$8,1,0)</f>
        <v/>
      </c>
      <c r="GB8" s="20">
        <f>IF(Simulation!GB8&lt;Obligors!$I$8,1,0)</f>
        <v/>
      </c>
      <c r="GC8" s="20">
        <f>IF(Simulation!GC8&lt;Obligors!$I$8,1,0)</f>
        <v/>
      </c>
      <c r="GD8" s="20">
        <f>IF(Simulation!GD8&lt;Obligors!$I$8,1,0)</f>
        <v/>
      </c>
      <c r="GE8" s="20">
        <f>IF(Simulation!GE8&lt;Obligors!$I$8,1,0)</f>
        <v/>
      </c>
      <c r="GF8" s="20">
        <f>IF(Simulation!GF8&lt;Obligors!$I$8,1,0)</f>
        <v/>
      </c>
      <c r="GG8" s="20">
        <f>IF(Simulation!GG8&lt;Obligors!$I$8,1,0)</f>
        <v/>
      </c>
      <c r="GH8" s="20">
        <f>IF(Simulation!GH8&lt;Obligors!$I$8,1,0)</f>
        <v/>
      </c>
      <c r="GI8" s="20">
        <f>IF(Simulation!GI8&lt;Obligors!$I$8,1,0)</f>
        <v/>
      </c>
      <c r="GJ8" s="20">
        <f>IF(Simulation!GJ8&lt;Obligors!$I$8,1,0)</f>
        <v/>
      </c>
      <c r="GK8" s="20">
        <f>IF(Simulation!GK8&lt;Obligors!$I$8,1,0)</f>
        <v/>
      </c>
      <c r="GL8" s="20">
        <f>IF(Simulation!GL8&lt;Obligors!$I$8,1,0)</f>
        <v/>
      </c>
      <c r="GM8" s="20">
        <f>IF(Simulation!GM8&lt;Obligors!$I$8,1,0)</f>
        <v/>
      </c>
      <c r="GN8" s="20">
        <f>IF(Simulation!GN8&lt;Obligors!$I$8,1,0)</f>
        <v/>
      </c>
      <c r="GO8" s="20">
        <f>IF(Simulation!GO8&lt;Obligors!$I$8,1,0)</f>
        <v/>
      </c>
      <c r="GP8" s="20">
        <f>IF(Simulation!GP8&lt;Obligors!$I$8,1,0)</f>
        <v/>
      </c>
      <c r="GQ8" s="20">
        <f>IF(Simulation!GQ8&lt;Obligors!$I$8,1,0)</f>
        <v/>
      </c>
      <c r="GR8" s="20">
        <f>IF(Simulation!GR8&lt;Obligors!$I$8,1,0)</f>
        <v/>
      </c>
      <c r="GS8" s="20">
        <f>IF(Simulation!GS8&lt;Obligors!$I$8,1,0)</f>
        <v/>
      </c>
      <c r="GT8" s="20">
        <f>IF(Simulation!GT8&lt;Obligors!$I$8,1,0)</f>
        <v/>
      </c>
      <c r="GU8" s="20">
        <f>IF(Simulation!GU8&lt;Obligors!$I$8,1,0)</f>
        <v/>
      </c>
      <c r="GV8" s="20">
        <f>IF(Simulation!GV8&lt;Obligors!$I$8,1,0)</f>
        <v/>
      </c>
      <c r="GW8" s="20">
        <f>IF(Simulation!GW8&lt;Obligors!$I$8,1,0)</f>
        <v/>
      </c>
      <c r="GX8" s="20">
        <f>IF(Simulation!GX8&lt;Obligors!$I$8,1,0)</f>
        <v/>
      </c>
      <c r="GY8" s="20">
        <f>IF(Simulation!GY8&lt;Obligors!$I$8,1,0)</f>
        <v/>
      </c>
      <c r="GZ8" s="20">
        <f>IF(Simulation!GZ8&lt;Obligors!$I$8,1,0)</f>
        <v/>
      </c>
      <c r="HA8" s="20">
        <f>IF(Simulation!HA8&lt;Obligors!$I$8,1,0)</f>
        <v/>
      </c>
      <c r="HB8" s="20">
        <f>IF(Simulation!HB8&lt;Obligors!$I$8,1,0)</f>
        <v/>
      </c>
      <c r="HC8" s="20">
        <f>IF(Simulation!HC8&lt;Obligors!$I$8,1,0)</f>
        <v/>
      </c>
      <c r="HD8" s="20">
        <f>IF(Simulation!HD8&lt;Obligors!$I$8,1,0)</f>
        <v/>
      </c>
      <c r="HE8" s="20">
        <f>IF(Simulation!HE8&lt;Obligors!$I$8,1,0)</f>
        <v/>
      </c>
      <c r="HF8" s="20">
        <f>IF(Simulation!HF8&lt;Obligors!$I$8,1,0)</f>
        <v/>
      </c>
      <c r="HG8" s="20">
        <f>IF(Simulation!HG8&lt;Obligors!$I$8,1,0)</f>
        <v/>
      </c>
      <c r="HH8" s="20">
        <f>IF(Simulation!HH8&lt;Obligors!$I$8,1,0)</f>
        <v/>
      </c>
      <c r="HI8" s="20">
        <f>IF(Simulation!HI8&lt;Obligors!$I$8,1,0)</f>
        <v/>
      </c>
      <c r="HJ8" s="20">
        <f>IF(Simulation!HJ8&lt;Obligors!$I$8,1,0)</f>
        <v/>
      </c>
      <c r="HK8" s="20">
        <f>IF(Simulation!HK8&lt;Obligors!$I$8,1,0)</f>
        <v/>
      </c>
      <c r="HL8" s="20">
        <f>IF(Simulation!HL8&lt;Obligors!$I$8,1,0)</f>
        <v/>
      </c>
      <c r="HM8" s="20">
        <f>IF(Simulation!HM8&lt;Obligors!$I$8,1,0)</f>
        <v/>
      </c>
      <c r="HN8" s="20">
        <f>IF(Simulation!HN8&lt;Obligors!$I$8,1,0)</f>
        <v/>
      </c>
      <c r="HO8" s="20">
        <f>IF(Simulation!HO8&lt;Obligors!$I$8,1,0)</f>
        <v/>
      </c>
      <c r="HP8" s="20">
        <f>IF(Simulation!HP8&lt;Obligors!$I$8,1,0)</f>
        <v/>
      </c>
      <c r="HQ8" s="20">
        <f>IF(Simulation!HQ8&lt;Obligors!$I$8,1,0)</f>
        <v/>
      </c>
      <c r="HR8" s="20">
        <f>IF(Simulation!HR8&lt;Obligors!$I$8,1,0)</f>
        <v/>
      </c>
      <c r="HS8" s="20">
        <f>IF(Simulation!HS8&lt;Obligors!$I$8,1,0)</f>
        <v/>
      </c>
      <c r="HT8" s="20">
        <f>IF(Simulation!HT8&lt;Obligors!$I$8,1,0)</f>
        <v/>
      </c>
      <c r="HU8" s="20">
        <f>IF(Simulation!HU8&lt;Obligors!$I$8,1,0)</f>
        <v/>
      </c>
      <c r="HV8" s="20">
        <f>IF(Simulation!HV8&lt;Obligors!$I$8,1,0)</f>
        <v/>
      </c>
      <c r="HW8" s="20">
        <f>IF(Simulation!HW8&lt;Obligors!$I$8,1,0)</f>
        <v/>
      </c>
      <c r="HX8" s="20">
        <f>IF(Simulation!HX8&lt;Obligors!$I$8,1,0)</f>
        <v/>
      </c>
      <c r="HY8" s="20">
        <f>IF(Simulation!HY8&lt;Obligors!$I$8,1,0)</f>
        <v/>
      </c>
      <c r="HZ8" s="20">
        <f>IF(Simulation!HZ8&lt;Obligors!$I$8,1,0)</f>
        <v/>
      </c>
      <c r="IA8" s="20">
        <f>IF(Simulation!IA8&lt;Obligors!$I$8,1,0)</f>
        <v/>
      </c>
      <c r="IB8" s="20">
        <f>IF(Simulation!IB8&lt;Obligors!$I$8,1,0)</f>
        <v/>
      </c>
      <c r="IC8" s="20">
        <f>IF(Simulation!IC8&lt;Obligors!$I$8,1,0)</f>
        <v/>
      </c>
      <c r="ID8" s="20">
        <f>IF(Simulation!ID8&lt;Obligors!$I$8,1,0)</f>
        <v/>
      </c>
      <c r="IE8" s="20">
        <f>IF(Simulation!IE8&lt;Obligors!$I$8,1,0)</f>
        <v/>
      </c>
      <c r="IF8" s="20">
        <f>IF(Simulation!IF8&lt;Obligors!$I$8,1,0)</f>
        <v/>
      </c>
      <c r="IG8" s="20">
        <f>IF(Simulation!IG8&lt;Obligors!$I$8,1,0)</f>
        <v/>
      </c>
      <c r="IH8" s="20">
        <f>IF(Simulation!IH8&lt;Obligors!$I$8,1,0)</f>
        <v/>
      </c>
      <c r="II8" s="20">
        <f>IF(Simulation!II8&lt;Obligors!$I$8,1,0)</f>
        <v/>
      </c>
      <c r="IJ8" s="20">
        <f>IF(Simulation!IJ8&lt;Obligors!$I$8,1,0)</f>
        <v/>
      </c>
      <c r="IK8" s="20">
        <f>IF(Simulation!IK8&lt;Obligors!$I$8,1,0)</f>
        <v/>
      </c>
      <c r="IL8" s="20">
        <f>IF(Simulation!IL8&lt;Obligors!$I$8,1,0)</f>
        <v/>
      </c>
      <c r="IM8" s="20">
        <f>IF(Simulation!IM8&lt;Obligors!$I$8,1,0)</f>
        <v/>
      </c>
      <c r="IN8" s="20">
        <f>IF(Simulation!IN8&lt;Obligors!$I$8,1,0)</f>
        <v/>
      </c>
      <c r="IO8" s="20">
        <f>IF(Simulation!IO8&lt;Obligors!$I$8,1,0)</f>
        <v/>
      </c>
      <c r="IP8" s="20">
        <f>IF(Simulation!IP8&lt;Obligors!$I$8,1,0)</f>
        <v/>
      </c>
      <c r="IQ8" s="20">
        <f>IF(Simulation!IQ8&lt;Obligors!$I$8,1,0)</f>
        <v/>
      </c>
      <c r="IR8" s="20">
        <f>IF(Simulation!IR8&lt;Obligors!$I$8,1,0)</f>
        <v/>
      </c>
      <c r="IS8" s="20">
        <f>IF(Simulation!IS8&lt;Obligors!$I$8,1,0)</f>
        <v/>
      </c>
      <c r="IT8" s="20">
        <f>IF(Simulation!IT8&lt;Obligors!$I$8,1,0)</f>
        <v/>
      </c>
      <c r="IU8" s="20">
        <f>IF(Simulation!IU8&lt;Obligors!$I$8,1,0)</f>
        <v/>
      </c>
      <c r="IV8" s="20">
        <f>IF(Simulation!IV8&lt;Obligors!$I$8,1,0)</f>
        <v/>
      </c>
      <c r="IW8" s="20">
        <f>IF(Simulation!IW8&lt;Obligors!$I$8,1,0)</f>
        <v/>
      </c>
      <c r="IX8" s="20">
        <f>IF(Simulation!IX8&lt;Obligors!$I$8,1,0)</f>
        <v/>
      </c>
      <c r="IY8" s="20">
        <f>IF(Simulation!IY8&lt;Obligors!$I$8,1,0)</f>
        <v/>
      </c>
      <c r="IZ8" s="20">
        <f>IF(Simulation!IZ8&lt;Obligors!$I$8,1,0)</f>
        <v/>
      </c>
      <c r="JA8" s="20">
        <f>IF(Simulation!JA8&lt;Obligors!$I$8,1,0)</f>
        <v/>
      </c>
      <c r="JB8" s="20">
        <f>IF(Simulation!JB8&lt;Obligors!$I$8,1,0)</f>
        <v/>
      </c>
      <c r="JC8" s="20">
        <f>IF(Simulation!JC8&lt;Obligors!$I$8,1,0)</f>
        <v/>
      </c>
      <c r="JD8" s="20">
        <f>IF(Simulation!JD8&lt;Obligors!$I$8,1,0)</f>
        <v/>
      </c>
      <c r="JE8" s="20">
        <f>IF(Simulation!JE8&lt;Obligors!$I$8,1,0)</f>
        <v/>
      </c>
      <c r="JF8" s="20">
        <f>IF(Simulation!JF8&lt;Obligors!$I$8,1,0)</f>
        <v/>
      </c>
      <c r="JG8" s="20">
        <f>IF(Simulation!JG8&lt;Obligors!$I$8,1,0)</f>
        <v/>
      </c>
      <c r="JH8" s="20">
        <f>IF(Simulation!JH8&lt;Obligors!$I$8,1,0)</f>
        <v/>
      </c>
      <c r="JI8" s="20">
        <f>IF(Simulation!JI8&lt;Obligors!$I$8,1,0)</f>
        <v/>
      </c>
      <c r="JJ8" s="20">
        <f>IF(Simulation!JJ8&lt;Obligors!$I$8,1,0)</f>
        <v/>
      </c>
      <c r="JK8" s="20">
        <f>IF(Simulation!JK8&lt;Obligors!$I$8,1,0)</f>
        <v/>
      </c>
      <c r="JL8" s="20">
        <f>IF(Simulation!JL8&lt;Obligors!$I$8,1,0)</f>
        <v/>
      </c>
      <c r="JM8" s="20">
        <f>IF(Simulation!JM8&lt;Obligors!$I$8,1,0)</f>
        <v/>
      </c>
      <c r="JN8" s="20">
        <f>IF(Simulation!JN8&lt;Obligors!$I$8,1,0)</f>
        <v/>
      </c>
      <c r="JO8" s="20">
        <f>IF(Simulation!JO8&lt;Obligors!$I$8,1,0)</f>
        <v/>
      </c>
      <c r="JP8" s="20">
        <f>IF(Simulation!JP8&lt;Obligors!$I$8,1,0)</f>
        <v/>
      </c>
      <c r="JQ8" s="20">
        <f>IF(Simulation!JQ8&lt;Obligors!$I$8,1,0)</f>
        <v/>
      </c>
      <c r="JR8" s="20">
        <f>IF(Simulation!JR8&lt;Obligors!$I$8,1,0)</f>
        <v/>
      </c>
      <c r="JS8" s="20">
        <f>IF(Simulation!JS8&lt;Obligors!$I$8,1,0)</f>
        <v/>
      </c>
      <c r="JT8" s="20">
        <f>IF(Simulation!JT8&lt;Obligors!$I$8,1,0)</f>
        <v/>
      </c>
      <c r="JU8" s="20">
        <f>IF(Simulation!JU8&lt;Obligors!$I$8,1,0)</f>
        <v/>
      </c>
      <c r="JV8" s="20">
        <f>IF(Simulation!JV8&lt;Obligors!$I$8,1,0)</f>
        <v/>
      </c>
      <c r="JW8" s="20">
        <f>IF(Simulation!JW8&lt;Obligors!$I$8,1,0)</f>
        <v/>
      </c>
      <c r="JX8" s="20">
        <f>IF(Simulation!JX8&lt;Obligors!$I$8,1,0)</f>
        <v/>
      </c>
      <c r="JY8" s="20">
        <f>IF(Simulation!JY8&lt;Obligors!$I$8,1,0)</f>
        <v/>
      </c>
      <c r="JZ8" s="20">
        <f>IF(Simulation!JZ8&lt;Obligors!$I$8,1,0)</f>
        <v/>
      </c>
      <c r="KA8" s="20">
        <f>IF(Simulation!KA8&lt;Obligors!$I$8,1,0)</f>
        <v/>
      </c>
      <c r="KB8" s="20">
        <f>IF(Simulation!KB8&lt;Obligors!$I$8,1,0)</f>
        <v/>
      </c>
      <c r="KC8" s="20">
        <f>IF(Simulation!KC8&lt;Obligors!$I$8,1,0)</f>
        <v/>
      </c>
      <c r="KD8" s="20">
        <f>IF(Simulation!KD8&lt;Obligors!$I$8,1,0)</f>
        <v/>
      </c>
      <c r="KE8" s="20">
        <f>IF(Simulation!KE8&lt;Obligors!$I$8,1,0)</f>
        <v/>
      </c>
      <c r="KF8" s="20">
        <f>IF(Simulation!KF8&lt;Obligors!$I$8,1,0)</f>
        <v/>
      </c>
      <c r="KG8" s="20">
        <f>IF(Simulation!KG8&lt;Obligors!$I$8,1,0)</f>
        <v/>
      </c>
      <c r="KH8" s="20">
        <f>IF(Simulation!KH8&lt;Obligors!$I$8,1,0)</f>
        <v/>
      </c>
      <c r="KI8" s="20">
        <f>IF(Simulation!KI8&lt;Obligors!$I$8,1,0)</f>
        <v/>
      </c>
      <c r="KJ8" s="20">
        <f>IF(Simulation!KJ8&lt;Obligors!$I$8,1,0)</f>
        <v/>
      </c>
      <c r="KK8" s="20">
        <f>IF(Simulation!KK8&lt;Obligors!$I$8,1,0)</f>
        <v/>
      </c>
      <c r="KL8" s="20">
        <f>IF(Simulation!KL8&lt;Obligors!$I$8,1,0)</f>
        <v/>
      </c>
      <c r="KM8" s="20">
        <f>IF(Simulation!KM8&lt;Obligors!$I$8,1,0)</f>
        <v/>
      </c>
      <c r="KN8" s="20">
        <f>IF(Simulation!KN8&lt;Obligors!$I$8,1,0)</f>
        <v/>
      </c>
      <c r="KO8" s="20">
        <f>IF(Simulation!KO8&lt;Obligors!$I$8,1,0)</f>
        <v/>
      </c>
      <c r="KP8" s="20">
        <f>IF(Simulation!KP8&lt;Obligors!$I$8,1,0)</f>
        <v/>
      </c>
      <c r="KQ8" s="20">
        <f>IF(Simulation!KQ8&lt;Obligors!$I$8,1,0)</f>
        <v/>
      </c>
      <c r="KR8" s="20">
        <f>IF(Simulation!KR8&lt;Obligors!$I$8,1,0)</f>
        <v/>
      </c>
      <c r="KS8" s="20">
        <f>IF(Simulation!KS8&lt;Obligors!$I$8,1,0)</f>
        <v/>
      </c>
      <c r="KT8" s="20">
        <f>IF(Simulation!KT8&lt;Obligors!$I$8,1,0)</f>
        <v/>
      </c>
      <c r="KU8" s="20">
        <f>IF(Simulation!KU8&lt;Obligors!$I$8,1,0)</f>
        <v/>
      </c>
      <c r="KV8" s="20">
        <f>IF(Simulation!KV8&lt;Obligors!$I$8,1,0)</f>
        <v/>
      </c>
      <c r="KW8" s="20">
        <f>IF(Simulation!KW8&lt;Obligors!$I$8,1,0)</f>
        <v/>
      </c>
      <c r="KX8" s="20">
        <f>IF(Simulation!KX8&lt;Obligors!$I$8,1,0)</f>
        <v/>
      </c>
      <c r="KY8" s="20">
        <f>IF(Simulation!KY8&lt;Obligors!$I$8,1,0)</f>
        <v/>
      </c>
      <c r="KZ8" s="20">
        <f>IF(Simulation!KZ8&lt;Obligors!$I$8,1,0)</f>
        <v/>
      </c>
      <c r="LA8" s="20">
        <f>IF(Simulation!LA8&lt;Obligors!$I$8,1,0)</f>
        <v/>
      </c>
      <c r="LB8" s="20">
        <f>IF(Simulation!LB8&lt;Obligors!$I$8,1,0)</f>
        <v/>
      </c>
      <c r="LC8" s="20">
        <f>IF(Simulation!LC8&lt;Obligors!$I$8,1,0)</f>
        <v/>
      </c>
      <c r="LD8" s="20">
        <f>IF(Simulation!LD8&lt;Obligors!$I$8,1,0)</f>
        <v/>
      </c>
      <c r="LE8" s="20">
        <f>IF(Simulation!LE8&lt;Obligors!$I$8,1,0)</f>
        <v/>
      </c>
      <c r="LF8" s="20">
        <f>IF(Simulation!LF8&lt;Obligors!$I$8,1,0)</f>
        <v/>
      </c>
      <c r="LG8" s="20">
        <f>IF(Simulation!LG8&lt;Obligors!$I$8,1,0)</f>
        <v/>
      </c>
      <c r="LH8" s="20">
        <f>IF(Simulation!LH8&lt;Obligors!$I$8,1,0)</f>
        <v/>
      </c>
      <c r="LI8" s="20">
        <f>IF(Simulation!LI8&lt;Obligors!$I$8,1,0)</f>
        <v/>
      </c>
      <c r="LJ8" s="20">
        <f>IF(Simulation!LJ8&lt;Obligors!$I$8,1,0)</f>
        <v/>
      </c>
      <c r="LK8" s="20">
        <f>IF(Simulation!LK8&lt;Obligors!$I$8,1,0)</f>
        <v/>
      </c>
      <c r="LL8" s="20">
        <f>IF(Simulation!LL8&lt;Obligors!$I$8,1,0)</f>
        <v/>
      </c>
      <c r="LM8" s="20">
        <f>IF(Simulation!LM8&lt;Obligors!$I$8,1,0)</f>
        <v/>
      </c>
      <c r="LN8" s="20">
        <f>IF(Simulation!LN8&lt;Obligors!$I$8,1,0)</f>
        <v/>
      </c>
      <c r="LO8" s="20">
        <f>IF(Simulation!LO8&lt;Obligors!$I$8,1,0)</f>
        <v/>
      </c>
      <c r="LP8" s="20">
        <f>IF(Simulation!LP8&lt;Obligors!$I$8,1,0)</f>
        <v/>
      </c>
      <c r="LQ8" s="20">
        <f>IF(Simulation!LQ8&lt;Obligors!$I$8,1,0)</f>
        <v/>
      </c>
      <c r="LR8" s="20">
        <f>IF(Simulation!LR8&lt;Obligors!$I$8,1,0)</f>
        <v/>
      </c>
      <c r="LS8" s="20">
        <f>IF(Simulation!LS8&lt;Obligors!$I$8,1,0)</f>
        <v/>
      </c>
      <c r="LT8" s="20">
        <f>IF(Simulation!LT8&lt;Obligors!$I$8,1,0)</f>
        <v/>
      </c>
      <c r="LU8" s="20">
        <f>IF(Simulation!LU8&lt;Obligors!$I$8,1,0)</f>
        <v/>
      </c>
      <c r="LV8" s="20">
        <f>IF(Simulation!LV8&lt;Obligors!$I$8,1,0)</f>
        <v/>
      </c>
      <c r="LW8" s="20">
        <f>IF(Simulation!LW8&lt;Obligors!$I$8,1,0)</f>
        <v/>
      </c>
      <c r="LX8" s="20">
        <f>IF(Simulation!LX8&lt;Obligors!$I$8,1,0)</f>
        <v/>
      </c>
      <c r="LY8" s="20">
        <f>IF(Simulation!LY8&lt;Obligors!$I$8,1,0)</f>
        <v/>
      </c>
      <c r="LZ8" s="20">
        <f>IF(Simulation!LZ8&lt;Obligors!$I$8,1,0)</f>
        <v/>
      </c>
      <c r="MA8" s="20">
        <f>IF(Simulation!MA8&lt;Obligors!$I$8,1,0)</f>
        <v/>
      </c>
      <c r="MB8" s="20">
        <f>IF(Simulation!MB8&lt;Obligors!$I$8,1,0)</f>
        <v/>
      </c>
      <c r="MC8" s="20">
        <f>IF(Simulation!MC8&lt;Obligors!$I$8,1,0)</f>
        <v/>
      </c>
      <c r="MD8" s="20">
        <f>IF(Simulation!MD8&lt;Obligors!$I$8,1,0)</f>
        <v/>
      </c>
      <c r="ME8" s="20">
        <f>IF(Simulation!ME8&lt;Obligors!$I$8,1,0)</f>
        <v/>
      </c>
      <c r="MF8" s="20">
        <f>IF(Simulation!MF8&lt;Obligors!$I$8,1,0)</f>
        <v/>
      </c>
      <c r="MG8" s="20">
        <f>IF(Simulation!MG8&lt;Obligors!$I$8,1,0)</f>
        <v/>
      </c>
      <c r="MH8" s="20">
        <f>IF(Simulation!MH8&lt;Obligors!$I$8,1,0)</f>
        <v/>
      </c>
      <c r="MI8" s="20">
        <f>IF(Simulation!MI8&lt;Obligors!$I$8,1,0)</f>
        <v/>
      </c>
      <c r="MJ8" s="20">
        <f>IF(Simulation!MJ8&lt;Obligors!$I$8,1,0)</f>
        <v/>
      </c>
      <c r="MK8" s="20">
        <f>IF(Simulation!MK8&lt;Obligors!$I$8,1,0)</f>
        <v/>
      </c>
      <c r="ML8" s="20">
        <f>IF(Simulation!ML8&lt;Obligors!$I$8,1,0)</f>
        <v/>
      </c>
      <c r="MM8" s="20">
        <f>IF(Simulation!MM8&lt;Obligors!$I$8,1,0)</f>
        <v/>
      </c>
      <c r="MN8" s="20">
        <f>IF(Simulation!MN8&lt;Obligors!$I$8,1,0)</f>
        <v/>
      </c>
      <c r="MO8" s="20">
        <f>IF(Simulation!MO8&lt;Obligors!$I$8,1,0)</f>
        <v/>
      </c>
      <c r="MP8" s="20">
        <f>IF(Simulation!MP8&lt;Obligors!$I$8,1,0)</f>
        <v/>
      </c>
      <c r="MQ8" s="20">
        <f>IF(Simulation!MQ8&lt;Obligors!$I$8,1,0)</f>
        <v/>
      </c>
      <c r="MR8" s="20">
        <f>IF(Simulation!MR8&lt;Obligors!$I$8,1,0)</f>
        <v/>
      </c>
      <c r="MS8" s="20">
        <f>IF(Simulation!MS8&lt;Obligors!$I$8,1,0)</f>
        <v/>
      </c>
      <c r="MT8" s="20">
        <f>IF(Simulation!MT8&lt;Obligors!$I$8,1,0)</f>
        <v/>
      </c>
      <c r="MU8" s="20">
        <f>IF(Simulation!MU8&lt;Obligors!$I$8,1,0)</f>
        <v/>
      </c>
      <c r="MV8" s="20">
        <f>IF(Simulation!MV8&lt;Obligors!$I$8,1,0)</f>
        <v/>
      </c>
      <c r="MW8" s="20">
        <f>IF(Simulation!MW8&lt;Obligors!$I$8,1,0)</f>
        <v/>
      </c>
      <c r="MX8" s="20">
        <f>IF(Simulation!MX8&lt;Obligors!$I$8,1,0)</f>
        <v/>
      </c>
      <c r="MY8" s="20">
        <f>IF(Simulation!MY8&lt;Obligors!$I$8,1,0)</f>
        <v/>
      </c>
      <c r="MZ8" s="20">
        <f>IF(Simulation!MZ8&lt;Obligors!$I$8,1,0)</f>
        <v/>
      </c>
      <c r="NA8" s="20">
        <f>IF(Simulation!NA8&lt;Obligors!$I$8,1,0)</f>
        <v/>
      </c>
      <c r="NB8" s="20">
        <f>IF(Simulation!NB8&lt;Obligors!$I$8,1,0)</f>
        <v/>
      </c>
      <c r="NC8" s="20">
        <f>IF(Simulation!NC8&lt;Obligors!$I$8,1,0)</f>
        <v/>
      </c>
      <c r="ND8" s="20">
        <f>IF(Simulation!ND8&lt;Obligors!$I$8,1,0)</f>
        <v/>
      </c>
      <c r="NE8" s="20">
        <f>IF(Simulation!NE8&lt;Obligors!$I$8,1,0)</f>
        <v/>
      </c>
      <c r="NF8" s="20">
        <f>IF(Simulation!NF8&lt;Obligors!$I$8,1,0)</f>
        <v/>
      </c>
      <c r="NG8" s="20">
        <f>IF(Simulation!NG8&lt;Obligors!$I$8,1,0)</f>
        <v/>
      </c>
      <c r="NH8" s="20">
        <f>IF(Simulation!NH8&lt;Obligors!$I$8,1,0)</f>
        <v/>
      </c>
      <c r="NI8" s="20">
        <f>IF(Simulation!NI8&lt;Obligors!$I$8,1,0)</f>
        <v/>
      </c>
      <c r="NJ8" s="20">
        <f>IF(Simulation!NJ8&lt;Obligors!$I$8,1,0)</f>
        <v/>
      </c>
      <c r="NK8" s="20">
        <f>IF(Simulation!NK8&lt;Obligors!$I$8,1,0)</f>
        <v/>
      </c>
      <c r="NL8" s="20">
        <f>IF(Simulation!NL8&lt;Obligors!$I$8,1,0)</f>
        <v/>
      </c>
      <c r="NM8" s="20">
        <f>IF(Simulation!NM8&lt;Obligors!$I$8,1,0)</f>
        <v/>
      </c>
      <c r="NN8" s="20">
        <f>IF(Simulation!NN8&lt;Obligors!$I$8,1,0)</f>
        <v/>
      </c>
      <c r="NO8" s="20">
        <f>IF(Simulation!NO8&lt;Obligors!$I$8,1,0)</f>
        <v/>
      </c>
      <c r="NP8" s="20">
        <f>IF(Simulation!NP8&lt;Obligors!$I$8,1,0)</f>
        <v/>
      </c>
      <c r="NQ8" s="20">
        <f>IF(Simulation!NQ8&lt;Obligors!$I$8,1,0)</f>
        <v/>
      </c>
      <c r="NR8" s="20">
        <f>IF(Simulation!NR8&lt;Obligors!$I$8,1,0)</f>
        <v/>
      </c>
      <c r="NS8" s="20">
        <f>IF(Simulation!NS8&lt;Obligors!$I$8,1,0)</f>
        <v/>
      </c>
      <c r="NT8" s="20">
        <f>IF(Simulation!NT8&lt;Obligors!$I$8,1,0)</f>
        <v/>
      </c>
      <c r="NU8" s="20">
        <f>IF(Simulation!NU8&lt;Obligors!$I$8,1,0)</f>
        <v/>
      </c>
      <c r="NV8" s="20">
        <f>IF(Simulation!NV8&lt;Obligors!$I$8,1,0)</f>
        <v/>
      </c>
      <c r="NW8" s="20">
        <f>IF(Simulation!NW8&lt;Obligors!$I$8,1,0)</f>
        <v/>
      </c>
      <c r="NX8" s="20">
        <f>IF(Simulation!NX8&lt;Obligors!$I$8,1,0)</f>
        <v/>
      </c>
      <c r="NY8" s="20">
        <f>IF(Simulation!NY8&lt;Obligors!$I$8,1,0)</f>
        <v/>
      </c>
      <c r="NZ8" s="20">
        <f>IF(Simulation!NZ8&lt;Obligors!$I$8,1,0)</f>
        <v/>
      </c>
      <c r="OA8" s="20">
        <f>IF(Simulation!OA8&lt;Obligors!$I$8,1,0)</f>
        <v/>
      </c>
      <c r="OB8" s="20">
        <f>IF(Simulation!OB8&lt;Obligors!$I$8,1,0)</f>
        <v/>
      </c>
      <c r="OC8" s="20">
        <f>IF(Simulation!OC8&lt;Obligors!$I$8,1,0)</f>
        <v/>
      </c>
      <c r="OD8" s="20">
        <f>IF(Simulation!OD8&lt;Obligors!$I$8,1,0)</f>
        <v/>
      </c>
      <c r="OE8" s="20">
        <f>IF(Simulation!OE8&lt;Obligors!$I$8,1,0)</f>
        <v/>
      </c>
      <c r="OF8" s="20">
        <f>IF(Simulation!OF8&lt;Obligors!$I$8,1,0)</f>
        <v/>
      </c>
      <c r="OG8" s="20">
        <f>IF(Simulation!OG8&lt;Obligors!$I$8,1,0)</f>
        <v/>
      </c>
      <c r="OH8" s="20">
        <f>IF(Simulation!OH8&lt;Obligors!$I$8,1,0)</f>
        <v/>
      </c>
      <c r="OI8" s="20">
        <f>IF(Simulation!OI8&lt;Obligors!$I$8,1,0)</f>
        <v/>
      </c>
      <c r="OJ8" s="20">
        <f>IF(Simulation!OJ8&lt;Obligors!$I$8,1,0)</f>
        <v/>
      </c>
      <c r="OK8" s="20">
        <f>IF(Simulation!OK8&lt;Obligors!$I$8,1,0)</f>
        <v/>
      </c>
      <c r="OL8" s="20">
        <f>IF(Simulation!OL8&lt;Obligors!$I$8,1,0)</f>
        <v/>
      </c>
      <c r="OM8" s="20">
        <f>IF(Simulation!OM8&lt;Obligors!$I$8,1,0)</f>
        <v/>
      </c>
      <c r="ON8" s="20">
        <f>IF(Simulation!ON8&lt;Obligors!$I$8,1,0)</f>
        <v/>
      </c>
      <c r="OO8" s="20">
        <f>IF(Simulation!OO8&lt;Obligors!$I$8,1,0)</f>
        <v/>
      </c>
      <c r="OP8" s="20">
        <f>IF(Simulation!OP8&lt;Obligors!$I$8,1,0)</f>
        <v/>
      </c>
      <c r="OQ8" s="20">
        <f>IF(Simulation!OQ8&lt;Obligors!$I$8,1,0)</f>
        <v/>
      </c>
      <c r="OR8" s="20">
        <f>IF(Simulation!OR8&lt;Obligors!$I$8,1,0)</f>
        <v/>
      </c>
      <c r="OS8" s="20">
        <f>IF(Simulation!OS8&lt;Obligors!$I$8,1,0)</f>
        <v/>
      </c>
      <c r="OT8" s="20">
        <f>IF(Simulation!OT8&lt;Obligors!$I$8,1,0)</f>
        <v/>
      </c>
      <c r="OU8" s="20">
        <f>IF(Simulation!OU8&lt;Obligors!$I$8,1,0)</f>
        <v/>
      </c>
      <c r="OV8" s="20">
        <f>IF(Simulation!OV8&lt;Obligors!$I$8,1,0)</f>
        <v/>
      </c>
      <c r="OW8" s="20">
        <f>IF(Simulation!OW8&lt;Obligors!$I$8,1,0)</f>
        <v/>
      </c>
      <c r="OX8" s="20">
        <f>IF(Simulation!OX8&lt;Obligors!$I$8,1,0)</f>
        <v/>
      </c>
      <c r="OY8" s="20">
        <f>IF(Simulation!OY8&lt;Obligors!$I$8,1,0)</f>
        <v/>
      </c>
      <c r="OZ8" s="20">
        <f>IF(Simulation!OZ8&lt;Obligors!$I$8,1,0)</f>
        <v/>
      </c>
      <c r="PA8" s="20">
        <f>IF(Simulation!PA8&lt;Obligors!$I$8,1,0)</f>
        <v/>
      </c>
      <c r="PB8" s="20">
        <f>IF(Simulation!PB8&lt;Obligors!$I$8,1,0)</f>
        <v/>
      </c>
      <c r="PC8" s="20">
        <f>IF(Simulation!PC8&lt;Obligors!$I$8,1,0)</f>
        <v/>
      </c>
      <c r="PD8" s="20">
        <f>IF(Simulation!PD8&lt;Obligors!$I$8,1,0)</f>
        <v/>
      </c>
      <c r="PE8" s="20">
        <f>IF(Simulation!PE8&lt;Obligors!$I$8,1,0)</f>
        <v/>
      </c>
      <c r="PF8" s="20">
        <f>IF(Simulation!PF8&lt;Obligors!$I$8,1,0)</f>
        <v/>
      </c>
      <c r="PG8" s="20">
        <f>IF(Simulation!PG8&lt;Obligors!$I$8,1,0)</f>
        <v/>
      </c>
      <c r="PH8" s="20">
        <f>IF(Simulation!PH8&lt;Obligors!$I$8,1,0)</f>
        <v/>
      </c>
      <c r="PI8" s="20">
        <f>IF(Simulation!PI8&lt;Obligors!$I$8,1,0)</f>
        <v/>
      </c>
      <c r="PJ8" s="20">
        <f>IF(Simulation!PJ8&lt;Obligors!$I$8,1,0)</f>
        <v/>
      </c>
      <c r="PK8" s="20">
        <f>IF(Simulation!PK8&lt;Obligors!$I$8,1,0)</f>
        <v/>
      </c>
      <c r="PL8" s="20">
        <f>IF(Simulation!PL8&lt;Obligors!$I$8,1,0)</f>
        <v/>
      </c>
      <c r="PM8" s="20">
        <f>IF(Simulation!PM8&lt;Obligors!$I$8,1,0)</f>
        <v/>
      </c>
      <c r="PN8" s="20">
        <f>IF(Simulation!PN8&lt;Obligors!$I$8,1,0)</f>
        <v/>
      </c>
      <c r="PO8" s="20">
        <f>IF(Simulation!PO8&lt;Obligors!$I$8,1,0)</f>
        <v/>
      </c>
      <c r="PP8" s="20">
        <f>IF(Simulation!PP8&lt;Obligors!$I$8,1,0)</f>
        <v/>
      </c>
      <c r="PQ8" s="20">
        <f>IF(Simulation!PQ8&lt;Obligors!$I$8,1,0)</f>
        <v/>
      </c>
      <c r="PR8" s="20">
        <f>IF(Simulation!PR8&lt;Obligors!$I$8,1,0)</f>
        <v/>
      </c>
      <c r="PS8" s="20">
        <f>IF(Simulation!PS8&lt;Obligors!$I$8,1,0)</f>
        <v/>
      </c>
      <c r="PT8" s="20">
        <f>IF(Simulation!PT8&lt;Obligors!$I$8,1,0)</f>
        <v/>
      </c>
      <c r="PU8" s="20">
        <f>IF(Simulation!PU8&lt;Obligors!$I$8,1,0)</f>
        <v/>
      </c>
      <c r="PV8" s="20">
        <f>IF(Simulation!PV8&lt;Obligors!$I$8,1,0)</f>
        <v/>
      </c>
      <c r="PW8" s="20">
        <f>IF(Simulation!PW8&lt;Obligors!$I$8,1,0)</f>
        <v/>
      </c>
      <c r="PX8" s="20">
        <f>IF(Simulation!PX8&lt;Obligors!$I$8,1,0)</f>
        <v/>
      </c>
      <c r="PY8" s="20">
        <f>IF(Simulation!PY8&lt;Obligors!$I$8,1,0)</f>
        <v/>
      </c>
      <c r="PZ8" s="20">
        <f>IF(Simulation!PZ8&lt;Obligors!$I$8,1,0)</f>
        <v/>
      </c>
      <c r="QA8" s="20">
        <f>IF(Simulation!QA8&lt;Obligors!$I$8,1,0)</f>
        <v/>
      </c>
      <c r="QB8" s="20">
        <f>IF(Simulation!QB8&lt;Obligors!$I$8,1,0)</f>
        <v/>
      </c>
      <c r="QC8" s="20">
        <f>IF(Simulation!QC8&lt;Obligors!$I$8,1,0)</f>
        <v/>
      </c>
      <c r="QD8" s="20">
        <f>IF(Simulation!QD8&lt;Obligors!$I$8,1,0)</f>
        <v/>
      </c>
      <c r="QE8" s="20">
        <f>IF(Simulation!QE8&lt;Obligors!$I$8,1,0)</f>
        <v/>
      </c>
      <c r="QF8" s="20">
        <f>IF(Simulation!QF8&lt;Obligors!$I$8,1,0)</f>
        <v/>
      </c>
      <c r="QG8" s="20">
        <f>IF(Simulation!QG8&lt;Obligors!$I$8,1,0)</f>
        <v/>
      </c>
      <c r="QH8" s="20">
        <f>IF(Simulation!QH8&lt;Obligors!$I$8,1,0)</f>
        <v/>
      </c>
      <c r="QI8" s="20">
        <f>IF(Simulation!QI8&lt;Obligors!$I$8,1,0)</f>
        <v/>
      </c>
      <c r="QJ8" s="20">
        <f>IF(Simulation!QJ8&lt;Obligors!$I$8,1,0)</f>
        <v/>
      </c>
      <c r="QK8" s="20">
        <f>IF(Simulation!QK8&lt;Obligors!$I$8,1,0)</f>
        <v/>
      </c>
      <c r="QL8" s="20">
        <f>IF(Simulation!QL8&lt;Obligors!$I$8,1,0)</f>
        <v/>
      </c>
      <c r="QM8" s="20">
        <f>IF(Simulation!QM8&lt;Obligors!$I$8,1,0)</f>
        <v/>
      </c>
      <c r="QN8" s="20">
        <f>IF(Simulation!QN8&lt;Obligors!$I$8,1,0)</f>
        <v/>
      </c>
      <c r="QO8" s="20">
        <f>IF(Simulation!QO8&lt;Obligors!$I$8,1,0)</f>
        <v/>
      </c>
      <c r="QP8" s="20">
        <f>IF(Simulation!QP8&lt;Obligors!$I$8,1,0)</f>
        <v/>
      </c>
      <c r="QQ8" s="20">
        <f>IF(Simulation!QQ8&lt;Obligors!$I$8,1,0)</f>
        <v/>
      </c>
      <c r="QR8" s="20">
        <f>IF(Simulation!QR8&lt;Obligors!$I$8,1,0)</f>
        <v/>
      </c>
      <c r="QS8" s="20">
        <f>IF(Simulation!QS8&lt;Obligors!$I$8,1,0)</f>
        <v/>
      </c>
      <c r="QT8" s="20">
        <f>IF(Simulation!QT8&lt;Obligors!$I$8,1,0)</f>
        <v/>
      </c>
      <c r="QU8" s="20">
        <f>IF(Simulation!QU8&lt;Obligors!$I$8,1,0)</f>
        <v/>
      </c>
      <c r="QV8" s="20">
        <f>IF(Simulation!QV8&lt;Obligors!$I$8,1,0)</f>
        <v/>
      </c>
      <c r="QW8" s="20">
        <f>IF(Simulation!QW8&lt;Obligors!$I$8,1,0)</f>
        <v/>
      </c>
      <c r="QX8" s="20">
        <f>IF(Simulation!QX8&lt;Obligors!$I$8,1,0)</f>
        <v/>
      </c>
      <c r="QY8" s="20">
        <f>IF(Simulation!QY8&lt;Obligors!$I$8,1,0)</f>
        <v/>
      </c>
      <c r="QZ8" s="20">
        <f>IF(Simulation!QZ8&lt;Obligors!$I$8,1,0)</f>
        <v/>
      </c>
      <c r="RA8" s="20">
        <f>IF(Simulation!RA8&lt;Obligors!$I$8,1,0)</f>
        <v/>
      </c>
      <c r="RB8" s="20">
        <f>IF(Simulation!RB8&lt;Obligors!$I$8,1,0)</f>
        <v/>
      </c>
      <c r="RC8" s="20">
        <f>IF(Simulation!RC8&lt;Obligors!$I$8,1,0)</f>
        <v/>
      </c>
      <c r="RD8" s="20">
        <f>IF(Simulation!RD8&lt;Obligors!$I$8,1,0)</f>
        <v/>
      </c>
      <c r="RE8" s="20">
        <f>IF(Simulation!RE8&lt;Obligors!$I$8,1,0)</f>
        <v/>
      </c>
      <c r="RF8" s="20">
        <f>IF(Simulation!RF8&lt;Obligors!$I$8,1,0)</f>
        <v/>
      </c>
      <c r="RG8" s="20">
        <f>IF(Simulation!RG8&lt;Obligors!$I$8,1,0)</f>
        <v/>
      </c>
      <c r="RH8" s="20">
        <f>IF(Simulation!RH8&lt;Obligors!$I$8,1,0)</f>
        <v/>
      </c>
      <c r="RI8" s="20">
        <f>IF(Simulation!RI8&lt;Obligors!$I$8,1,0)</f>
        <v/>
      </c>
      <c r="RJ8" s="20">
        <f>IF(Simulation!RJ8&lt;Obligors!$I$8,1,0)</f>
        <v/>
      </c>
      <c r="RK8" s="20">
        <f>IF(Simulation!RK8&lt;Obligors!$I$8,1,0)</f>
        <v/>
      </c>
      <c r="RL8" s="20">
        <f>IF(Simulation!RL8&lt;Obligors!$I$8,1,0)</f>
        <v/>
      </c>
      <c r="RM8" s="20">
        <f>IF(Simulation!RM8&lt;Obligors!$I$8,1,0)</f>
        <v/>
      </c>
      <c r="RN8" s="20">
        <f>IF(Simulation!RN8&lt;Obligors!$I$8,1,0)</f>
        <v/>
      </c>
      <c r="RO8" s="20">
        <f>IF(Simulation!RO8&lt;Obligors!$I$8,1,0)</f>
        <v/>
      </c>
      <c r="RP8" s="20">
        <f>IF(Simulation!RP8&lt;Obligors!$I$8,1,0)</f>
        <v/>
      </c>
      <c r="RQ8" s="20">
        <f>IF(Simulation!RQ8&lt;Obligors!$I$8,1,0)</f>
        <v/>
      </c>
      <c r="RR8" s="20">
        <f>IF(Simulation!RR8&lt;Obligors!$I$8,1,0)</f>
        <v/>
      </c>
      <c r="RS8" s="20">
        <f>IF(Simulation!RS8&lt;Obligors!$I$8,1,0)</f>
        <v/>
      </c>
      <c r="RT8" s="20">
        <f>IF(Simulation!RT8&lt;Obligors!$I$8,1,0)</f>
        <v/>
      </c>
      <c r="RU8" s="20">
        <f>IF(Simulation!RU8&lt;Obligors!$I$8,1,0)</f>
        <v/>
      </c>
      <c r="RV8" s="20">
        <f>IF(Simulation!RV8&lt;Obligors!$I$8,1,0)</f>
        <v/>
      </c>
      <c r="RW8" s="20">
        <f>IF(Simulation!RW8&lt;Obligors!$I$8,1,0)</f>
        <v/>
      </c>
      <c r="RX8" s="20">
        <f>IF(Simulation!RX8&lt;Obligors!$I$8,1,0)</f>
        <v/>
      </c>
      <c r="RY8" s="20">
        <f>IF(Simulation!RY8&lt;Obligors!$I$8,1,0)</f>
        <v/>
      </c>
      <c r="RZ8" s="20">
        <f>IF(Simulation!RZ8&lt;Obligors!$I$8,1,0)</f>
        <v/>
      </c>
      <c r="SA8" s="20">
        <f>IF(Simulation!SA8&lt;Obligors!$I$8,1,0)</f>
        <v/>
      </c>
      <c r="SB8" s="20">
        <f>IF(Simulation!SB8&lt;Obligors!$I$8,1,0)</f>
        <v/>
      </c>
      <c r="SC8" s="20">
        <f>IF(Simulation!SC8&lt;Obligors!$I$8,1,0)</f>
        <v/>
      </c>
      <c r="SD8" s="20">
        <f>IF(Simulation!SD8&lt;Obligors!$I$8,1,0)</f>
        <v/>
      </c>
      <c r="SE8" s="20">
        <f>IF(Simulation!SE8&lt;Obligors!$I$8,1,0)</f>
        <v/>
      </c>
      <c r="SF8" s="20">
        <f>IF(Simulation!SF8&lt;Obligors!$I$8,1,0)</f>
        <v/>
      </c>
      <c r="SG8" s="20">
        <f>IF(Simulation!SG8&lt;Obligors!$I$8,1,0)</f>
        <v/>
      </c>
    </row>
    <row r="9">
      <c r="A9" s="17" t="inlineStr">
        <is>
          <t>OBL-008</t>
        </is>
      </c>
      <c r="B9" s="20">
        <f>IF(Simulation!B9&lt;Obligors!$I$9,1,0)</f>
        <v/>
      </c>
      <c r="C9" s="20">
        <f>IF(Simulation!C9&lt;Obligors!$I$9,1,0)</f>
        <v/>
      </c>
      <c r="D9" s="20">
        <f>IF(Simulation!D9&lt;Obligors!$I$9,1,0)</f>
        <v/>
      </c>
      <c r="E9" s="20">
        <f>IF(Simulation!E9&lt;Obligors!$I$9,1,0)</f>
        <v/>
      </c>
      <c r="F9" s="20">
        <f>IF(Simulation!F9&lt;Obligors!$I$9,1,0)</f>
        <v/>
      </c>
      <c r="G9" s="20">
        <f>IF(Simulation!G9&lt;Obligors!$I$9,1,0)</f>
        <v/>
      </c>
      <c r="H9" s="20">
        <f>IF(Simulation!H9&lt;Obligors!$I$9,1,0)</f>
        <v/>
      </c>
      <c r="I9" s="20">
        <f>IF(Simulation!I9&lt;Obligors!$I$9,1,0)</f>
        <v/>
      </c>
      <c r="J9" s="20">
        <f>IF(Simulation!J9&lt;Obligors!$I$9,1,0)</f>
        <v/>
      </c>
      <c r="K9" s="20">
        <f>IF(Simulation!K9&lt;Obligors!$I$9,1,0)</f>
        <v/>
      </c>
      <c r="L9" s="20">
        <f>IF(Simulation!L9&lt;Obligors!$I$9,1,0)</f>
        <v/>
      </c>
      <c r="M9" s="20">
        <f>IF(Simulation!M9&lt;Obligors!$I$9,1,0)</f>
        <v/>
      </c>
      <c r="N9" s="20">
        <f>IF(Simulation!N9&lt;Obligors!$I$9,1,0)</f>
        <v/>
      </c>
      <c r="O9" s="20">
        <f>IF(Simulation!O9&lt;Obligors!$I$9,1,0)</f>
        <v/>
      </c>
      <c r="P9" s="20">
        <f>IF(Simulation!P9&lt;Obligors!$I$9,1,0)</f>
        <v/>
      </c>
      <c r="Q9" s="20">
        <f>IF(Simulation!Q9&lt;Obligors!$I$9,1,0)</f>
        <v/>
      </c>
      <c r="R9" s="20">
        <f>IF(Simulation!R9&lt;Obligors!$I$9,1,0)</f>
        <v/>
      </c>
      <c r="S9" s="20">
        <f>IF(Simulation!S9&lt;Obligors!$I$9,1,0)</f>
        <v/>
      </c>
      <c r="T9" s="20">
        <f>IF(Simulation!T9&lt;Obligors!$I$9,1,0)</f>
        <v/>
      </c>
      <c r="U9" s="20">
        <f>IF(Simulation!U9&lt;Obligors!$I$9,1,0)</f>
        <v/>
      </c>
      <c r="V9" s="20">
        <f>IF(Simulation!V9&lt;Obligors!$I$9,1,0)</f>
        <v/>
      </c>
      <c r="W9" s="20">
        <f>IF(Simulation!W9&lt;Obligors!$I$9,1,0)</f>
        <v/>
      </c>
      <c r="X9" s="20">
        <f>IF(Simulation!X9&lt;Obligors!$I$9,1,0)</f>
        <v/>
      </c>
      <c r="Y9" s="20">
        <f>IF(Simulation!Y9&lt;Obligors!$I$9,1,0)</f>
        <v/>
      </c>
      <c r="Z9" s="20">
        <f>IF(Simulation!Z9&lt;Obligors!$I$9,1,0)</f>
        <v/>
      </c>
      <c r="AA9" s="20">
        <f>IF(Simulation!AA9&lt;Obligors!$I$9,1,0)</f>
        <v/>
      </c>
      <c r="AB9" s="20">
        <f>IF(Simulation!AB9&lt;Obligors!$I$9,1,0)</f>
        <v/>
      </c>
      <c r="AC9" s="20">
        <f>IF(Simulation!AC9&lt;Obligors!$I$9,1,0)</f>
        <v/>
      </c>
      <c r="AD9" s="20">
        <f>IF(Simulation!AD9&lt;Obligors!$I$9,1,0)</f>
        <v/>
      </c>
      <c r="AE9" s="20">
        <f>IF(Simulation!AE9&lt;Obligors!$I$9,1,0)</f>
        <v/>
      </c>
      <c r="AF9" s="20">
        <f>IF(Simulation!AF9&lt;Obligors!$I$9,1,0)</f>
        <v/>
      </c>
      <c r="AG9" s="20">
        <f>IF(Simulation!AG9&lt;Obligors!$I$9,1,0)</f>
        <v/>
      </c>
      <c r="AH9" s="20">
        <f>IF(Simulation!AH9&lt;Obligors!$I$9,1,0)</f>
        <v/>
      </c>
      <c r="AI9" s="20">
        <f>IF(Simulation!AI9&lt;Obligors!$I$9,1,0)</f>
        <v/>
      </c>
      <c r="AJ9" s="20">
        <f>IF(Simulation!AJ9&lt;Obligors!$I$9,1,0)</f>
        <v/>
      </c>
      <c r="AK9" s="20">
        <f>IF(Simulation!AK9&lt;Obligors!$I$9,1,0)</f>
        <v/>
      </c>
      <c r="AL9" s="20">
        <f>IF(Simulation!AL9&lt;Obligors!$I$9,1,0)</f>
        <v/>
      </c>
      <c r="AM9" s="20">
        <f>IF(Simulation!AM9&lt;Obligors!$I$9,1,0)</f>
        <v/>
      </c>
      <c r="AN9" s="20">
        <f>IF(Simulation!AN9&lt;Obligors!$I$9,1,0)</f>
        <v/>
      </c>
      <c r="AO9" s="20">
        <f>IF(Simulation!AO9&lt;Obligors!$I$9,1,0)</f>
        <v/>
      </c>
      <c r="AP9" s="20">
        <f>IF(Simulation!AP9&lt;Obligors!$I$9,1,0)</f>
        <v/>
      </c>
      <c r="AQ9" s="20">
        <f>IF(Simulation!AQ9&lt;Obligors!$I$9,1,0)</f>
        <v/>
      </c>
      <c r="AR9" s="20">
        <f>IF(Simulation!AR9&lt;Obligors!$I$9,1,0)</f>
        <v/>
      </c>
      <c r="AS9" s="20">
        <f>IF(Simulation!AS9&lt;Obligors!$I$9,1,0)</f>
        <v/>
      </c>
      <c r="AT9" s="20">
        <f>IF(Simulation!AT9&lt;Obligors!$I$9,1,0)</f>
        <v/>
      </c>
      <c r="AU9" s="20">
        <f>IF(Simulation!AU9&lt;Obligors!$I$9,1,0)</f>
        <v/>
      </c>
      <c r="AV9" s="20">
        <f>IF(Simulation!AV9&lt;Obligors!$I$9,1,0)</f>
        <v/>
      </c>
      <c r="AW9" s="20">
        <f>IF(Simulation!AW9&lt;Obligors!$I$9,1,0)</f>
        <v/>
      </c>
      <c r="AX9" s="20">
        <f>IF(Simulation!AX9&lt;Obligors!$I$9,1,0)</f>
        <v/>
      </c>
      <c r="AY9" s="20">
        <f>IF(Simulation!AY9&lt;Obligors!$I$9,1,0)</f>
        <v/>
      </c>
      <c r="AZ9" s="20">
        <f>IF(Simulation!AZ9&lt;Obligors!$I$9,1,0)</f>
        <v/>
      </c>
      <c r="BA9" s="20">
        <f>IF(Simulation!BA9&lt;Obligors!$I$9,1,0)</f>
        <v/>
      </c>
      <c r="BB9" s="20">
        <f>IF(Simulation!BB9&lt;Obligors!$I$9,1,0)</f>
        <v/>
      </c>
      <c r="BC9" s="20">
        <f>IF(Simulation!BC9&lt;Obligors!$I$9,1,0)</f>
        <v/>
      </c>
      <c r="BD9" s="20">
        <f>IF(Simulation!BD9&lt;Obligors!$I$9,1,0)</f>
        <v/>
      </c>
      <c r="BE9" s="20">
        <f>IF(Simulation!BE9&lt;Obligors!$I$9,1,0)</f>
        <v/>
      </c>
      <c r="BF9" s="20">
        <f>IF(Simulation!BF9&lt;Obligors!$I$9,1,0)</f>
        <v/>
      </c>
      <c r="BG9" s="20">
        <f>IF(Simulation!BG9&lt;Obligors!$I$9,1,0)</f>
        <v/>
      </c>
      <c r="BH9" s="20">
        <f>IF(Simulation!BH9&lt;Obligors!$I$9,1,0)</f>
        <v/>
      </c>
      <c r="BI9" s="20">
        <f>IF(Simulation!BI9&lt;Obligors!$I$9,1,0)</f>
        <v/>
      </c>
      <c r="BJ9" s="20">
        <f>IF(Simulation!BJ9&lt;Obligors!$I$9,1,0)</f>
        <v/>
      </c>
      <c r="BK9" s="20">
        <f>IF(Simulation!BK9&lt;Obligors!$I$9,1,0)</f>
        <v/>
      </c>
      <c r="BL9" s="20">
        <f>IF(Simulation!BL9&lt;Obligors!$I$9,1,0)</f>
        <v/>
      </c>
      <c r="BM9" s="20">
        <f>IF(Simulation!BM9&lt;Obligors!$I$9,1,0)</f>
        <v/>
      </c>
      <c r="BN9" s="20">
        <f>IF(Simulation!BN9&lt;Obligors!$I$9,1,0)</f>
        <v/>
      </c>
      <c r="BO9" s="20">
        <f>IF(Simulation!BO9&lt;Obligors!$I$9,1,0)</f>
        <v/>
      </c>
      <c r="BP9" s="20">
        <f>IF(Simulation!BP9&lt;Obligors!$I$9,1,0)</f>
        <v/>
      </c>
      <c r="BQ9" s="20">
        <f>IF(Simulation!BQ9&lt;Obligors!$I$9,1,0)</f>
        <v/>
      </c>
      <c r="BR9" s="20">
        <f>IF(Simulation!BR9&lt;Obligors!$I$9,1,0)</f>
        <v/>
      </c>
      <c r="BS9" s="20">
        <f>IF(Simulation!BS9&lt;Obligors!$I$9,1,0)</f>
        <v/>
      </c>
      <c r="BT9" s="20">
        <f>IF(Simulation!BT9&lt;Obligors!$I$9,1,0)</f>
        <v/>
      </c>
      <c r="BU9" s="20">
        <f>IF(Simulation!BU9&lt;Obligors!$I$9,1,0)</f>
        <v/>
      </c>
      <c r="BV9" s="20">
        <f>IF(Simulation!BV9&lt;Obligors!$I$9,1,0)</f>
        <v/>
      </c>
      <c r="BW9" s="20">
        <f>IF(Simulation!BW9&lt;Obligors!$I$9,1,0)</f>
        <v/>
      </c>
      <c r="BX9" s="20">
        <f>IF(Simulation!BX9&lt;Obligors!$I$9,1,0)</f>
        <v/>
      </c>
      <c r="BY9" s="20">
        <f>IF(Simulation!BY9&lt;Obligors!$I$9,1,0)</f>
        <v/>
      </c>
      <c r="BZ9" s="20">
        <f>IF(Simulation!BZ9&lt;Obligors!$I$9,1,0)</f>
        <v/>
      </c>
      <c r="CA9" s="20">
        <f>IF(Simulation!CA9&lt;Obligors!$I$9,1,0)</f>
        <v/>
      </c>
      <c r="CB9" s="20">
        <f>IF(Simulation!CB9&lt;Obligors!$I$9,1,0)</f>
        <v/>
      </c>
      <c r="CC9" s="20">
        <f>IF(Simulation!CC9&lt;Obligors!$I$9,1,0)</f>
        <v/>
      </c>
      <c r="CD9" s="20">
        <f>IF(Simulation!CD9&lt;Obligors!$I$9,1,0)</f>
        <v/>
      </c>
      <c r="CE9" s="20">
        <f>IF(Simulation!CE9&lt;Obligors!$I$9,1,0)</f>
        <v/>
      </c>
      <c r="CF9" s="20">
        <f>IF(Simulation!CF9&lt;Obligors!$I$9,1,0)</f>
        <v/>
      </c>
      <c r="CG9" s="20">
        <f>IF(Simulation!CG9&lt;Obligors!$I$9,1,0)</f>
        <v/>
      </c>
      <c r="CH9" s="20">
        <f>IF(Simulation!CH9&lt;Obligors!$I$9,1,0)</f>
        <v/>
      </c>
      <c r="CI9" s="20">
        <f>IF(Simulation!CI9&lt;Obligors!$I$9,1,0)</f>
        <v/>
      </c>
      <c r="CJ9" s="20">
        <f>IF(Simulation!CJ9&lt;Obligors!$I$9,1,0)</f>
        <v/>
      </c>
      <c r="CK9" s="20">
        <f>IF(Simulation!CK9&lt;Obligors!$I$9,1,0)</f>
        <v/>
      </c>
      <c r="CL9" s="20">
        <f>IF(Simulation!CL9&lt;Obligors!$I$9,1,0)</f>
        <v/>
      </c>
      <c r="CM9" s="20">
        <f>IF(Simulation!CM9&lt;Obligors!$I$9,1,0)</f>
        <v/>
      </c>
      <c r="CN9" s="20">
        <f>IF(Simulation!CN9&lt;Obligors!$I$9,1,0)</f>
        <v/>
      </c>
      <c r="CO9" s="20">
        <f>IF(Simulation!CO9&lt;Obligors!$I$9,1,0)</f>
        <v/>
      </c>
      <c r="CP9" s="20">
        <f>IF(Simulation!CP9&lt;Obligors!$I$9,1,0)</f>
        <v/>
      </c>
      <c r="CQ9" s="20">
        <f>IF(Simulation!CQ9&lt;Obligors!$I$9,1,0)</f>
        <v/>
      </c>
      <c r="CR9" s="20">
        <f>IF(Simulation!CR9&lt;Obligors!$I$9,1,0)</f>
        <v/>
      </c>
      <c r="CS9" s="20">
        <f>IF(Simulation!CS9&lt;Obligors!$I$9,1,0)</f>
        <v/>
      </c>
      <c r="CT9" s="20">
        <f>IF(Simulation!CT9&lt;Obligors!$I$9,1,0)</f>
        <v/>
      </c>
      <c r="CU9" s="20">
        <f>IF(Simulation!CU9&lt;Obligors!$I$9,1,0)</f>
        <v/>
      </c>
      <c r="CV9" s="20">
        <f>IF(Simulation!CV9&lt;Obligors!$I$9,1,0)</f>
        <v/>
      </c>
      <c r="CW9" s="20">
        <f>IF(Simulation!CW9&lt;Obligors!$I$9,1,0)</f>
        <v/>
      </c>
      <c r="CX9" s="20">
        <f>IF(Simulation!CX9&lt;Obligors!$I$9,1,0)</f>
        <v/>
      </c>
      <c r="CY9" s="20">
        <f>IF(Simulation!CY9&lt;Obligors!$I$9,1,0)</f>
        <v/>
      </c>
      <c r="CZ9" s="20">
        <f>IF(Simulation!CZ9&lt;Obligors!$I$9,1,0)</f>
        <v/>
      </c>
      <c r="DA9" s="20">
        <f>IF(Simulation!DA9&lt;Obligors!$I$9,1,0)</f>
        <v/>
      </c>
      <c r="DB9" s="20">
        <f>IF(Simulation!DB9&lt;Obligors!$I$9,1,0)</f>
        <v/>
      </c>
      <c r="DC9" s="20">
        <f>IF(Simulation!DC9&lt;Obligors!$I$9,1,0)</f>
        <v/>
      </c>
      <c r="DD9" s="20">
        <f>IF(Simulation!DD9&lt;Obligors!$I$9,1,0)</f>
        <v/>
      </c>
      <c r="DE9" s="20">
        <f>IF(Simulation!DE9&lt;Obligors!$I$9,1,0)</f>
        <v/>
      </c>
      <c r="DF9" s="20">
        <f>IF(Simulation!DF9&lt;Obligors!$I$9,1,0)</f>
        <v/>
      </c>
      <c r="DG9" s="20">
        <f>IF(Simulation!DG9&lt;Obligors!$I$9,1,0)</f>
        <v/>
      </c>
      <c r="DH9" s="20">
        <f>IF(Simulation!DH9&lt;Obligors!$I$9,1,0)</f>
        <v/>
      </c>
      <c r="DI9" s="20">
        <f>IF(Simulation!DI9&lt;Obligors!$I$9,1,0)</f>
        <v/>
      </c>
      <c r="DJ9" s="20">
        <f>IF(Simulation!DJ9&lt;Obligors!$I$9,1,0)</f>
        <v/>
      </c>
      <c r="DK9" s="20">
        <f>IF(Simulation!DK9&lt;Obligors!$I$9,1,0)</f>
        <v/>
      </c>
      <c r="DL9" s="20">
        <f>IF(Simulation!DL9&lt;Obligors!$I$9,1,0)</f>
        <v/>
      </c>
      <c r="DM9" s="20">
        <f>IF(Simulation!DM9&lt;Obligors!$I$9,1,0)</f>
        <v/>
      </c>
      <c r="DN9" s="20">
        <f>IF(Simulation!DN9&lt;Obligors!$I$9,1,0)</f>
        <v/>
      </c>
      <c r="DO9" s="20">
        <f>IF(Simulation!DO9&lt;Obligors!$I$9,1,0)</f>
        <v/>
      </c>
      <c r="DP9" s="20">
        <f>IF(Simulation!DP9&lt;Obligors!$I$9,1,0)</f>
        <v/>
      </c>
      <c r="DQ9" s="20">
        <f>IF(Simulation!DQ9&lt;Obligors!$I$9,1,0)</f>
        <v/>
      </c>
      <c r="DR9" s="20">
        <f>IF(Simulation!DR9&lt;Obligors!$I$9,1,0)</f>
        <v/>
      </c>
      <c r="DS9" s="20">
        <f>IF(Simulation!DS9&lt;Obligors!$I$9,1,0)</f>
        <v/>
      </c>
      <c r="DT9" s="20">
        <f>IF(Simulation!DT9&lt;Obligors!$I$9,1,0)</f>
        <v/>
      </c>
      <c r="DU9" s="20">
        <f>IF(Simulation!DU9&lt;Obligors!$I$9,1,0)</f>
        <v/>
      </c>
      <c r="DV9" s="20">
        <f>IF(Simulation!DV9&lt;Obligors!$I$9,1,0)</f>
        <v/>
      </c>
      <c r="DW9" s="20">
        <f>IF(Simulation!DW9&lt;Obligors!$I$9,1,0)</f>
        <v/>
      </c>
      <c r="DX9" s="20">
        <f>IF(Simulation!DX9&lt;Obligors!$I$9,1,0)</f>
        <v/>
      </c>
      <c r="DY9" s="20">
        <f>IF(Simulation!DY9&lt;Obligors!$I$9,1,0)</f>
        <v/>
      </c>
      <c r="DZ9" s="20">
        <f>IF(Simulation!DZ9&lt;Obligors!$I$9,1,0)</f>
        <v/>
      </c>
      <c r="EA9" s="20">
        <f>IF(Simulation!EA9&lt;Obligors!$I$9,1,0)</f>
        <v/>
      </c>
      <c r="EB9" s="20">
        <f>IF(Simulation!EB9&lt;Obligors!$I$9,1,0)</f>
        <v/>
      </c>
      <c r="EC9" s="20">
        <f>IF(Simulation!EC9&lt;Obligors!$I$9,1,0)</f>
        <v/>
      </c>
      <c r="ED9" s="20">
        <f>IF(Simulation!ED9&lt;Obligors!$I$9,1,0)</f>
        <v/>
      </c>
      <c r="EE9" s="20">
        <f>IF(Simulation!EE9&lt;Obligors!$I$9,1,0)</f>
        <v/>
      </c>
      <c r="EF9" s="20">
        <f>IF(Simulation!EF9&lt;Obligors!$I$9,1,0)</f>
        <v/>
      </c>
      <c r="EG9" s="20">
        <f>IF(Simulation!EG9&lt;Obligors!$I$9,1,0)</f>
        <v/>
      </c>
      <c r="EH9" s="20">
        <f>IF(Simulation!EH9&lt;Obligors!$I$9,1,0)</f>
        <v/>
      </c>
      <c r="EI9" s="20">
        <f>IF(Simulation!EI9&lt;Obligors!$I$9,1,0)</f>
        <v/>
      </c>
      <c r="EJ9" s="20">
        <f>IF(Simulation!EJ9&lt;Obligors!$I$9,1,0)</f>
        <v/>
      </c>
      <c r="EK9" s="20">
        <f>IF(Simulation!EK9&lt;Obligors!$I$9,1,0)</f>
        <v/>
      </c>
      <c r="EL9" s="20">
        <f>IF(Simulation!EL9&lt;Obligors!$I$9,1,0)</f>
        <v/>
      </c>
      <c r="EM9" s="20">
        <f>IF(Simulation!EM9&lt;Obligors!$I$9,1,0)</f>
        <v/>
      </c>
      <c r="EN9" s="20">
        <f>IF(Simulation!EN9&lt;Obligors!$I$9,1,0)</f>
        <v/>
      </c>
      <c r="EO9" s="20">
        <f>IF(Simulation!EO9&lt;Obligors!$I$9,1,0)</f>
        <v/>
      </c>
      <c r="EP9" s="20">
        <f>IF(Simulation!EP9&lt;Obligors!$I$9,1,0)</f>
        <v/>
      </c>
      <c r="EQ9" s="20">
        <f>IF(Simulation!EQ9&lt;Obligors!$I$9,1,0)</f>
        <v/>
      </c>
      <c r="ER9" s="20">
        <f>IF(Simulation!ER9&lt;Obligors!$I$9,1,0)</f>
        <v/>
      </c>
      <c r="ES9" s="20">
        <f>IF(Simulation!ES9&lt;Obligors!$I$9,1,0)</f>
        <v/>
      </c>
      <c r="ET9" s="20">
        <f>IF(Simulation!ET9&lt;Obligors!$I$9,1,0)</f>
        <v/>
      </c>
      <c r="EU9" s="20">
        <f>IF(Simulation!EU9&lt;Obligors!$I$9,1,0)</f>
        <v/>
      </c>
      <c r="EV9" s="20">
        <f>IF(Simulation!EV9&lt;Obligors!$I$9,1,0)</f>
        <v/>
      </c>
      <c r="EW9" s="20">
        <f>IF(Simulation!EW9&lt;Obligors!$I$9,1,0)</f>
        <v/>
      </c>
      <c r="EX9" s="20">
        <f>IF(Simulation!EX9&lt;Obligors!$I$9,1,0)</f>
        <v/>
      </c>
      <c r="EY9" s="20">
        <f>IF(Simulation!EY9&lt;Obligors!$I$9,1,0)</f>
        <v/>
      </c>
      <c r="EZ9" s="20">
        <f>IF(Simulation!EZ9&lt;Obligors!$I$9,1,0)</f>
        <v/>
      </c>
      <c r="FA9" s="20">
        <f>IF(Simulation!FA9&lt;Obligors!$I$9,1,0)</f>
        <v/>
      </c>
      <c r="FB9" s="20">
        <f>IF(Simulation!FB9&lt;Obligors!$I$9,1,0)</f>
        <v/>
      </c>
      <c r="FC9" s="20">
        <f>IF(Simulation!FC9&lt;Obligors!$I$9,1,0)</f>
        <v/>
      </c>
      <c r="FD9" s="20">
        <f>IF(Simulation!FD9&lt;Obligors!$I$9,1,0)</f>
        <v/>
      </c>
      <c r="FE9" s="20">
        <f>IF(Simulation!FE9&lt;Obligors!$I$9,1,0)</f>
        <v/>
      </c>
      <c r="FF9" s="20">
        <f>IF(Simulation!FF9&lt;Obligors!$I$9,1,0)</f>
        <v/>
      </c>
      <c r="FG9" s="20">
        <f>IF(Simulation!FG9&lt;Obligors!$I$9,1,0)</f>
        <v/>
      </c>
      <c r="FH9" s="20">
        <f>IF(Simulation!FH9&lt;Obligors!$I$9,1,0)</f>
        <v/>
      </c>
      <c r="FI9" s="20">
        <f>IF(Simulation!FI9&lt;Obligors!$I$9,1,0)</f>
        <v/>
      </c>
      <c r="FJ9" s="20">
        <f>IF(Simulation!FJ9&lt;Obligors!$I$9,1,0)</f>
        <v/>
      </c>
      <c r="FK9" s="20">
        <f>IF(Simulation!FK9&lt;Obligors!$I$9,1,0)</f>
        <v/>
      </c>
      <c r="FL9" s="20">
        <f>IF(Simulation!FL9&lt;Obligors!$I$9,1,0)</f>
        <v/>
      </c>
      <c r="FM9" s="20">
        <f>IF(Simulation!FM9&lt;Obligors!$I$9,1,0)</f>
        <v/>
      </c>
      <c r="FN9" s="20">
        <f>IF(Simulation!FN9&lt;Obligors!$I$9,1,0)</f>
        <v/>
      </c>
      <c r="FO9" s="20">
        <f>IF(Simulation!FO9&lt;Obligors!$I$9,1,0)</f>
        <v/>
      </c>
      <c r="FP9" s="20">
        <f>IF(Simulation!FP9&lt;Obligors!$I$9,1,0)</f>
        <v/>
      </c>
      <c r="FQ9" s="20">
        <f>IF(Simulation!FQ9&lt;Obligors!$I$9,1,0)</f>
        <v/>
      </c>
      <c r="FR9" s="20">
        <f>IF(Simulation!FR9&lt;Obligors!$I$9,1,0)</f>
        <v/>
      </c>
      <c r="FS9" s="20">
        <f>IF(Simulation!FS9&lt;Obligors!$I$9,1,0)</f>
        <v/>
      </c>
      <c r="FT9" s="20">
        <f>IF(Simulation!FT9&lt;Obligors!$I$9,1,0)</f>
        <v/>
      </c>
      <c r="FU9" s="20">
        <f>IF(Simulation!FU9&lt;Obligors!$I$9,1,0)</f>
        <v/>
      </c>
      <c r="FV9" s="20">
        <f>IF(Simulation!FV9&lt;Obligors!$I$9,1,0)</f>
        <v/>
      </c>
      <c r="FW9" s="20">
        <f>IF(Simulation!FW9&lt;Obligors!$I$9,1,0)</f>
        <v/>
      </c>
      <c r="FX9" s="20">
        <f>IF(Simulation!FX9&lt;Obligors!$I$9,1,0)</f>
        <v/>
      </c>
      <c r="FY9" s="20">
        <f>IF(Simulation!FY9&lt;Obligors!$I$9,1,0)</f>
        <v/>
      </c>
      <c r="FZ9" s="20">
        <f>IF(Simulation!FZ9&lt;Obligors!$I$9,1,0)</f>
        <v/>
      </c>
      <c r="GA9" s="20">
        <f>IF(Simulation!GA9&lt;Obligors!$I$9,1,0)</f>
        <v/>
      </c>
      <c r="GB9" s="20">
        <f>IF(Simulation!GB9&lt;Obligors!$I$9,1,0)</f>
        <v/>
      </c>
      <c r="GC9" s="20">
        <f>IF(Simulation!GC9&lt;Obligors!$I$9,1,0)</f>
        <v/>
      </c>
      <c r="GD9" s="20">
        <f>IF(Simulation!GD9&lt;Obligors!$I$9,1,0)</f>
        <v/>
      </c>
      <c r="GE9" s="20">
        <f>IF(Simulation!GE9&lt;Obligors!$I$9,1,0)</f>
        <v/>
      </c>
      <c r="GF9" s="20">
        <f>IF(Simulation!GF9&lt;Obligors!$I$9,1,0)</f>
        <v/>
      </c>
      <c r="GG9" s="20">
        <f>IF(Simulation!GG9&lt;Obligors!$I$9,1,0)</f>
        <v/>
      </c>
      <c r="GH9" s="20">
        <f>IF(Simulation!GH9&lt;Obligors!$I$9,1,0)</f>
        <v/>
      </c>
      <c r="GI9" s="20">
        <f>IF(Simulation!GI9&lt;Obligors!$I$9,1,0)</f>
        <v/>
      </c>
      <c r="GJ9" s="20">
        <f>IF(Simulation!GJ9&lt;Obligors!$I$9,1,0)</f>
        <v/>
      </c>
      <c r="GK9" s="20">
        <f>IF(Simulation!GK9&lt;Obligors!$I$9,1,0)</f>
        <v/>
      </c>
      <c r="GL9" s="20">
        <f>IF(Simulation!GL9&lt;Obligors!$I$9,1,0)</f>
        <v/>
      </c>
      <c r="GM9" s="20">
        <f>IF(Simulation!GM9&lt;Obligors!$I$9,1,0)</f>
        <v/>
      </c>
      <c r="GN9" s="20">
        <f>IF(Simulation!GN9&lt;Obligors!$I$9,1,0)</f>
        <v/>
      </c>
      <c r="GO9" s="20">
        <f>IF(Simulation!GO9&lt;Obligors!$I$9,1,0)</f>
        <v/>
      </c>
      <c r="GP9" s="20">
        <f>IF(Simulation!GP9&lt;Obligors!$I$9,1,0)</f>
        <v/>
      </c>
      <c r="GQ9" s="20">
        <f>IF(Simulation!GQ9&lt;Obligors!$I$9,1,0)</f>
        <v/>
      </c>
      <c r="GR9" s="20">
        <f>IF(Simulation!GR9&lt;Obligors!$I$9,1,0)</f>
        <v/>
      </c>
      <c r="GS9" s="20">
        <f>IF(Simulation!GS9&lt;Obligors!$I$9,1,0)</f>
        <v/>
      </c>
      <c r="GT9" s="20">
        <f>IF(Simulation!GT9&lt;Obligors!$I$9,1,0)</f>
        <v/>
      </c>
      <c r="GU9" s="20">
        <f>IF(Simulation!GU9&lt;Obligors!$I$9,1,0)</f>
        <v/>
      </c>
      <c r="GV9" s="20">
        <f>IF(Simulation!GV9&lt;Obligors!$I$9,1,0)</f>
        <v/>
      </c>
      <c r="GW9" s="20">
        <f>IF(Simulation!GW9&lt;Obligors!$I$9,1,0)</f>
        <v/>
      </c>
      <c r="GX9" s="20">
        <f>IF(Simulation!GX9&lt;Obligors!$I$9,1,0)</f>
        <v/>
      </c>
      <c r="GY9" s="20">
        <f>IF(Simulation!GY9&lt;Obligors!$I$9,1,0)</f>
        <v/>
      </c>
      <c r="GZ9" s="20">
        <f>IF(Simulation!GZ9&lt;Obligors!$I$9,1,0)</f>
        <v/>
      </c>
      <c r="HA9" s="20">
        <f>IF(Simulation!HA9&lt;Obligors!$I$9,1,0)</f>
        <v/>
      </c>
      <c r="HB9" s="20">
        <f>IF(Simulation!HB9&lt;Obligors!$I$9,1,0)</f>
        <v/>
      </c>
      <c r="HC9" s="20">
        <f>IF(Simulation!HC9&lt;Obligors!$I$9,1,0)</f>
        <v/>
      </c>
      <c r="HD9" s="20">
        <f>IF(Simulation!HD9&lt;Obligors!$I$9,1,0)</f>
        <v/>
      </c>
      <c r="HE9" s="20">
        <f>IF(Simulation!HE9&lt;Obligors!$I$9,1,0)</f>
        <v/>
      </c>
      <c r="HF9" s="20">
        <f>IF(Simulation!HF9&lt;Obligors!$I$9,1,0)</f>
        <v/>
      </c>
      <c r="HG9" s="20">
        <f>IF(Simulation!HG9&lt;Obligors!$I$9,1,0)</f>
        <v/>
      </c>
      <c r="HH9" s="20">
        <f>IF(Simulation!HH9&lt;Obligors!$I$9,1,0)</f>
        <v/>
      </c>
      <c r="HI9" s="20">
        <f>IF(Simulation!HI9&lt;Obligors!$I$9,1,0)</f>
        <v/>
      </c>
      <c r="HJ9" s="20">
        <f>IF(Simulation!HJ9&lt;Obligors!$I$9,1,0)</f>
        <v/>
      </c>
      <c r="HK9" s="20">
        <f>IF(Simulation!HK9&lt;Obligors!$I$9,1,0)</f>
        <v/>
      </c>
      <c r="HL9" s="20">
        <f>IF(Simulation!HL9&lt;Obligors!$I$9,1,0)</f>
        <v/>
      </c>
      <c r="HM9" s="20">
        <f>IF(Simulation!HM9&lt;Obligors!$I$9,1,0)</f>
        <v/>
      </c>
      <c r="HN9" s="20">
        <f>IF(Simulation!HN9&lt;Obligors!$I$9,1,0)</f>
        <v/>
      </c>
      <c r="HO9" s="20">
        <f>IF(Simulation!HO9&lt;Obligors!$I$9,1,0)</f>
        <v/>
      </c>
      <c r="HP9" s="20">
        <f>IF(Simulation!HP9&lt;Obligors!$I$9,1,0)</f>
        <v/>
      </c>
      <c r="HQ9" s="20">
        <f>IF(Simulation!HQ9&lt;Obligors!$I$9,1,0)</f>
        <v/>
      </c>
      <c r="HR9" s="20">
        <f>IF(Simulation!HR9&lt;Obligors!$I$9,1,0)</f>
        <v/>
      </c>
      <c r="HS9" s="20">
        <f>IF(Simulation!HS9&lt;Obligors!$I$9,1,0)</f>
        <v/>
      </c>
      <c r="HT9" s="20">
        <f>IF(Simulation!HT9&lt;Obligors!$I$9,1,0)</f>
        <v/>
      </c>
      <c r="HU9" s="20">
        <f>IF(Simulation!HU9&lt;Obligors!$I$9,1,0)</f>
        <v/>
      </c>
      <c r="HV9" s="20">
        <f>IF(Simulation!HV9&lt;Obligors!$I$9,1,0)</f>
        <v/>
      </c>
      <c r="HW9" s="20">
        <f>IF(Simulation!HW9&lt;Obligors!$I$9,1,0)</f>
        <v/>
      </c>
      <c r="HX9" s="20">
        <f>IF(Simulation!HX9&lt;Obligors!$I$9,1,0)</f>
        <v/>
      </c>
      <c r="HY9" s="20">
        <f>IF(Simulation!HY9&lt;Obligors!$I$9,1,0)</f>
        <v/>
      </c>
      <c r="HZ9" s="20">
        <f>IF(Simulation!HZ9&lt;Obligors!$I$9,1,0)</f>
        <v/>
      </c>
      <c r="IA9" s="20">
        <f>IF(Simulation!IA9&lt;Obligors!$I$9,1,0)</f>
        <v/>
      </c>
      <c r="IB9" s="20">
        <f>IF(Simulation!IB9&lt;Obligors!$I$9,1,0)</f>
        <v/>
      </c>
      <c r="IC9" s="20">
        <f>IF(Simulation!IC9&lt;Obligors!$I$9,1,0)</f>
        <v/>
      </c>
      <c r="ID9" s="20">
        <f>IF(Simulation!ID9&lt;Obligors!$I$9,1,0)</f>
        <v/>
      </c>
      <c r="IE9" s="20">
        <f>IF(Simulation!IE9&lt;Obligors!$I$9,1,0)</f>
        <v/>
      </c>
      <c r="IF9" s="20">
        <f>IF(Simulation!IF9&lt;Obligors!$I$9,1,0)</f>
        <v/>
      </c>
      <c r="IG9" s="20">
        <f>IF(Simulation!IG9&lt;Obligors!$I$9,1,0)</f>
        <v/>
      </c>
      <c r="IH9" s="20">
        <f>IF(Simulation!IH9&lt;Obligors!$I$9,1,0)</f>
        <v/>
      </c>
      <c r="II9" s="20">
        <f>IF(Simulation!II9&lt;Obligors!$I$9,1,0)</f>
        <v/>
      </c>
      <c r="IJ9" s="20">
        <f>IF(Simulation!IJ9&lt;Obligors!$I$9,1,0)</f>
        <v/>
      </c>
      <c r="IK9" s="20">
        <f>IF(Simulation!IK9&lt;Obligors!$I$9,1,0)</f>
        <v/>
      </c>
      <c r="IL9" s="20">
        <f>IF(Simulation!IL9&lt;Obligors!$I$9,1,0)</f>
        <v/>
      </c>
      <c r="IM9" s="20">
        <f>IF(Simulation!IM9&lt;Obligors!$I$9,1,0)</f>
        <v/>
      </c>
      <c r="IN9" s="20">
        <f>IF(Simulation!IN9&lt;Obligors!$I$9,1,0)</f>
        <v/>
      </c>
      <c r="IO9" s="20">
        <f>IF(Simulation!IO9&lt;Obligors!$I$9,1,0)</f>
        <v/>
      </c>
      <c r="IP9" s="20">
        <f>IF(Simulation!IP9&lt;Obligors!$I$9,1,0)</f>
        <v/>
      </c>
      <c r="IQ9" s="20">
        <f>IF(Simulation!IQ9&lt;Obligors!$I$9,1,0)</f>
        <v/>
      </c>
      <c r="IR9" s="20">
        <f>IF(Simulation!IR9&lt;Obligors!$I$9,1,0)</f>
        <v/>
      </c>
      <c r="IS9" s="20">
        <f>IF(Simulation!IS9&lt;Obligors!$I$9,1,0)</f>
        <v/>
      </c>
      <c r="IT9" s="20">
        <f>IF(Simulation!IT9&lt;Obligors!$I$9,1,0)</f>
        <v/>
      </c>
      <c r="IU9" s="20">
        <f>IF(Simulation!IU9&lt;Obligors!$I$9,1,0)</f>
        <v/>
      </c>
      <c r="IV9" s="20">
        <f>IF(Simulation!IV9&lt;Obligors!$I$9,1,0)</f>
        <v/>
      </c>
      <c r="IW9" s="20">
        <f>IF(Simulation!IW9&lt;Obligors!$I$9,1,0)</f>
        <v/>
      </c>
      <c r="IX9" s="20">
        <f>IF(Simulation!IX9&lt;Obligors!$I$9,1,0)</f>
        <v/>
      </c>
      <c r="IY9" s="20">
        <f>IF(Simulation!IY9&lt;Obligors!$I$9,1,0)</f>
        <v/>
      </c>
      <c r="IZ9" s="20">
        <f>IF(Simulation!IZ9&lt;Obligors!$I$9,1,0)</f>
        <v/>
      </c>
      <c r="JA9" s="20">
        <f>IF(Simulation!JA9&lt;Obligors!$I$9,1,0)</f>
        <v/>
      </c>
      <c r="JB9" s="20">
        <f>IF(Simulation!JB9&lt;Obligors!$I$9,1,0)</f>
        <v/>
      </c>
      <c r="JC9" s="20">
        <f>IF(Simulation!JC9&lt;Obligors!$I$9,1,0)</f>
        <v/>
      </c>
      <c r="JD9" s="20">
        <f>IF(Simulation!JD9&lt;Obligors!$I$9,1,0)</f>
        <v/>
      </c>
      <c r="JE9" s="20">
        <f>IF(Simulation!JE9&lt;Obligors!$I$9,1,0)</f>
        <v/>
      </c>
      <c r="JF9" s="20">
        <f>IF(Simulation!JF9&lt;Obligors!$I$9,1,0)</f>
        <v/>
      </c>
      <c r="JG9" s="20">
        <f>IF(Simulation!JG9&lt;Obligors!$I$9,1,0)</f>
        <v/>
      </c>
      <c r="JH9" s="20">
        <f>IF(Simulation!JH9&lt;Obligors!$I$9,1,0)</f>
        <v/>
      </c>
      <c r="JI9" s="20">
        <f>IF(Simulation!JI9&lt;Obligors!$I$9,1,0)</f>
        <v/>
      </c>
      <c r="JJ9" s="20">
        <f>IF(Simulation!JJ9&lt;Obligors!$I$9,1,0)</f>
        <v/>
      </c>
      <c r="JK9" s="20">
        <f>IF(Simulation!JK9&lt;Obligors!$I$9,1,0)</f>
        <v/>
      </c>
      <c r="JL9" s="20">
        <f>IF(Simulation!JL9&lt;Obligors!$I$9,1,0)</f>
        <v/>
      </c>
      <c r="JM9" s="20">
        <f>IF(Simulation!JM9&lt;Obligors!$I$9,1,0)</f>
        <v/>
      </c>
      <c r="JN9" s="20">
        <f>IF(Simulation!JN9&lt;Obligors!$I$9,1,0)</f>
        <v/>
      </c>
      <c r="JO9" s="20">
        <f>IF(Simulation!JO9&lt;Obligors!$I$9,1,0)</f>
        <v/>
      </c>
      <c r="JP9" s="20">
        <f>IF(Simulation!JP9&lt;Obligors!$I$9,1,0)</f>
        <v/>
      </c>
      <c r="JQ9" s="20">
        <f>IF(Simulation!JQ9&lt;Obligors!$I$9,1,0)</f>
        <v/>
      </c>
      <c r="JR9" s="20">
        <f>IF(Simulation!JR9&lt;Obligors!$I$9,1,0)</f>
        <v/>
      </c>
      <c r="JS9" s="20">
        <f>IF(Simulation!JS9&lt;Obligors!$I$9,1,0)</f>
        <v/>
      </c>
      <c r="JT9" s="20">
        <f>IF(Simulation!JT9&lt;Obligors!$I$9,1,0)</f>
        <v/>
      </c>
      <c r="JU9" s="20">
        <f>IF(Simulation!JU9&lt;Obligors!$I$9,1,0)</f>
        <v/>
      </c>
      <c r="JV9" s="20">
        <f>IF(Simulation!JV9&lt;Obligors!$I$9,1,0)</f>
        <v/>
      </c>
      <c r="JW9" s="20">
        <f>IF(Simulation!JW9&lt;Obligors!$I$9,1,0)</f>
        <v/>
      </c>
      <c r="JX9" s="20">
        <f>IF(Simulation!JX9&lt;Obligors!$I$9,1,0)</f>
        <v/>
      </c>
      <c r="JY9" s="20">
        <f>IF(Simulation!JY9&lt;Obligors!$I$9,1,0)</f>
        <v/>
      </c>
      <c r="JZ9" s="20">
        <f>IF(Simulation!JZ9&lt;Obligors!$I$9,1,0)</f>
        <v/>
      </c>
      <c r="KA9" s="20">
        <f>IF(Simulation!KA9&lt;Obligors!$I$9,1,0)</f>
        <v/>
      </c>
      <c r="KB9" s="20">
        <f>IF(Simulation!KB9&lt;Obligors!$I$9,1,0)</f>
        <v/>
      </c>
      <c r="KC9" s="20">
        <f>IF(Simulation!KC9&lt;Obligors!$I$9,1,0)</f>
        <v/>
      </c>
      <c r="KD9" s="20">
        <f>IF(Simulation!KD9&lt;Obligors!$I$9,1,0)</f>
        <v/>
      </c>
      <c r="KE9" s="20">
        <f>IF(Simulation!KE9&lt;Obligors!$I$9,1,0)</f>
        <v/>
      </c>
      <c r="KF9" s="20">
        <f>IF(Simulation!KF9&lt;Obligors!$I$9,1,0)</f>
        <v/>
      </c>
      <c r="KG9" s="20">
        <f>IF(Simulation!KG9&lt;Obligors!$I$9,1,0)</f>
        <v/>
      </c>
      <c r="KH9" s="20">
        <f>IF(Simulation!KH9&lt;Obligors!$I$9,1,0)</f>
        <v/>
      </c>
      <c r="KI9" s="20">
        <f>IF(Simulation!KI9&lt;Obligors!$I$9,1,0)</f>
        <v/>
      </c>
      <c r="KJ9" s="20">
        <f>IF(Simulation!KJ9&lt;Obligors!$I$9,1,0)</f>
        <v/>
      </c>
      <c r="KK9" s="20">
        <f>IF(Simulation!KK9&lt;Obligors!$I$9,1,0)</f>
        <v/>
      </c>
      <c r="KL9" s="20">
        <f>IF(Simulation!KL9&lt;Obligors!$I$9,1,0)</f>
        <v/>
      </c>
      <c r="KM9" s="20">
        <f>IF(Simulation!KM9&lt;Obligors!$I$9,1,0)</f>
        <v/>
      </c>
      <c r="KN9" s="20">
        <f>IF(Simulation!KN9&lt;Obligors!$I$9,1,0)</f>
        <v/>
      </c>
      <c r="KO9" s="20">
        <f>IF(Simulation!KO9&lt;Obligors!$I$9,1,0)</f>
        <v/>
      </c>
      <c r="KP9" s="20">
        <f>IF(Simulation!KP9&lt;Obligors!$I$9,1,0)</f>
        <v/>
      </c>
      <c r="KQ9" s="20">
        <f>IF(Simulation!KQ9&lt;Obligors!$I$9,1,0)</f>
        <v/>
      </c>
      <c r="KR9" s="20">
        <f>IF(Simulation!KR9&lt;Obligors!$I$9,1,0)</f>
        <v/>
      </c>
      <c r="KS9" s="20">
        <f>IF(Simulation!KS9&lt;Obligors!$I$9,1,0)</f>
        <v/>
      </c>
      <c r="KT9" s="20">
        <f>IF(Simulation!KT9&lt;Obligors!$I$9,1,0)</f>
        <v/>
      </c>
      <c r="KU9" s="20">
        <f>IF(Simulation!KU9&lt;Obligors!$I$9,1,0)</f>
        <v/>
      </c>
      <c r="KV9" s="20">
        <f>IF(Simulation!KV9&lt;Obligors!$I$9,1,0)</f>
        <v/>
      </c>
      <c r="KW9" s="20">
        <f>IF(Simulation!KW9&lt;Obligors!$I$9,1,0)</f>
        <v/>
      </c>
      <c r="KX9" s="20">
        <f>IF(Simulation!KX9&lt;Obligors!$I$9,1,0)</f>
        <v/>
      </c>
      <c r="KY9" s="20">
        <f>IF(Simulation!KY9&lt;Obligors!$I$9,1,0)</f>
        <v/>
      </c>
      <c r="KZ9" s="20">
        <f>IF(Simulation!KZ9&lt;Obligors!$I$9,1,0)</f>
        <v/>
      </c>
      <c r="LA9" s="20">
        <f>IF(Simulation!LA9&lt;Obligors!$I$9,1,0)</f>
        <v/>
      </c>
      <c r="LB9" s="20">
        <f>IF(Simulation!LB9&lt;Obligors!$I$9,1,0)</f>
        <v/>
      </c>
      <c r="LC9" s="20">
        <f>IF(Simulation!LC9&lt;Obligors!$I$9,1,0)</f>
        <v/>
      </c>
      <c r="LD9" s="20">
        <f>IF(Simulation!LD9&lt;Obligors!$I$9,1,0)</f>
        <v/>
      </c>
      <c r="LE9" s="20">
        <f>IF(Simulation!LE9&lt;Obligors!$I$9,1,0)</f>
        <v/>
      </c>
      <c r="LF9" s="20">
        <f>IF(Simulation!LF9&lt;Obligors!$I$9,1,0)</f>
        <v/>
      </c>
      <c r="LG9" s="20">
        <f>IF(Simulation!LG9&lt;Obligors!$I$9,1,0)</f>
        <v/>
      </c>
      <c r="LH9" s="20">
        <f>IF(Simulation!LH9&lt;Obligors!$I$9,1,0)</f>
        <v/>
      </c>
      <c r="LI9" s="20">
        <f>IF(Simulation!LI9&lt;Obligors!$I$9,1,0)</f>
        <v/>
      </c>
      <c r="LJ9" s="20">
        <f>IF(Simulation!LJ9&lt;Obligors!$I$9,1,0)</f>
        <v/>
      </c>
      <c r="LK9" s="20">
        <f>IF(Simulation!LK9&lt;Obligors!$I$9,1,0)</f>
        <v/>
      </c>
      <c r="LL9" s="20">
        <f>IF(Simulation!LL9&lt;Obligors!$I$9,1,0)</f>
        <v/>
      </c>
      <c r="LM9" s="20">
        <f>IF(Simulation!LM9&lt;Obligors!$I$9,1,0)</f>
        <v/>
      </c>
      <c r="LN9" s="20">
        <f>IF(Simulation!LN9&lt;Obligors!$I$9,1,0)</f>
        <v/>
      </c>
      <c r="LO9" s="20">
        <f>IF(Simulation!LO9&lt;Obligors!$I$9,1,0)</f>
        <v/>
      </c>
      <c r="LP9" s="20">
        <f>IF(Simulation!LP9&lt;Obligors!$I$9,1,0)</f>
        <v/>
      </c>
      <c r="LQ9" s="20">
        <f>IF(Simulation!LQ9&lt;Obligors!$I$9,1,0)</f>
        <v/>
      </c>
      <c r="LR9" s="20">
        <f>IF(Simulation!LR9&lt;Obligors!$I$9,1,0)</f>
        <v/>
      </c>
      <c r="LS9" s="20">
        <f>IF(Simulation!LS9&lt;Obligors!$I$9,1,0)</f>
        <v/>
      </c>
      <c r="LT9" s="20">
        <f>IF(Simulation!LT9&lt;Obligors!$I$9,1,0)</f>
        <v/>
      </c>
      <c r="LU9" s="20">
        <f>IF(Simulation!LU9&lt;Obligors!$I$9,1,0)</f>
        <v/>
      </c>
      <c r="LV9" s="20">
        <f>IF(Simulation!LV9&lt;Obligors!$I$9,1,0)</f>
        <v/>
      </c>
      <c r="LW9" s="20">
        <f>IF(Simulation!LW9&lt;Obligors!$I$9,1,0)</f>
        <v/>
      </c>
      <c r="LX9" s="20">
        <f>IF(Simulation!LX9&lt;Obligors!$I$9,1,0)</f>
        <v/>
      </c>
      <c r="LY9" s="20">
        <f>IF(Simulation!LY9&lt;Obligors!$I$9,1,0)</f>
        <v/>
      </c>
      <c r="LZ9" s="20">
        <f>IF(Simulation!LZ9&lt;Obligors!$I$9,1,0)</f>
        <v/>
      </c>
      <c r="MA9" s="20">
        <f>IF(Simulation!MA9&lt;Obligors!$I$9,1,0)</f>
        <v/>
      </c>
      <c r="MB9" s="20">
        <f>IF(Simulation!MB9&lt;Obligors!$I$9,1,0)</f>
        <v/>
      </c>
      <c r="MC9" s="20">
        <f>IF(Simulation!MC9&lt;Obligors!$I$9,1,0)</f>
        <v/>
      </c>
      <c r="MD9" s="20">
        <f>IF(Simulation!MD9&lt;Obligors!$I$9,1,0)</f>
        <v/>
      </c>
      <c r="ME9" s="20">
        <f>IF(Simulation!ME9&lt;Obligors!$I$9,1,0)</f>
        <v/>
      </c>
      <c r="MF9" s="20">
        <f>IF(Simulation!MF9&lt;Obligors!$I$9,1,0)</f>
        <v/>
      </c>
      <c r="MG9" s="20">
        <f>IF(Simulation!MG9&lt;Obligors!$I$9,1,0)</f>
        <v/>
      </c>
      <c r="MH9" s="20">
        <f>IF(Simulation!MH9&lt;Obligors!$I$9,1,0)</f>
        <v/>
      </c>
      <c r="MI9" s="20">
        <f>IF(Simulation!MI9&lt;Obligors!$I$9,1,0)</f>
        <v/>
      </c>
      <c r="MJ9" s="20">
        <f>IF(Simulation!MJ9&lt;Obligors!$I$9,1,0)</f>
        <v/>
      </c>
      <c r="MK9" s="20">
        <f>IF(Simulation!MK9&lt;Obligors!$I$9,1,0)</f>
        <v/>
      </c>
      <c r="ML9" s="20">
        <f>IF(Simulation!ML9&lt;Obligors!$I$9,1,0)</f>
        <v/>
      </c>
      <c r="MM9" s="20">
        <f>IF(Simulation!MM9&lt;Obligors!$I$9,1,0)</f>
        <v/>
      </c>
      <c r="MN9" s="20">
        <f>IF(Simulation!MN9&lt;Obligors!$I$9,1,0)</f>
        <v/>
      </c>
      <c r="MO9" s="20">
        <f>IF(Simulation!MO9&lt;Obligors!$I$9,1,0)</f>
        <v/>
      </c>
      <c r="MP9" s="20">
        <f>IF(Simulation!MP9&lt;Obligors!$I$9,1,0)</f>
        <v/>
      </c>
      <c r="MQ9" s="20">
        <f>IF(Simulation!MQ9&lt;Obligors!$I$9,1,0)</f>
        <v/>
      </c>
      <c r="MR9" s="20">
        <f>IF(Simulation!MR9&lt;Obligors!$I$9,1,0)</f>
        <v/>
      </c>
      <c r="MS9" s="20">
        <f>IF(Simulation!MS9&lt;Obligors!$I$9,1,0)</f>
        <v/>
      </c>
      <c r="MT9" s="20">
        <f>IF(Simulation!MT9&lt;Obligors!$I$9,1,0)</f>
        <v/>
      </c>
      <c r="MU9" s="20">
        <f>IF(Simulation!MU9&lt;Obligors!$I$9,1,0)</f>
        <v/>
      </c>
      <c r="MV9" s="20">
        <f>IF(Simulation!MV9&lt;Obligors!$I$9,1,0)</f>
        <v/>
      </c>
      <c r="MW9" s="20">
        <f>IF(Simulation!MW9&lt;Obligors!$I$9,1,0)</f>
        <v/>
      </c>
      <c r="MX9" s="20">
        <f>IF(Simulation!MX9&lt;Obligors!$I$9,1,0)</f>
        <v/>
      </c>
      <c r="MY9" s="20">
        <f>IF(Simulation!MY9&lt;Obligors!$I$9,1,0)</f>
        <v/>
      </c>
      <c r="MZ9" s="20">
        <f>IF(Simulation!MZ9&lt;Obligors!$I$9,1,0)</f>
        <v/>
      </c>
      <c r="NA9" s="20">
        <f>IF(Simulation!NA9&lt;Obligors!$I$9,1,0)</f>
        <v/>
      </c>
      <c r="NB9" s="20">
        <f>IF(Simulation!NB9&lt;Obligors!$I$9,1,0)</f>
        <v/>
      </c>
      <c r="NC9" s="20">
        <f>IF(Simulation!NC9&lt;Obligors!$I$9,1,0)</f>
        <v/>
      </c>
      <c r="ND9" s="20">
        <f>IF(Simulation!ND9&lt;Obligors!$I$9,1,0)</f>
        <v/>
      </c>
      <c r="NE9" s="20">
        <f>IF(Simulation!NE9&lt;Obligors!$I$9,1,0)</f>
        <v/>
      </c>
      <c r="NF9" s="20">
        <f>IF(Simulation!NF9&lt;Obligors!$I$9,1,0)</f>
        <v/>
      </c>
      <c r="NG9" s="20">
        <f>IF(Simulation!NG9&lt;Obligors!$I$9,1,0)</f>
        <v/>
      </c>
      <c r="NH9" s="20">
        <f>IF(Simulation!NH9&lt;Obligors!$I$9,1,0)</f>
        <v/>
      </c>
      <c r="NI9" s="20">
        <f>IF(Simulation!NI9&lt;Obligors!$I$9,1,0)</f>
        <v/>
      </c>
      <c r="NJ9" s="20">
        <f>IF(Simulation!NJ9&lt;Obligors!$I$9,1,0)</f>
        <v/>
      </c>
      <c r="NK9" s="20">
        <f>IF(Simulation!NK9&lt;Obligors!$I$9,1,0)</f>
        <v/>
      </c>
      <c r="NL9" s="20">
        <f>IF(Simulation!NL9&lt;Obligors!$I$9,1,0)</f>
        <v/>
      </c>
      <c r="NM9" s="20">
        <f>IF(Simulation!NM9&lt;Obligors!$I$9,1,0)</f>
        <v/>
      </c>
      <c r="NN9" s="20">
        <f>IF(Simulation!NN9&lt;Obligors!$I$9,1,0)</f>
        <v/>
      </c>
      <c r="NO9" s="20">
        <f>IF(Simulation!NO9&lt;Obligors!$I$9,1,0)</f>
        <v/>
      </c>
      <c r="NP9" s="20">
        <f>IF(Simulation!NP9&lt;Obligors!$I$9,1,0)</f>
        <v/>
      </c>
      <c r="NQ9" s="20">
        <f>IF(Simulation!NQ9&lt;Obligors!$I$9,1,0)</f>
        <v/>
      </c>
      <c r="NR9" s="20">
        <f>IF(Simulation!NR9&lt;Obligors!$I$9,1,0)</f>
        <v/>
      </c>
      <c r="NS9" s="20">
        <f>IF(Simulation!NS9&lt;Obligors!$I$9,1,0)</f>
        <v/>
      </c>
      <c r="NT9" s="20">
        <f>IF(Simulation!NT9&lt;Obligors!$I$9,1,0)</f>
        <v/>
      </c>
      <c r="NU9" s="20">
        <f>IF(Simulation!NU9&lt;Obligors!$I$9,1,0)</f>
        <v/>
      </c>
      <c r="NV9" s="20">
        <f>IF(Simulation!NV9&lt;Obligors!$I$9,1,0)</f>
        <v/>
      </c>
      <c r="NW9" s="20">
        <f>IF(Simulation!NW9&lt;Obligors!$I$9,1,0)</f>
        <v/>
      </c>
      <c r="NX9" s="20">
        <f>IF(Simulation!NX9&lt;Obligors!$I$9,1,0)</f>
        <v/>
      </c>
      <c r="NY9" s="20">
        <f>IF(Simulation!NY9&lt;Obligors!$I$9,1,0)</f>
        <v/>
      </c>
      <c r="NZ9" s="20">
        <f>IF(Simulation!NZ9&lt;Obligors!$I$9,1,0)</f>
        <v/>
      </c>
      <c r="OA9" s="20">
        <f>IF(Simulation!OA9&lt;Obligors!$I$9,1,0)</f>
        <v/>
      </c>
      <c r="OB9" s="20">
        <f>IF(Simulation!OB9&lt;Obligors!$I$9,1,0)</f>
        <v/>
      </c>
      <c r="OC9" s="20">
        <f>IF(Simulation!OC9&lt;Obligors!$I$9,1,0)</f>
        <v/>
      </c>
      <c r="OD9" s="20">
        <f>IF(Simulation!OD9&lt;Obligors!$I$9,1,0)</f>
        <v/>
      </c>
      <c r="OE9" s="20">
        <f>IF(Simulation!OE9&lt;Obligors!$I$9,1,0)</f>
        <v/>
      </c>
      <c r="OF9" s="20">
        <f>IF(Simulation!OF9&lt;Obligors!$I$9,1,0)</f>
        <v/>
      </c>
      <c r="OG9" s="20">
        <f>IF(Simulation!OG9&lt;Obligors!$I$9,1,0)</f>
        <v/>
      </c>
      <c r="OH9" s="20">
        <f>IF(Simulation!OH9&lt;Obligors!$I$9,1,0)</f>
        <v/>
      </c>
      <c r="OI9" s="20">
        <f>IF(Simulation!OI9&lt;Obligors!$I$9,1,0)</f>
        <v/>
      </c>
      <c r="OJ9" s="20">
        <f>IF(Simulation!OJ9&lt;Obligors!$I$9,1,0)</f>
        <v/>
      </c>
      <c r="OK9" s="20">
        <f>IF(Simulation!OK9&lt;Obligors!$I$9,1,0)</f>
        <v/>
      </c>
      <c r="OL9" s="20">
        <f>IF(Simulation!OL9&lt;Obligors!$I$9,1,0)</f>
        <v/>
      </c>
      <c r="OM9" s="20">
        <f>IF(Simulation!OM9&lt;Obligors!$I$9,1,0)</f>
        <v/>
      </c>
      <c r="ON9" s="20">
        <f>IF(Simulation!ON9&lt;Obligors!$I$9,1,0)</f>
        <v/>
      </c>
      <c r="OO9" s="20">
        <f>IF(Simulation!OO9&lt;Obligors!$I$9,1,0)</f>
        <v/>
      </c>
      <c r="OP9" s="20">
        <f>IF(Simulation!OP9&lt;Obligors!$I$9,1,0)</f>
        <v/>
      </c>
      <c r="OQ9" s="20">
        <f>IF(Simulation!OQ9&lt;Obligors!$I$9,1,0)</f>
        <v/>
      </c>
      <c r="OR9" s="20">
        <f>IF(Simulation!OR9&lt;Obligors!$I$9,1,0)</f>
        <v/>
      </c>
      <c r="OS9" s="20">
        <f>IF(Simulation!OS9&lt;Obligors!$I$9,1,0)</f>
        <v/>
      </c>
      <c r="OT9" s="20">
        <f>IF(Simulation!OT9&lt;Obligors!$I$9,1,0)</f>
        <v/>
      </c>
      <c r="OU9" s="20">
        <f>IF(Simulation!OU9&lt;Obligors!$I$9,1,0)</f>
        <v/>
      </c>
      <c r="OV9" s="20">
        <f>IF(Simulation!OV9&lt;Obligors!$I$9,1,0)</f>
        <v/>
      </c>
      <c r="OW9" s="20">
        <f>IF(Simulation!OW9&lt;Obligors!$I$9,1,0)</f>
        <v/>
      </c>
      <c r="OX9" s="20">
        <f>IF(Simulation!OX9&lt;Obligors!$I$9,1,0)</f>
        <v/>
      </c>
      <c r="OY9" s="20">
        <f>IF(Simulation!OY9&lt;Obligors!$I$9,1,0)</f>
        <v/>
      </c>
      <c r="OZ9" s="20">
        <f>IF(Simulation!OZ9&lt;Obligors!$I$9,1,0)</f>
        <v/>
      </c>
      <c r="PA9" s="20">
        <f>IF(Simulation!PA9&lt;Obligors!$I$9,1,0)</f>
        <v/>
      </c>
      <c r="PB9" s="20">
        <f>IF(Simulation!PB9&lt;Obligors!$I$9,1,0)</f>
        <v/>
      </c>
      <c r="PC9" s="20">
        <f>IF(Simulation!PC9&lt;Obligors!$I$9,1,0)</f>
        <v/>
      </c>
      <c r="PD9" s="20">
        <f>IF(Simulation!PD9&lt;Obligors!$I$9,1,0)</f>
        <v/>
      </c>
      <c r="PE9" s="20">
        <f>IF(Simulation!PE9&lt;Obligors!$I$9,1,0)</f>
        <v/>
      </c>
      <c r="PF9" s="20">
        <f>IF(Simulation!PF9&lt;Obligors!$I$9,1,0)</f>
        <v/>
      </c>
      <c r="PG9" s="20">
        <f>IF(Simulation!PG9&lt;Obligors!$I$9,1,0)</f>
        <v/>
      </c>
      <c r="PH9" s="20">
        <f>IF(Simulation!PH9&lt;Obligors!$I$9,1,0)</f>
        <v/>
      </c>
      <c r="PI9" s="20">
        <f>IF(Simulation!PI9&lt;Obligors!$I$9,1,0)</f>
        <v/>
      </c>
      <c r="PJ9" s="20">
        <f>IF(Simulation!PJ9&lt;Obligors!$I$9,1,0)</f>
        <v/>
      </c>
      <c r="PK9" s="20">
        <f>IF(Simulation!PK9&lt;Obligors!$I$9,1,0)</f>
        <v/>
      </c>
      <c r="PL9" s="20">
        <f>IF(Simulation!PL9&lt;Obligors!$I$9,1,0)</f>
        <v/>
      </c>
      <c r="PM9" s="20">
        <f>IF(Simulation!PM9&lt;Obligors!$I$9,1,0)</f>
        <v/>
      </c>
      <c r="PN9" s="20">
        <f>IF(Simulation!PN9&lt;Obligors!$I$9,1,0)</f>
        <v/>
      </c>
      <c r="PO9" s="20">
        <f>IF(Simulation!PO9&lt;Obligors!$I$9,1,0)</f>
        <v/>
      </c>
      <c r="PP9" s="20">
        <f>IF(Simulation!PP9&lt;Obligors!$I$9,1,0)</f>
        <v/>
      </c>
      <c r="PQ9" s="20">
        <f>IF(Simulation!PQ9&lt;Obligors!$I$9,1,0)</f>
        <v/>
      </c>
      <c r="PR9" s="20">
        <f>IF(Simulation!PR9&lt;Obligors!$I$9,1,0)</f>
        <v/>
      </c>
      <c r="PS9" s="20">
        <f>IF(Simulation!PS9&lt;Obligors!$I$9,1,0)</f>
        <v/>
      </c>
      <c r="PT9" s="20">
        <f>IF(Simulation!PT9&lt;Obligors!$I$9,1,0)</f>
        <v/>
      </c>
      <c r="PU9" s="20">
        <f>IF(Simulation!PU9&lt;Obligors!$I$9,1,0)</f>
        <v/>
      </c>
      <c r="PV9" s="20">
        <f>IF(Simulation!PV9&lt;Obligors!$I$9,1,0)</f>
        <v/>
      </c>
      <c r="PW9" s="20">
        <f>IF(Simulation!PW9&lt;Obligors!$I$9,1,0)</f>
        <v/>
      </c>
      <c r="PX9" s="20">
        <f>IF(Simulation!PX9&lt;Obligors!$I$9,1,0)</f>
        <v/>
      </c>
      <c r="PY9" s="20">
        <f>IF(Simulation!PY9&lt;Obligors!$I$9,1,0)</f>
        <v/>
      </c>
      <c r="PZ9" s="20">
        <f>IF(Simulation!PZ9&lt;Obligors!$I$9,1,0)</f>
        <v/>
      </c>
      <c r="QA9" s="20">
        <f>IF(Simulation!QA9&lt;Obligors!$I$9,1,0)</f>
        <v/>
      </c>
      <c r="QB9" s="20">
        <f>IF(Simulation!QB9&lt;Obligors!$I$9,1,0)</f>
        <v/>
      </c>
      <c r="QC9" s="20">
        <f>IF(Simulation!QC9&lt;Obligors!$I$9,1,0)</f>
        <v/>
      </c>
      <c r="QD9" s="20">
        <f>IF(Simulation!QD9&lt;Obligors!$I$9,1,0)</f>
        <v/>
      </c>
      <c r="QE9" s="20">
        <f>IF(Simulation!QE9&lt;Obligors!$I$9,1,0)</f>
        <v/>
      </c>
      <c r="QF9" s="20">
        <f>IF(Simulation!QF9&lt;Obligors!$I$9,1,0)</f>
        <v/>
      </c>
      <c r="QG9" s="20">
        <f>IF(Simulation!QG9&lt;Obligors!$I$9,1,0)</f>
        <v/>
      </c>
      <c r="QH9" s="20">
        <f>IF(Simulation!QH9&lt;Obligors!$I$9,1,0)</f>
        <v/>
      </c>
      <c r="QI9" s="20">
        <f>IF(Simulation!QI9&lt;Obligors!$I$9,1,0)</f>
        <v/>
      </c>
      <c r="QJ9" s="20">
        <f>IF(Simulation!QJ9&lt;Obligors!$I$9,1,0)</f>
        <v/>
      </c>
      <c r="QK9" s="20">
        <f>IF(Simulation!QK9&lt;Obligors!$I$9,1,0)</f>
        <v/>
      </c>
      <c r="QL9" s="20">
        <f>IF(Simulation!QL9&lt;Obligors!$I$9,1,0)</f>
        <v/>
      </c>
      <c r="QM9" s="20">
        <f>IF(Simulation!QM9&lt;Obligors!$I$9,1,0)</f>
        <v/>
      </c>
      <c r="QN9" s="20">
        <f>IF(Simulation!QN9&lt;Obligors!$I$9,1,0)</f>
        <v/>
      </c>
      <c r="QO9" s="20">
        <f>IF(Simulation!QO9&lt;Obligors!$I$9,1,0)</f>
        <v/>
      </c>
      <c r="QP9" s="20">
        <f>IF(Simulation!QP9&lt;Obligors!$I$9,1,0)</f>
        <v/>
      </c>
      <c r="QQ9" s="20">
        <f>IF(Simulation!QQ9&lt;Obligors!$I$9,1,0)</f>
        <v/>
      </c>
      <c r="QR9" s="20">
        <f>IF(Simulation!QR9&lt;Obligors!$I$9,1,0)</f>
        <v/>
      </c>
      <c r="QS9" s="20">
        <f>IF(Simulation!QS9&lt;Obligors!$I$9,1,0)</f>
        <v/>
      </c>
      <c r="QT9" s="20">
        <f>IF(Simulation!QT9&lt;Obligors!$I$9,1,0)</f>
        <v/>
      </c>
      <c r="QU9" s="20">
        <f>IF(Simulation!QU9&lt;Obligors!$I$9,1,0)</f>
        <v/>
      </c>
      <c r="QV9" s="20">
        <f>IF(Simulation!QV9&lt;Obligors!$I$9,1,0)</f>
        <v/>
      </c>
      <c r="QW9" s="20">
        <f>IF(Simulation!QW9&lt;Obligors!$I$9,1,0)</f>
        <v/>
      </c>
      <c r="QX9" s="20">
        <f>IF(Simulation!QX9&lt;Obligors!$I$9,1,0)</f>
        <v/>
      </c>
      <c r="QY9" s="20">
        <f>IF(Simulation!QY9&lt;Obligors!$I$9,1,0)</f>
        <v/>
      </c>
      <c r="QZ9" s="20">
        <f>IF(Simulation!QZ9&lt;Obligors!$I$9,1,0)</f>
        <v/>
      </c>
      <c r="RA9" s="20">
        <f>IF(Simulation!RA9&lt;Obligors!$I$9,1,0)</f>
        <v/>
      </c>
      <c r="RB9" s="20">
        <f>IF(Simulation!RB9&lt;Obligors!$I$9,1,0)</f>
        <v/>
      </c>
      <c r="RC9" s="20">
        <f>IF(Simulation!RC9&lt;Obligors!$I$9,1,0)</f>
        <v/>
      </c>
      <c r="RD9" s="20">
        <f>IF(Simulation!RD9&lt;Obligors!$I$9,1,0)</f>
        <v/>
      </c>
      <c r="RE9" s="20">
        <f>IF(Simulation!RE9&lt;Obligors!$I$9,1,0)</f>
        <v/>
      </c>
      <c r="RF9" s="20">
        <f>IF(Simulation!RF9&lt;Obligors!$I$9,1,0)</f>
        <v/>
      </c>
      <c r="RG9" s="20">
        <f>IF(Simulation!RG9&lt;Obligors!$I$9,1,0)</f>
        <v/>
      </c>
      <c r="RH9" s="20">
        <f>IF(Simulation!RH9&lt;Obligors!$I$9,1,0)</f>
        <v/>
      </c>
      <c r="RI9" s="20">
        <f>IF(Simulation!RI9&lt;Obligors!$I$9,1,0)</f>
        <v/>
      </c>
      <c r="RJ9" s="20">
        <f>IF(Simulation!RJ9&lt;Obligors!$I$9,1,0)</f>
        <v/>
      </c>
      <c r="RK9" s="20">
        <f>IF(Simulation!RK9&lt;Obligors!$I$9,1,0)</f>
        <v/>
      </c>
      <c r="RL9" s="20">
        <f>IF(Simulation!RL9&lt;Obligors!$I$9,1,0)</f>
        <v/>
      </c>
      <c r="RM9" s="20">
        <f>IF(Simulation!RM9&lt;Obligors!$I$9,1,0)</f>
        <v/>
      </c>
      <c r="RN9" s="20">
        <f>IF(Simulation!RN9&lt;Obligors!$I$9,1,0)</f>
        <v/>
      </c>
      <c r="RO9" s="20">
        <f>IF(Simulation!RO9&lt;Obligors!$I$9,1,0)</f>
        <v/>
      </c>
      <c r="RP9" s="20">
        <f>IF(Simulation!RP9&lt;Obligors!$I$9,1,0)</f>
        <v/>
      </c>
      <c r="RQ9" s="20">
        <f>IF(Simulation!RQ9&lt;Obligors!$I$9,1,0)</f>
        <v/>
      </c>
      <c r="RR9" s="20">
        <f>IF(Simulation!RR9&lt;Obligors!$I$9,1,0)</f>
        <v/>
      </c>
      <c r="RS9" s="20">
        <f>IF(Simulation!RS9&lt;Obligors!$I$9,1,0)</f>
        <v/>
      </c>
      <c r="RT9" s="20">
        <f>IF(Simulation!RT9&lt;Obligors!$I$9,1,0)</f>
        <v/>
      </c>
      <c r="RU9" s="20">
        <f>IF(Simulation!RU9&lt;Obligors!$I$9,1,0)</f>
        <v/>
      </c>
      <c r="RV9" s="20">
        <f>IF(Simulation!RV9&lt;Obligors!$I$9,1,0)</f>
        <v/>
      </c>
      <c r="RW9" s="20">
        <f>IF(Simulation!RW9&lt;Obligors!$I$9,1,0)</f>
        <v/>
      </c>
      <c r="RX9" s="20">
        <f>IF(Simulation!RX9&lt;Obligors!$I$9,1,0)</f>
        <v/>
      </c>
      <c r="RY9" s="20">
        <f>IF(Simulation!RY9&lt;Obligors!$I$9,1,0)</f>
        <v/>
      </c>
      <c r="RZ9" s="20">
        <f>IF(Simulation!RZ9&lt;Obligors!$I$9,1,0)</f>
        <v/>
      </c>
      <c r="SA9" s="20">
        <f>IF(Simulation!SA9&lt;Obligors!$I$9,1,0)</f>
        <v/>
      </c>
      <c r="SB9" s="20">
        <f>IF(Simulation!SB9&lt;Obligors!$I$9,1,0)</f>
        <v/>
      </c>
      <c r="SC9" s="20">
        <f>IF(Simulation!SC9&lt;Obligors!$I$9,1,0)</f>
        <v/>
      </c>
      <c r="SD9" s="20">
        <f>IF(Simulation!SD9&lt;Obligors!$I$9,1,0)</f>
        <v/>
      </c>
      <c r="SE9" s="20">
        <f>IF(Simulation!SE9&lt;Obligors!$I$9,1,0)</f>
        <v/>
      </c>
      <c r="SF9" s="20">
        <f>IF(Simulation!SF9&lt;Obligors!$I$9,1,0)</f>
        <v/>
      </c>
      <c r="SG9" s="20">
        <f>IF(Simulation!SG9&lt;Obligors!$I$9,1,0)</f>
        <v/>
      </c>
    </row>
    <row r="10">
      <c r="A10" s="17" t="inlineStr">
        <is>
          <t>OBL-009</t>
        </is>
      </c>
      <c r="B10" s="20">
        <f>IF(Simulation!B10&lt;Obligors!$I$10,1,0)</f>
        <v/>
      </c>
      <c r="C10" s="20">
        <f>IF(Simulation!C10&lt;Obligors!$I$10,1,0)</f>
        <v/>
      </c>
      <c r="D10" s="20">
        <f>IF(Simulation!D10&lt;Obligors!$I$10,1,0)</f>
        <v/>
      </c>
      <c r="E10" s="20">
        <f>IF(Simulation!E10&lt;Obligors!$I$10,1,0)</f>
        <v/>
      </c>
      <c r="F10" s="20">
        <f>IF(Simulation!F10&lt;Obligors!$I$10,1,0)</f>
        <v/>
      </c>
      <c r="G10" s="20">
        <f>IF(Simulation!G10&lt;Obligors!$I$10,1,0)</f>
        <v/>
      </c>
      <c r="H10" s="20">
        <f>IF(Simulation!H10&lt;Obligors!$I$10,1,0)</f>
        <v/>
      </c>
      <c r="I10" s="20">
        <f>IF(Simulation!I10&lt;Obligors!$I$10,1,0)</f>
        <v/>
      </c>
      <c r="J10" s="20">
        <f>IF(Simulation!J10&lt;Obligors!$I$10,1,0)</f>
        <v/>
      </c>
      <c r="K10" s="20">
        <f>IF(Simulation!K10&lt;Obligors!$I$10,1,0)</f>
        <v/>
      </c>
      <c r="L10" s="20">
        <f>IF(Simulation!L10&lt;Obligors!$I$10,1,0)</f>
        <v/>
      </c>
      <c r="M10" s="20">
        <f>IF(Simulation!M10&lt;Obligors!$I$10,1,0)</f>
        <v/>
      </c>
      <c r="N10" s="20">
        <f>IF(Simulation!N10&lt;Obligors!$I$10,1,0)</f>
        <v/>
      </c>
      <c r="O10" s="20">
        <f>IF(Simulation!O10&lt;Obligors!$I$10,1,0)</f>
        <v/>
      </c>
      <c r="P10" s="20">
        <f>IF(Simulation!P10&lt;Obligors!$I$10,1,0)</f>
        <v/>
      </c>
      <c r="Q10" s="20">
        <f>IF(Simulation!Q10&lt;Obligors!$I$10,1,0)</f>
        <v/>
      </c>
      <c r="R10" s="20">
        <f>IF(Simulation!R10&lt;Obligors!$I$10,1,0)</f>
        <v/>
      </c>
      <c r="S10" s="20">
        <f>IF(Simulation!S10&lt;Obligors!$I$10,1,0)</f>
        <v/>
      </c>
      <c r="T10" s="20">
        <f>IF(Simulation!T10&lt;Obligors!$I$10,1,0)</f>
        <v/>
      </c>
      <c r="U10" s="20">
        <f>IF(Simulation!U10&lt;Obligors!$I$10,1,0)</f>
        <v/>
      </c>
      <c r="V10" s="20">
        <f>IF(Simulation!V10&lt;Obligors!$I$10,1,0)</f>
        <v/>
      </c>
      <c r="W10" s="20">
        <f>IF(Simulation!W10&lt;Obligors!$I$10,1,0)</f>
        <v/>
      </c>
      <c r="X10" s="20">
        <f>IF(Simulation!X10&lt;Obligors!$I$10,1,0)</f>
        <v/>
      </c>
      <c r="Y10" s="20">
        <f>IF(Simulation!Y10&lt;Obligors!$I$10,1,0)</f>
        <v/>
      </c>
      <c r="Z10" s="20">
        <f>IF(Simulation!Z10&lt;Obligors!$I$10,1,0)</f>
        <v/>
      </c>
      <c r="AA10" s="20">
        <f>IF(Simulation!AA10&lt;Obligors!$I$10,1,0)</f>
        <v/>
      </c>
      <c r="AB10" s="20">
        <f>IF(Simulation!AB10&lt;Obligors!$I$10,1,0)</f>
        <v/>
      </c>
      <c r="AC10" s="20">
        <f>IF(Simulation!AC10&lt;Obligors!$I$10,1,0)</f>
        <v/>
      </c>
      <c r="AD10" s="20">
        <f>IF(Simulation!AD10&lt;Obligors!$I$10,1,0)</f>
        <v/>
      </c>
      <c r="AE10" s="20">
        <f>IF(Simulation!AE10&lt;Obligors!$I$10,1,0)</f>
        <v/>
      </c>
      <c r="AF10" s="20">
        <f>IF(Simulation!AF10&lt;Obligors!$I$10,1,0)</f>
        <v/>
      </c>
      <c r="AG10" s="20">
        <f>IF(Simulation!AG10&lt;Obligors!$I$10,1,0)</f>
        <v/>
      </c>
      <c r="AH10" s="20">
        <f>IF(Simulation!AH10&lt;Obligors!$I$10,1,0)</f>
        <v/>
      </c>
      <c r="AI10" s="20">
        <f>IF(Simulation!AI10&lt;Obligors!$I$10,1,0)</f>
        <v/>
      </c>
      <c r="AJ10" s="20">
        <f>IF(Simulation!AJ10&lt;Obligors!$I$10,1,0)</f>
        <v/>
      </c>
      <c r="AK10" s="20">
        <f>IF(Simulation!AK10&lt;Obligors!$I$10,1,0)</f>
        <v/>
      </c>
      <c r="AL10" s="20">
        <f>IF(Simulation!AL10&lt;Obligors!$I$10,1,0)</f>
        <v/>
      </c>
      <c r="AM10" s="20">
        <f>IF(Simulation!AM10&lt;Obligors!$I$10,1,0)</f>
        <v/>
      </c>
      <c r="AN10" s="20">
        <f>IF(Simulation!AN10&lt;Obligors!$I$10,1,0)</f>
        <v/>
      </c>
      <c r="AO10" s="20">
        <f>IF(Simulation!AO10&lt;Obligors!$I$10,1,0)</f>
        <v/>
      </c>
      <c r="AP10" s="20">
        <f>IF(Simulation!AP10&lt;Obligors!$I$10,1,0)</f>
        <v/>
      </c>
      <c r="AQ10" s="20">
        <f>IF(Simulation!AQ10&lt;Obligors!$I$10,1,0)</f>
        <v/>
      </c>
      <c r="AR10" s="20">
        <f>IF(Simulation!AR10&lt;Obligors!$I$10,1,0)</f>
        <v/>
      </c>
      <c r="AS10" s="20">
        <f>IF(Simulation!AS10&lt;Obligors!$I$10,1,0)</f>
        <v/>
      </c>
      <c r="AT10" s="20">
        <f>IF(Simulation!AT10&lt;Obligors!$I$10,1,0)</f>
        <v/>
      </c>
      <c r="AU10" s="20">
        <f>IF(Simulation!AU10&lt;Obligors!$I$10,1,0)</f>
        <v/>
      </c>
      <c r="AV10" s="20">
        <f>IF(Simulation!AV10&lt;Obligors!$I$10,1,0)</f>
        <v/>
      </c>
      <c r="AW10" s="20">
        <f>IF(Simulation!AW10&lt;Obligors!$I$10,1,0)</f>
        <v/>
      </c>
      <c r="AX10" s="20">
        <f>IF(Simulation!AX10&lt;Obligors!$I$10,1,0)</f>
        <v/>
      </c>
      <c r="AY10" s="20">
        <f>IF(Simulation!AY10&lt;Obligors!$I$10,1,0)</f>
        <v/>
      </c>
      <c r="AZ10" s="20">
        <f>IF(Simulation!AZ10&lt;Obligors!$I$10,1,0)</f>
        <v/>
      </c>
      <c r="BA10" s="20">
        <f>IF(Simulation!BA10&lt;Obligors!$I$10,1,0)</f>
        <v/>
      </c>
      <c r="BB10" s="20">
        <f>IF(Simulation!BB10&lt;Obligors!$I$10,1,0)</f>
        <v/>
      </c>
      <c r="BC10" s="20">
        <f>IF(Simulation!BC10&lt;Obligors!$I$10,1,0)</f>
        <v/>
      </c>
      <c r="BD10" s="20">
        <f>IF(Simulation!BD10&lt;Obligors!$I$10,1,0)</f>
        <v/>
      </c>
      <c r="BE10" s="20">
        <f>IF(Simulation!BE10&lt;Obligors!$I$10,1,0)</f>
        <v/>
      </c>
      <c r="BF10" s="20">
        <f>IF(Simulation!BF10&lt;Obligors!$I$10,1,0)</f>
        <v/>
      </c>
      <c r="BG10" s="20">
        <f>IF(Simulation!BG10&lt;Obligors!$I$10,1,0)</f>
        <v/>
      </c>
      <c r="BH10" s="20">
        <f>IF(Simulation!BH10&lt;Obligors!$I$10,1,0)</f>
        <v/>
      </c>
      <c r="BI10" s="20">
        <f>IF(Simulation!BI10&lt;Obligors!$I$10,1,0)</f>
        <v/>
      </c>
      <c r="BJ10" s="20">
        <f>IF(Simulation!BJ10&lt;Obligors!$I$10,1,0)</f>
        <v/>
      </c>
      <c r="BK10" s="20">
        <f>IF(Simulation!BK10&lt;Obligors!$I$10,1,0)</f>
        <v/>
      </c>
      <c r="BL10" s="20">
        <f>IF(Simulation!BL10&lt;Obligors!$I$10,1,0)</f>
        <v/>
      </c>
      <c r="BM10" s="20">
        <f>IF(Simulation!BM10&lt;Obligors!$I$10,1,0)</f>
        <v/>
      </c>
      <c r="BN10" s="20">
        <f>IF(Simulation!BN10&lt;Obligors!$I$10,1,0)</f>
        <v/>
      </c>
      <c r="BO10" s="20">
        <f>IF(Simulation!BO10&lt;Obligors!$I$10,1,0)</f>
        <v/>
      </c>
      <c r="BP10" s="20">
        <f>IF(Simulation!BP10&lt;Obligors!$I$10,1,0)</f>
        <v/>
      </c>
      <c r="BQ10" s="20">
        <f>IF(Simulation!BQ10&lt;Obligors!$I$10,1,0)</f>
        <v/>
      </c>
      <c r="BR10" s="20">
        <f>IF(Simulation!BR10&lt;Obligors!$I$10,1,0)</f>
        <v/>
      </c>
      <c r="BS10" s="20">
        <f>IF(Simulation!BS10&lt;Obligors!$I$10,1,0)</f>
        <v/>
      </c>
      <c r="BT10" s="20">
        <f>IF(Simulation!BT10&lt;Obligors!$I$10,1,0)</f>
        <v/>
      </c>
      <c r="BU10" s="20">
        <f>IF(Simulation!BU10&lt;Obligors!$I$10,1,0)</f>
        <v/>
      </c>
      <c r="BV10" s="20">
        <f>IF(Simulation!BV10&lt;Obligors!$I$10,1,0)</f>
        <v/>
      </c>
      <c r="BW10" s="20">
        <f>IF(Simulation!BW10&lt;Obligors!$I$10,1,0)</f>
        <v/>
      </c>
      <c r="BX10" s="20">
        <f>IF(Simulation!BX10&lt;Obligors!$I$10,1,0)</f>
        <v/>
      </c>
      <c r="BY10" s="20">
        <f>IF(Simulation!BY10&lt;Obligors!$I$10,1,0)</f>
        <v/>
      </c>
      <c r="BZ10" s="20">
        <f>IF(Simulation!BZ10&lt;Obligors!$I$10,1,0)</f>
        <v/>
      </c>
      <c r="CA10" s="20">
        <f>IF(Simulation!CA10&lt;Obligors!$I$10,1,0)</f>
        <v/>
      </c>
      <c r="CB10" s="20">
        <f>IF(Simulation!CB10&lt;Obligors!$I$10,1,0)</f>
        <v/>
      </c>
      <c r="CC10" s="20">
        <f>IF(Simulation!CC10&lt;Obligors!$I$10,1,0)</f>
        <v/>
      </c>
      <c r="CD10" s="20">
        <f>IF(Simulation!CD10&lt;Obligors!$I$10,1,0)</f>
        <v/>
      </c>
      <c r="CE10" s="20">
        <f>IF(Simulation!CE10&lt;Obligors!$I$10,1,0)</f>
        <v/>
      </c>
      <c r="CF10" s="20">
        <f>IF(Simulation!CF10&lt;Obligors!$I$10,1,0)</f>
        <v/>
      </c>
      <c r="CG10" s="20">
        <f>IF(Simulation!CG10&lt;Obligors!$I$10,1,0)</f>
        <v/>
      </c>
      <c r="CH10" s="20">
        <f>IF(Simulation!CH10&lt;Obligors!$I$10,1,0)</f>
        <v/>
      </c>
      <c r="CI10" s="20">
        <f>IF(Simulation!CI10&lt;Obligors!$I$10,1,0)</f>
        <v/>
      </c>
      <c r="CJ10" s="20">
        <f>IF(Simulation!CJ10&lt;Obligors!$I$10,1,0)</f>
        <v/>
      </c>
      <c r="CK10" s="20">
        <f>IF(Simulation!CK10&lt;Obligors!$I$10,1,0)</f>
        <v/>
      </c>
      <c r="CL10" s="20">
        <f>IF(Simulation!CL10&lt;Obligors!$I$10,1,0)</f>
        <v/>
      </c>
      <c r="CM10" s="20">
        <f>IF(Simulation!CM10&lt;Obligors!$I$10,1,0)</f>
        <v/>
      </c>
      <c r="CN10" s="20">
        <f>IF(Simulation!CN10&lt;Obligors!$I$10,1,0)</f>
        <v/>
      </c>
      <c r="CO10" s="20">
        <f>IF(Simulation!CO10&lt;Obligors!$I$10,1,0)</f>
        <v/>
      </c>
      <c r="CP10" s="20">
        <f>IF(Simulation!CP10&lt;Obligors!$I$10,1,0)</f>
        <v/>
      </c>
      <c r="CQ10" s="20">
        <f>IF(Simulation!CQ10&lt;Obligors!$I$10,1,0)</f>
        <v/>
      </c>
      <c r="CR10" s="20">
        <f>IF(Simulation!CR10&lt;Obligors!$I$10,1,0)</f>
        <v/>
      </c>
      <c r="CS10" s="20">
        <f>IF(Simulation!CS10&lt;Obligors!$I$10,1,0)</f>
        <v/>
      </c>
      <c r="CT10" s="20">
        <f>IF(Simulation!CT10&lt;Obligors!$I$10,1,0)</f>
        <v/>
      </c>
      <c r="CU10" s="20">
        <f>IF(Simulation!CU10&lt;Obligors!$I$10,1,0)</f>
        <v/>
      </c>
      <c r="CV10" s="20">
        <f>IF(Simulation!CV10&lt;Obligors!$I$10,1,0)</f>
        <v/>
      </c>
      <c r="CW10" s="20">
        <f>IF(Simulation!CW10&lt;Obligors!$I$10,1,0)</f>
        <v/>
      </c>
      <c r="CX10" s="20">
        <f>IF(Simulation!CX10&lt;Obligors!$I$10,1,0)</f>
        <v/>
      </c>
      <c r="CY10" s="20">
        <f>IF(Simulation!CY10&lt;Obligors!$I$10,1,0)</f>
        <v/>
      </c>
      <c r="CZ10" s="20">
        <f>IF(Simulation!CZ10&lt;Obligors!$I$10,1,0)</f>
        <v/>
      </c>
      <c r="DA10" s="20">
        <f>IF(Simulation!DA10&lt;Obligors!$I$10,1,0)</f>
        <v/>
      </c>
      <c r="DB10" s="20">
        <f>IF(Simulation!DB10&lt;Obligors!$I$10,1,0)</f>
        <v/>
      </c>
      <c r="DC10" s="20">
        <f>IF(Simulation!DC10&lt;Obligors!$I$10,1,0)</f>
        <v/>
      </c>
      <c r="DD10" s="20">
        <f>IF(Simulation!DD10&lt;Obligors!$I$10,1,0)</f>
        <v/>
      </c>
      <c r="DE10" s="20">
        <f>IF(Simulation!DE10&lt;Obligors!$I$10,1,0)</f>
        <v/>
      </c>
      <c r="DF10" s="20">
        <f>IF(Simulation!DF10&lt;Obligors!$I$10,1,0)</f>
        <v/>
      </c>
      <c r="DG10" s="20">
        <f>IF(Simulation!DG10&lt;Obligors!$I$10,1,0)</f>
        <v/>
      </c>
      <c r="DH10" s="20">
        <f>IF(Simulation!DH10&lt;Obligors!$I$10,1,0)</f>
        <v/>
      </c>
      <c r="DI10" s="20">
        <f>IF(Simulation!DI10&lt;Obligors!$I$10,1,0)</f>
        <v/>
      </c>
      <c r="DJ10" s="20">
        <f>IF(Simulation!DJ10&lt;Obligors!$I$10,1,0)</f>
        <v/>
      </c>
      <c r="DK10" s="20">
        <f>IF(Simulation!DK10&lt;Obligors!$I$10,1,0)</f>
        <v/>
      </c>
      <c r="DL10" s="20">
        <f>IF(Simulation!DL10&lt;Obligors!$I$10,1,0)</f>
        <v/>
      </c>
      <c r="DM10" s="20">
        <f>IF(Simulation!DM10&lt;Obligors!$I$10,1,0)</f>
        <v/>
      </c>
      <c r="DN10" s="20">
        <f>IF(Simulation!DN10&lt;Obligors!$I$10,1,0)</f>
        <v/>
      </c>
      <c r="DO10" s="20">
        <f>IF(Simulation!DO10&lt;Obligors!$I$10,1,0)</f>
        <v/>
      </c>
      <c r="DP10" s="20">
        <f>IF(Simulation!DP10&lt;Obligors!$I$10,1,0)</f>
        <v/>
      </c>
      <c r="DQ10" s="20">
        <f>IF(Simulation!DQ10&lt;Obligors!$I$10,1,0)</f>
        <v/>
      </c>
      <c r="DR10" s="20">
        <f>IF(Simulation!DR10&lt;Obligors!$I$10,1,0)</f>
        <v/>
      </c>
      <c r="DS10" s="20">
        <f>IF(Simulation!DS10&lt;Obligors!$I$10,1,0)</f>
        <v/>
      </c>
      <c r="DT10" s="20">
        <f>IF(Simulation!DT10&lt;Obligors!$I$10,1,0)</f>
        <v/>
      </c>
      <c r="DU10" s="20">
        <f>IF(Simulation!DU10&lt;Obligors!$I$10,1,0)</f>
        <v/>
      </c>
      <c r="DV10" s="20">
        <f>IF(Simulation!DV10&lt;Obligors!$I$10,1,0)</f>
        <v/>
      </c>
      <c r="DW10" s="20">
        <f>IF(Simulation!DW10&lt;Obligors!$I$10,1,0)</f>
        <v/>
      </c>
      <c r="DX10" s="20">
        <f>IF(Simulation!DX10&lt;Obligors!$I$10,1,0)</f>
        <v/>
      </c>
      <c r="DY10" s="20">
        <f>IF(Simulation!DY10&lt;Obligors!$I$10,1,0)</f>
        <v/>
      </c>
      <c r="DZ10" s="20">
        <f>IF(Simulation!DZ10&lt;Obligors!$I$10,1,0)</f>
        <v/>
      </c>
      <c r="EA10" s="20">
        <f>IF(Simulation!EA10&lt;Obligors!$I$10,1,0)</f>
        <v/>
      </c>
      <c r="EB10" s="20">
        <f>IF(Simulation!EB10&lt;Obligors!$I$10,1,0)</f>
        <v/>
      </c>
      <c r="EC10" s="20">
        <f>IF(Simulation!EC10&lt;Obligors!$I$10,1,0)</f>
        <v/>
      </c>
      <c r="ED10" s="20">
        <f>IF(Simulation!ED10&lt;Obligors!$I$10,1,0)</f>
        <v/>
      </c>
      <c r="EE10" s="20">
        <f>IF(Simulation!EE10&lt;Obligors!$I$10,1,0)</f>
        <v/>
      </c>
      <c r="EF10" s="20">
        <f>IF(Simulation!EF10&lt;Obligors!$I$10,1,0)</f>
        <v/>
      </c>
      <c r="EG10" s="20">
        <f>IF(Simulation!EG10&lt;Obligors!$I$10,1,0)</f>
        <v/>
      </c>
      <c r="EH10" s="20">
        <f>IF(Simulation!EH10&lt;Obligors!$I$10,1,0)</f>
        <v/>
      </c>
      <c r="EI10" s="20">
        <f>IF(Simulation!EI10&lt;Obligors!$I$10,1,0)</f>
        <v/>
      </c>
      <c r="EJ10" s="20">
        <f>IF(Simulation!EJ10&lt;Obligors!$I$10,1,0)</f>
        <v/>
      </c>
      <c r="EK10" s="20">
        <f>IF(Simulation!EK10&lt;Obligors!$I$10,1,0)</f>
        <v/>
      </c>
      <c r="EL10" s="20">
        <f>IF(Simulation!EL10&lt;Obligors!$I$10,1,0)</f>
        <v/>
      </c>
      <c r="EM10" s="20">
        <f>IF(Simulation!EM10&lt;Obligors!$I$10,1,0)</f>
        <v/>
      </c>
      <c r="EN10" s="20">
        <f>IF(Simulation!EN10&lt;Obligors!$I$10,1,0)</f>
        <v/>
      </c>
      <c r="EO10" s="20">
        <f>IF(Simulation!EO10&lt;Obligors!$I$10,1,0)</f>
        <v/>
      </c>
      <c r="EP10" s="20">
        <f>IF(Simulation!EP10&lt;Obligors!$I$10,1,0)</f>
        <v/>
      </c>
      <c r="EQ10" s="20">
        <f>IF(Simulation!EQ10&lt;Obligors!$I$10,1,0)</f>
        <v/>
      </c>
      <c r="ER10" s="20">
        <f>IF(Simulation!ER10&lt;Obligors!$I$10,1,0)</f>
        <v/>
      </c>
      <c r="ES10" s="20">
        <f>IF(Simulation!ES10&lt;Obligors!$I$10,1,0)</f>
        <v/>
      </c>
      <c r="ET10" s="20">
        <f>IF(Simulation!ET10&lt;Obligors!$I$10,1,0)</f>
        <v/>
      </c>
      <c r="EU10" s="20">
        <f>IF(Simulation!EU10&lt;Obligors!$I$10,1,0)</f>
        <v/>
      </c>
      <c r="EV10" s="20">
        <f>IF(Simulation!EV10&lt;Obligors!$I$10,1,0)</f>
        <v/>
      </c>
      <c r="EW10" s="20">
        <f>IF(Simulation!EW10&lt;Obligors!$I$10,1,0)</f>
        <v/>
      </c>
      <c r="EX10" s="20">
        <f>IF(Simulation!EX10&lt;Obligors!$I$10,1,0)</f>
        <v/>
      </c>
      <c r="EY10" s="20">
        <f>IF(Simulation!EY10&lt;Obligors!$I$10,1,0)</f>
        <v/>
      </c>
      <c r="EZ10" s="20">
        <f>IF(Simulation!EZ10&lt;Obligors!$I$10,1,0)</f>
        <v/>
      </c>
      <c r="FA10" s="20">
        <f>IF(Simulation!FA10&lt;Obligors!$I$10,1,0)</f>
        <v/>
      </c>
      <c r="FB10" s="20">
        <f>IF(Simulation!FB10&lt;Obligors!$I$10,1,0)</f>
        <v/>
      </c>
      <c r="FC10" s="20">
        <f>IF(Simulation!FC10&lt;Obligors!$I$10,1,0)</f>
        <v/>
      </c>
      <c r="FD10" s="20">
        <f>IF(Simulation!FD10&lt;Obligors!$I$10,1,0)</f>
        <v/>
      </c>
      <c r="FE10" s="20">
        <f>IF(Simulation!FE10&lt;Obligors!$I$10,1,0)</f>
        <v/>
      </c>
      <c r="FF10" s="20">
        <f>IF(Simulation!FF10&lt;Obligors!$I$10,1,0)</f>
        <v/>
      </c>
      <c r="FG10" s="20">
        <f>IF(Simulation!FG10&lt;Obligors!$I$10,1,0)</f>
        <v/>
      </c>
      <c r="FH10" s="20">
        <f>IF(Simulation!FH10&lt;Obligors!$I$10,1,0)</f>
        <v/>
      </c>
      <c r="FI10" s="20">
        <f>IF(Simulation!FI10&lt;Obligors!$I$10,1,0)</f>
        <v/>
      </c>
      <c r="FJ10" s="20">
        <f>IF(Simulation!FJ10&lt;Obligors!$I$10,1,0)</f>
        <v/>
      </c>
      <c r="FK10" s="20">
        <f>IF(Simulation!FK10&lt;Obligors!$I$10,1,0)</f>
        <v/>
      </c>
      <c r="FL10" s="20">
        <f>IF(Simulation!FL10&lt;Obligors!$I$10,1,0)</f>
        <v/>
      </c>
      <c r="FM10" s="20">
        <f>IF(Simulation!FM10&lt;Obligors!$I$10,1,0)</f>
        <v/>
      </c>
      <c r="FN10" s="20">
        <f>IF(Simulation!FN10&lt;Obligors!$I$10,1,0)</f>
        <v/>
      </c>
      <c r="FO10" s="20">
        <f>IF(Simulation!FO10&lt;Obligors!$I$10,1,0)</f>
        <v/>
      </c>
      <c r="FP10" s="20">
        <f>IF(Simulation!FP10&lt;Obligors!$I$10,1,0)</f>
        <v/>
      </c>
      <c r="FQ10" s="20">
        <f>IF(Simulation!FQ10&lt;Obligors!$I$10,1,0)</f>
        <v/>
      </c>
      <c r="FR10" s="20">
        <f>IF(Simulation!FR10&lt;Obligors!$I$10,1,0)</f>
        <v/>
      </c>
      <c r="FS10" s="20">
        <f>IF(Simulation!FS10&lt;Obligors!$I$10,1,0)</f>
        <v/>
      </c>
      <c r="FT10" s="20">
        <f>IF(Simulation!FT10&lt;Obligors!$I$10,1,0)</f>
        <v/>
      </c>
      <c r="FU10" s="20">
        <f>IF(Simulation!FU10&lt;Obligors!$I$10,1,0)</f>
        <v/>
      </c>
      <c r="FV10" s="20">
        <f>IF(Simulation!FV10&lt;Obligors!$I$10,1,0)</f>
        <v/>
      </c>
      <c r="FW10" s="20">
        <f>IF(Simulation!FW10&lt;Obligors!$I$10,1,0)</f>
        <v/>
      </c>
      <c r="FX10" s="20">
        <f>IF(Simulation!FX10&lt;Obligors!$I$10,1,0)</f>
        <v/>
      </c>
      <c r="FY10" s="20">
        <f>IF(Simulation!FY10&lt;Obligors!$I$10,1,0)</f>
        <v/>
      </c>
      <c r="FZ10" s="20">
        <f>IF(Simulation!FZ10&lt;Obligors!$I$10,1,0)</f>
        <v/>
      </c>
      <c r="GA10" s="20">
        <f>IF(Simulation!GA10&lt;Obligors!$I$10,1,0)</f>
        <v/>
      </c>
      <c r="GB10" s="20">
        <f>IF(Simulation!GB10&lt;Obligors!$I$10,1,0)</f>
        <v/>
      </c>
      <c r="GC10" s="20">
        <f>IF(Simulation!GC10&lt;Obligors!$I$10,1,0)</f>
        <v/>
      </c>
      <c r="GD10" s="20">
        <f>IF(Simulation!GD10&lt;Obligors!$I$10,1,0)</f>
        <v/>
      </c>
      <c r="GE10" s="20">
        <f>IF(Simulation!GE10&lt;Obligors!$I$10,1,0)</f>
        <v/>
      </c>
      <c r="GF10" s="20">
        <f>IF(Simulation!GF10&lt;Obligors!$I$10,1,0)</f>
        <v/>
      </c>
      <c r="GG10" s="20">
        <f>IF(Simulation!GG10&lt;Obligors!$I$10,1,0)</f>
        <v/>
      </c>
      <c r="GH10" s="20">
        <f>IF(Simulation!GH10&lt;Obligors!$I$10,1,0)</f>
        <v/>
      </c>
      <c r="GI10" s="20">
        <f>IF(Simulation!GI10&lt;Obligors!$I$10,1,0)</f>
        <v/>
      </c>
      <c r="GJ10" s="20">
        <f>IF(Simulation!GJ10&lt;Obligors!$I$10,1,0)</f>
        <v/>
      </c>
      <c r="GK10" s="20">
        <f>IF(Simulation!GK10&lt;Obligors!$I$10,1,0)</f>
        <v/>
      </c>
      <c r="GL10" s="20">
        <f>IF(Simulation!GL10&lt;Obligors!$I$10,1,0)</f>
        <v/>
      </c>
      <c r="GM10" s="20">
        <f>IF(Simulation!GM10&lt;Obligors!$I$10,1,0)</f>
        <v/>
      </c>
      <c r="GN10" s="20">
        <f>IF(Simulation!GN10&lt;Obligors!$I$10,1,0)</f>
        <v/>
      </c>
      <c r="GO10" s="20">
        <f>IF(Simulation!GO10&lt;Obligors!$I$10,1,0)</f>
        <v/>
      </c>
      <c r="GP10" s="20">
        <f>IF(Simulation!GP10&lt;Obligors!$I$10,1,0)</f>
        <v/>
      </c>
      <c r="GQ10" s="20">
        <f>IF(Simulation!GQ10&lt;Obligors!$I$10,1,0)</f>
        <v/>
      </c>
      <c r="GR10" s="20">
        <f>IF(Simulation!GR10&lt;Obligors!$I$10,1,0)</f>
        <v/>
      </c>
      <c r="GS10" s="20">
        <f>IF(Simulation!GS10&lt;Obligors!$I$10,1,0)</f>
        <v/>
      </c>
      <c r="GT10" s="20">
        <f>IF(Simulation!GT10&lt;Obligors!$I$10,1,0)</f>
        <v/>
      </c>
      <c r="GU10" s="20">
        <f>IF(Simulation!GU10&lt;Obligors!$I$10,1,0)</f>
        <v/>
      </c>
      <c r="GV10" s="20">
        <f>IF(Simulation!GV10&lt;Obligors!$I$10,1,0)</f>
        <v/>
      </c>
      <c r="GW10" s="20">
        <f>IF(Simulation!GW10&lt;Obligors!$I$10,1,0)</f>
        <v/>
      </c>
      <c r="GX10" s="20">
        <f>IF(Simulation!GX10&lt;Obligors!$I$10,1,0)</f>
        <v/>
      </c>
      <c r="GY10" s="20">
        <f>IF(Simulation!GY10&lt;Obligors!$I$10,1,0)</f>
        <v/>
      </c>
      <c r="GZ10" s="20">
        <f>IF(Simulation!GZ10&lt;Obligors!$I$10,1,0)</f>
        <v/>
      </c>
      <c r="HA10" s="20">
        <f>IF(Simulation!HA10&lt;Obligors!$I$10,1,0)</f>
        <v/>
      </c>
      <c r="HB10" s="20">
        <f>IF(Simulation!HB10&lt;Obligors!$I$10,1,0)</f>
        <v/>
      </c>
      <c r="HC10" s="20">
        <f>IF(Simulation!HC10&lt;Obligors!$I$10,1,0)</f>
        <v/>
      </c>
      <c r="HD10" s="20">
        <f>IF(Simulation!HD10&lt;Obligors!$I$10,1,0)</f>
        <v/>
      </c>
      <c r="HE10" s="20">
        <f>IF(Simulation!HE10&lt;Obligors!$I$10,1,0)</f>
        <v/>
      </c>
      <c r="HF10" s="20">
        <f>IF(Simulation!HF10&lt;Obligors!$I$10,1,0)</f>
        <v/>
      </c>
      <c r="HG10" s="20">
        <f>IF(Simulation!HG10&lt;Obligors!$I$10,1,0)</f>
        <v/>
      </c>
      <c r="HH10" s="20">
        <f>IF(Simulation!HH10&lt;Obligors!$I$10,1,0)</f>
        <v/>
      </c>
      <c r="HI10" s="20">
        <f>IF(Simulation!HI10&lt;Obligors!$I$10,1,0)</f>
        <v/>
      </c>
      <c r="HJ10" s="20">
        <f>IF(Simulation!HJ10&lt;Obligors!$I$10,1,0)</f>
        <v/>
      </c>
      <c r="HK10" s="20">
        <f>IF(Simulation!HK10&lt;Obligors!$I$10,1,0)</f>
        <v/>
      </c>
      <c r="HL10" s="20">
        <f>IF(Simulation!HL10&lt;Obligors!$I$10,1,0)</f>
        <v/>
      </c>
      <c r="HM10" s="20">
        <f>IF(Simulation!HM10&lt;Obligors!$I$10,1,0)</f>
        <v/>
      </c>
      <c r="HN10" s="20">
        <f>IF(Simulation!HN10&lt;Obligors!$I$10,1,0)</f>
        <v/>
      </c>
      <c r="HO10" s="20">
        <f>IF(Simulation!HO10&lt;Obligors!$I$10,1,0)</f>
        <v/>
      </c>
      <c r="HP10" s="20">
        <f>IF(Simulation!HP10&lt;Obligors!$I$10,1,0)</f>
        <v/>
      </c>
      <c r="HQ10" s="20">
        <f>IF(Simulation!HQ10&lt;Obligors!$I$10,1,0)</f>
        <v/>
      </c>
      <c r="HR10" s="20">
        <f>IF(Simulation!HR10&lt;Obligors!$I$10,1,0)</f>
        <v/>
      </c>
      <c r="HS10" s="20">
        <f>IF(Simulation!HS10&lt;Obligors!$I$10,1,0)</f>
        <v/>
      </c>
      <c r="HT10" s="20">
        <f>IF(Simulation!HT10&lt;Obligors!$I$10,1,0)</f>
        <v/>
      </c>
      <c r="HU10" s="20">
        <f>IF(Simulation!HU10&lt;Obligors!$I$10,1,0)</f>
        <v/>
      </c>
      <c r="HV10" s="20">
        <f>IF(Simulation!HV10&lt;Obligors!$I$10,1,0)</f>
        <v/>
      </c>
      <c r="HW10" s="20">
        <f>IF(Simulation!HW10&lt;Obligors!$I$10,1,0)</f>
        <v/>
      </c>
      <c r="HX10" s="20">
        <f>IF(Simulation!HX10&lt;Obligors!$I$10,1,0)</f>
        <v/>
      </c>
      <c r="HY10" s="20">
        <f>IF(Simulation!HY10&lt;Obligors!$I$10,1,0)</f>
        <v/>
      </c>
      <c r="HZ10" s="20">
        <f>IF(Simulation!HZ10&lt;Obligors!$I$10,1,0)</f>
        <v/>
      </c>
      <c r="IA10" s="20">
        <f>IF(Simulation!IA10&lt;Obligors!$I$10,1,0)</f>
        <v/>
      </c>
      <c r="IB10" s="20">
        <f>IF(Simulation!IB10&lt;Obligors!$I$10,1,0)</f>
        <v/>
      </c>
      <c r="IC10" s="20">
        <f>IF(Simulation!IC10&lt;Obligors!$I$10,1,0)</f>
        <v/>
      </c>
      <c r="ID10" s="20">
        <f>IF(Simulation!ID10&lt;Obligors!$I$10,1,0)</f>
        <v/>
      </c>
      <c r="IE10" s="20">
        <f>IF(Simulation!IE10&lt;Obligors!$I$10,1,0)</f>
        <v/>
      </c>
      <c r="IF10" s="20">
        <f>IF(Simulation!IF10&lt;Obligors!$I$10,1,0)</f>
        <v/>
      </c>
      <c r="IG10" s="20">
        <f>IF(Simulation!IG10&lt;Obligors!$I$10,1,0)</f>
        <v/>
      </c>
      <c r="IH10" s="20">
        <f>IF(Simulation!IH10&lt;Obligors!$I$10,1,0)</f>
        <v/>
      </c>
      <c r="II10" s="20">
        <f>IF(Simulation!II10&lt;Obligors!$I$10,1,0)</f>
        <v/>
      </c>
      <c r="IJ10" s="20">
        <f>IF(Simulation!IJ10&lt;Obligors!$I$10,1,0)</f>
        <v/>
      </c>
      <c r="IK10" s="20">
        <f>IF(Simulation!IK10&lt;Obligors!$I$10,1,0)</f>
        <v/>
      </c>
      <c r="IL10" s="20">
        <f>IF(Simulation!IL10&lt;Obligors!$I$10,1,0)</f>
        <v/>
      </c>
      <c r="IM10" s="20">
        <f>IF(Simulation!IM10&lt;Obligors!$I$10,1,0)</f>
        <v/>
      </c>
      <c r="IN10" s="20">
        <f>IF(Simulation!IN10&lt;Obligors!$I$10,1,0)</f>
        <v/>
      </c>
      <c r="IO10" s="20">
        <f>IF(Simulation!IO10&lt;Obligors!$I$10,1,0)</f>
        <v/>
      </c>
      <c r="IP10" s="20">
        <f>IF(Simulation!IP10&lt;Obligors!$I$10,1,0)</f>
        <v/>
      </c>
      <c r="IQ10" s="20">
        <f>IF(Simulation!IQ10&lt;Obligors!$I$10,1,0)</f>
        <v/>
      </c>
      <c r="IR10" s="20">
        <f>IF(Simulation!IR10&lt;Obligors!$I$10,1,0)</f>
        <v/>
      </c>
      <c r="IS10" s="20">
        <f>IF(Simulation!IS10&lt;Obligors!$I$10,1,0)</f>
        <v/>
      </c>
      <c r="IT10" s="20">
        <f>IF(Simulation!IT10&lt;Obligors!$I$10,1,0)</f>
        <v/>
      </c>
      <c r="IU10" s="20">
        <f>IF(Simulation!IU10&lt;Obligors!$I$10,1,0)</f>
        <v/>
      </c>
      <c r="IV10" s="20">
        <f>IF(Simulation!IV10&lt;Obligors!$I$10,1,0)</f>
        <v/>
      </c>
      <c r="IW10" s="20">
        <f>IF(Simulation!IW10&lt;Obligors!$I$10,1,0)</f>
        <v/>
      </c>
      <c r="IX10" s="20">
        <f>IF(Simulation!IX10&lt;Obligors!$I$10,1,0)</f>
        <v/>
      </c>
      <c r="IY10" s="20">
        <f>IF(Simulation!IY10&lt;Obligors!$I$10,1,0)</f>
        <v/>
      </c>
      <c r="IZ10" s="20">
        <f>IF(Simulation!IZ10&lt;Obligors!$I$10,1,0)</f>
        <v/>
      </c>
      <c r="JA10" s="20">
        <f>IF(Simulation!JA10&lt;Obligors!$I$10,1,0)</f>
        <v/>
      </c>
      <c r="JB10" s="20">
        <f>IF(Simulation!JB10&lt;Obligors!$I$10,1,0)</f>
        <v/>
      </c>
      <c r="JC10" s="20">
        <f>IF(Simulation!JC10&lt;Obligors!$I$10,1,0)</f>
        <v/>
      </c>
      <c r="JD10" s="20">
        <f>IF(Simulation!JD10&lt;Obligors!$I$10,1,0)</f>
        <v/>
      </c>
      <c r="JE10" s="20">
        <f>IF(Simulation!JE10&lt;Obligors!$I$10,1,0)</f>
        <v/>
      </c>
      <c r="JF10" s="20">
        <f>IF(Simulation!JF10&lt;Obligors!$I$10,1,0)</f>
        <v/>
      </c>
      <c r="JG10" s="20">
        <f>IF(Simulation!JG10&lt;Obligors!$I$10,1,0)</f>
        <v/>
      </c>
      <c r="JH10" s="20">
        <f>IF(Simulation!JH10&lt;Obligors!$I$10,1,0)</f>
        <v/>
      </c>
      <c r="JI10" s="20">
        <f>IF(Simulation!JI10&lt;Obligors!$I$10,1,0)</f>
        <v/>
      </c>
      <c r="JJ10" s="20">
        <f>IF(Simulation!JJ10&lt;Obligors!$I$10,1,0)</f>
        <v/>
      </c>
      <c r="JK10" s="20">
        <f>IF(Simulation!JK10&lt;Obligors!$I$10,1,0)</f>
        <v/>
      </c>
      <c r="JL10" s="20">
        <f>IF(Simulation!JL10&lt;Obligors!$I$10,1,0)</f>
        <v/>
      </c>
      <c r="JM10" s="20">
        <f>IF(Simulation!JM10&lt;Obligors!$I$10,1,0)</f>
        <v/>
      </c>
      <c r="JN10" s="20">
        <f>IF(Simulation!JN10&lt;Obligors!$I$10,1,0)</f>
        <v/>
      </c>
      <c r="JO10" s="20">
        <f>IF(Simulation!JO10&lt;Obligors!$I$10,1,0)</f>
        <v/>
      </c>
      <c r="JP10" s="20">
        <f>IF(Simulation!JP10&lt;Obligors!$I$10,1,0)</f>
        <v/>
      </c>
      <c r="JQ10" s="20">
        <f>IF(Simulation!JQ10&lt;Obligors!$I$10,1,0)</f>
        <v/>
      </c>
      <c r="JR10" s="20">
        <f>IF(Simulation!JR10&lt;Obligors!$I$10,1,0)</f>
        <v/>
      </c>
      <c r="JS10" s="20">
        <f>IF(Simulation!JS10&lt;Obligors!$I$10,1,0)</f>
        <v/>
      </c>
      <c r="JT10" s="20">
        <f>IF(Simulation!JT10&lt;Obligors!$I$10,1,0)</f>
        <v/>
      </c>
      <c r="JU10" s="20">
        <f>IF(Simulation!JU10&lt;Obligors!$I$10,1,0)</f>
        <v/>
      </c>
      <c r="JV10" s="20">
        <f>IF(Simulation!JV10&lt;Obligors!$I$10,1,0)</f>
        <v/>
      </c>
      <c r="JW10" s="20">
        <f>IF(Simulation!JW10&lt;Obligors!$I$10,1,0)</f>
        <v/>
      </c>
      <c r="JX10" s="20">
        <f>IF(Simulation!JX10&lt;Obligors!$I$10,1,0)</f>
        <v/>
      </c>
      <c r="JY10" s="20">
        <f>IF(Simulation!JY10&lt;Obligors!$I$10,1,0)</f>
        <v/>
      </c>
      <c r="JZ10" s="20">
        <f>IF(Simulation!JZ10&lt;Obligors!$I$10,1,0)</f>
        <v/>
      </c>
      <c r="KA10" s="20">
        <f>IF(Simulation!KA10&lt;Obligors!$I$10,1,0)</f>
        <v/>
      </c>
      <c r="KB10" s="20">
        <f>IF(Simulation!KB10&lt;Obligors!$I$10,1,0)</f>
        <v/>
      </c>
      <c r="KC10" s="20">
        <f>IF(Simulation!KC10&lt;Obligors!$I$10,1,0)</f>
        <v/>
      </c>
      <c r="KD10" s="20">
        <f>IF(Simulation!KD10&lt;Obligors!$I$10,1,0)</f>
        <v/>
      </c>
      <c r="KE10" s="20">
        <f>IF(Simulation!KE10&lt;Obligors!$I$10,1,0)</f>
        <v/>
      </c>
      <c r="KF10" s="20">
        <f>IF(Simulation!KF10&lt;Obligors!$I$10,1,0)</f>
        <v/>
      </c>
      <c r="KG10" s="20">
        <f>IF(Simulation!KG10&lt;Obligors!$I$10,1,0)</f>
        <v/>
      </c>
      <c r="KH10" s="20">
        <f>IF(Simulation!KH10&lt;Obligors!$I$10,1,0)</f>
        <v/>
      </c>
      <c r="KI10" s="20">
        <f>IF(Simulation!KI10&lt;Obligors!$I$10,1,0)</f>
        <v/>
      </c>
      <c r="KJ10" s="20">
        <f>IF(Simulation!KJ10&lt;Obligors!$I$10,1,0)</f>
        <v/>
      </c>
      <c r="KK10" s="20">
        <f>IF(Simulation!KK10&lt;Obligors!$I$10,1,0)</f>
        <v/>
      </c>
      <c r="KL10" s="20">
        <f>IF(Simulation!KL10&lt;Obligors!$I$10,1,0)</f>
        <v/>
      </c>
      <c r="KM10" s="20">
        <f>IF(Simulation!KM10&lt;Obligors!$I$10,1,0)</f>
        <v/>
      </c>
      <c r="KN10" s="20">
        <f>IF(Simulation!KN10&lt;Obligors!$I$10,1,0)</f>
        <v/>
      </c>
      <c r="KO10" s="20">
        <f>IF(Simulation!KO10&lt;Obligors!$I$10,1,0)</f>
        <v/>
      </c>
      <c r="KP10" s="20">
        <f>IF(Simulation!KP10&lt;Obligors!$I$10,1,0)</f>
        <v/>
      </c>
      <c r="KQ10" s="20">
        <f>IF(Simulation!KQ10&lt;Obligors!$I$10,1,0)</f>
        <v/>
      </c>
      <c r="KR10" s="20">
        <f>IF(Simulation!KR10&lt;Obligors!$I$10,1,0)</f>
        <v/>
      </c>
      <c r="KS10" s="20">
        <f>IF(Simulation!KS10&lt;Obligors!$I$10,1,0)</f>
        <v/>
      </c>
      <c r="KT10" s="20">
        <f>IF(Simulation!KT10&lt;Obligors!$I$10,1,0)</f>
        <v/>
      </c>
      <c r="KU10" s="20">
        <f>IF(Simulation!KU10&lt;Obligors!$I$10,1,0)</f>
        <v/>
      </c>
      <c r="KV10" s="20">
        <f>IF(Simulation!KV10&lt;Obligors!$I$10,1,0)</f>
        <v/>
      </c>
      <c r="KW10" s="20">
        <f>IF(Simulation!KW10&lt;Obligors!$I$10,1,0)</f>
        <v/>
      </c>
      <c r="KX10" s="20">
        <f>IF(Simulation!KX10&lt;Obligors!$I$10,1,0)</f>
        <v/>
      </c>
      <c r="KY10" s="20">
        <f>IF(Simulation!KY10&lt;Obligors!$I$10,1,0)</f>
        <v/>
      </c>
      <c r="KZ10" s="20">
        <f>IF(Simulation!KZ10&lt;Obligors!$I$10,1,0)</f>
        <v/>
      </c>
      <c r="LA10" s="20">
        <f>IF(Simulation!LA10&lt;Obligors!$I$10,1,0)</f>
        <v/>
      </c>
      <c r="LB10" s="20">
        <f>IF(Simulation!LB10&lt;Obligors!$I$10,1,0)</f>
        <v/>
      </c>
      <c r="LC10" s="20">
        <f>IF(Simulation!LC10&lt;Obligors!$I$10,1,0)</f>
        <v/>
      </c>
      <c r="LD10" s="20">
        <f>IF(Simulation!LD10&lt;Obligors!$I$10,1,0)</f>
        <v/>
      </c>
      <c r="LE10" s="20">
        <f>IF(Simulation!LE10&lt;Obligors!$I$10,1,0)</f>
        <v/>
      </c>
      <c r="LF10" s="20">
        <f>IF(Simulation!LF10&lt;Obligors!$I$10,1,0)</f>
        <v/>
      </c>
      <c r="LG10" s="20">
        <f>IF(Simulation!LG10&lt;Obligors!$I$10,1,0)</f>
        <v/>
      </c>
      <c r="LH10" s="20">
        <f>IF(Simulation!LH10&lt;Obligors!$I$10,1,0)</f>
        <v/>
      </c>
      <c r="LI10" s="20">
        <f>IF(Simulation!LI10&lt;Obligors!$I$10,1,0)</f>
        <v/>
      </c>
      <c r="LJ10" s="20">
        <f>IF(Simulation!LJ10&lt;Obligors!$I$10,1,0)</f>
        <v/>
      </c>
      <c r="LK10" s="20">
        <f>IF(Simulation!LK10&lt;Obligors!$I$10,1,0)</f>
        <v/>
      </c>
      <c r="LL10" s="20">
        <f>IF(Simulation!LL10&lt;Obligors!$I$10,1,0)</f>
        <v/>
      </c>
      <c r="LM10" s="20">
        <f>IF(Simulation!LM10&lt;Obligors!$I$10,1,0)</f>
        <v/>
      </c>
      <c r="LN10" s="20">
        <f>IF(Simulation!LN10&lt;Obligors!$I$10,1,0)</f>
        <v/>
      </c>
      <c r="LO10" s="20">
        <f>IF(Simulation!LO10&lt;Obligors!$I$10,1,0)</f>
        <v/>
      </c>
      <c r="LP10" s="20">
        <f>IF(Simulation!LP10&lt;Obligors!$I$10,1,0)</f>
        <v/>
      </c>
      <c r="LQ10" s="20">
        <f>IF(Simulation!LQ10&lt;Obligors!$I$10,1,0)</f>
        <v/>
      </c>
      <c r="LR10" s="20">
        <f>IF(Simulation!LR10&lt;Obligors!$I$10,1,0)</f>
        <v/>
      </c>
      <c r="LS10" s="20">
        <f>IF(Simulation!LS10&lt;Obligors!$I$10,1,0)</f>
        <v/>
      </c>
      <c r="LT10" s="20">
        <f>IF(Simulation!LT10&lt;Obligors!$I$10,1,0)</f>
        <v/>
      </c>
      <c r="LU10" s="20">
        <f>IF(Simulation!LU10&lt;Obligors!$I$10,1,0)</f>
        <v/>
      </c>
      <c r="LV10" s="20">
        <f>IF(Simulation!LV10&lt;Obligors!$I$10,1,0)</f>
        <v/>
      </c>
      <c r="LW10" s="20">
        <f>IF(Simulation!LW10&lt;Obligors!$I$10,1,0)</f>
        <v/>
      </c>
      <c r="LX10" s="20">
        <f>IF(Simulation!LX10&lt;Obligors!$I$10,1,0)</f>
        <v/>
      </c>
      <c r="LY10" s="20">
        <f>IF(Simulation!LY10&lt;Obligors!$I$10,1,0)</f>
        <v/>
      </c>
      <c r="LZ10" s="20">
        <f>IF(Simulation!LZ10&lt;Obligors!$I$10,1,0)</f>
        <v/>
      </c>
      <c r="MA10" s="20">
        <f>IF(Simulation!MA10&lt;Obligors!$I$10,1,0)</f>
        <v/>
      </c>
      <c r="MB10" s="20">
        <f>IF(Simulation!MB10&lt;Obligors!$I$10,1,0)</f>
        <v/>
      </c>
      <c r="MC10" s="20">
        <f>IF(Simulation!MC10&lt;Obligors!$I$10,1,0)</f>
        <v/>
      </c>
      <c r="MD10" s="20">
        <f>IF(Simulation!MD10&lt;Obligors!$I$10,1,0)</f>
        <v/>
      </c>
      <c r="ME10" s="20">
        <f>IF(Simulation!ME10&lt;Obligors!$I$10,1,0)</f>
        <v/>
      </c>
      <c r="MF10" s="20">
        <f>IF(Simulation!MF10&lt;Obligors!$I$10,1,0)</f>
        <v/>
      </c>
      <c r="MG10" s="20">
        <f>IF(Simulation!MG10&lt;Obligors!$I$10,1,0)</f>
        <v/>
      </c>
      <c r="MH10" s="20">
        <f>IF(Simulation!MH10&lt;Obligors!$I$10,1,0)</f>
        <v/>
      </c>
      <c r="MI10" s="20">
        <f>IF(Simulation!MI10&lt;Obligors!$I$10,1,0)</f>
        <v/>
      </c>
      <c r="MJ10" s="20">
        <f>IF(Simulation!MJ10&lt;Obligors!$I$10,1,0)</f>
        <v/>
      </c>
      <c r="MK10" s="20">
        <f>IF(Simulation!MK10&lt;Obligors!$I$10,1,0)</f>
        <v/>
      </c>
      <c r="ML10" s="20">
        <f>IF(Simulation!ML10&lt;Obligors!$I$10,1,0)</f>
        <v/>
      </c>
      <c r="MM10" s="20">
        <f>IF(Simulation!MM10&lt;Obligors!$I$10,1,0)</f>
        <v/>
      </c>
      <c r="MN10" s="20">
        <f>IF(Simulation!MN10&lt;Obligors!$I$10,1,0)</f>
        <v/>
      </c>
      <c r="MO10" s="20">
        <f>IF(Simulation!MO10&lt;Obligors!$I$10,1,0)</f>
        <v/>
      </c>
      <c r="MP10" s="20">
        <f>IF(Simulation!MP10&lt;Obligors!$I$10,1,0)</f>
        <v/>
      </c>
      <c r="MQ10" s="20">
        <f>IF(Simulation!MQ10&lt;Obligors!$I$10,1,0)</f>
        <v/>
      </c>
      <c r="MR10" s="20">
        <f>IF(Simulation!MR10&lt;Obligors!$I$10,1,0)</f>
        <v/>
      </c>
      <c r="MS10" s="20">
        <f>IF(Simulation!MS10&lt;Obligors!$I$10,1,0)</f>
        <v/>
      </c>
      <c r="MT10" s="20">
        <f>IF(Simulation!MT10&lt;Obligors!$I$10,1,0)</f>
        <v/>
      </c>
      <c r="MU10" s="20">
        <f>IF(Simulation!MU10&lt;Obligors!$I$10,1,0)</f>
        <v/>
      </c>
      <c r="MV10" s="20">
        <f>IF(Simulation!MV10&lt;Obligors!$I$10,1,0)</f>
        <v/>
      </c>
      <c r="MW10" s="20">
        <f>IF(Simulation!MW10&lt;Obligors!$I$10,1,0)</f>
        <v/>
      </c>
      <c r="MX10" s="20">
        <f>IF(Simulation!MX10&lt;Obligors!$I$10,1,0)</f>
        <v/>
      </c>
      <c r="MY10" s="20">
        <f>IF(Simulation!MY10&lt;Obligors!$I$10,1,0)</f>
        <v/>
      </c>
      <c r="MZ10" s="20">
        <f>IF(Simulation!MZ10&lt;Obligors!$I$10,1,0)</f>
        <v/>
      </c>
      <c r="NA10" s="20">
        <f>IF(Simulation!NA10&lt;Obligors!$I$10,1,0)</f>
        <v/>
      </c>
      <c r="NB10" s="20">
        <f>IF(Simulation!NB10&lt;Obligors!$I$10,1,0)</f>
        <v/>
      </c>
      <c r="NC10" s="20">
        <f>IF(Simulation!NC10&lt;Obligors!$I$10,1,0)</f>
        <v/>
      </c>
      <c r="ND10" s="20">
        <f>IF(Simulation!ND10&lt;Obligors!$I$10,1,0)</f>
        <v/>
      </c>
      <c r="NE10" s="20">
        <f>IF(Simulation!NE10&lt;Obligors!$I$10,1,0)</f>
        <v/>
      </c>
      <c r="NF10" s="20">
        <f>IF(Simulation!NF10&lt;Obligors!$I$10,1,0)</f>
        <v/>
      </c>
      <c r="NG10" s="20">
        <f>IF(Simulation!NG10&lt;Obligors!$I$10,1,0)</f>
        <v/>
      </c>
      <c r="NH10" s="20">
        <f>IF(Simulation!NH10&lt;Obligors!$I$10,1,0)</f>
        <v/>
      </c>
      <c r="NI10" s="20">
        <f>IF(Simulation!NI10&lt;Obligors!$I$10,1,0)</f>
        <v/>
      </c>
      <c r="NJ10" s="20">
        <f>IF(Simulation!NJ10&lt;Obligors!$I$10,1,0)</f>
        <v/>
      </c>
      <c r="NK10" s="20">
        <f>IF(Simulation!NK10&lt;Obligors!$I$10,1,0)</f>
        <v/>
      </c>
      <c r="NL10" s="20">
        <f>IF(Simulation!NL10&lt;Obligors!$I$10,1,0)</f>
        <v/>
      </c>
      <c r="NM10" s="20">
        <f>IF(Simulation!NM10&lt;Obligors!$I$10,1,0)</f>
        <v/>
      </c>
      <c r="NN10" s="20">
        <f>IF(Simulation!NN10&lt;Obligors!$I$10,1,0)</f>
        <v/>
      </c>
      <c r="NO10" s="20">
        <f>IF(Simulation!NO10&lt;Obligors!$I$10,1,0)</f>
        <v/>
      </c>
      <c r="NP10" s="20">
        <f>IF(Simulation!NP10&lt;Obligors!$I$10,1,0)</f>
        <v/>
      </c>
      <c r="NQ10" s="20">
        <f>IF(Simulation!NQ10&lt;Obligors!$I$10,1,0)</f>
        <v/>
      </c>
      <c r="NR10" s="20">
        <f>IF(Simulation!NR10&lt;Obligors!$I$10,1,0)</f>
        <v/>
      </c>
      <c r="NS10" s="20">
        <f>IF(Simulation!NS10&lt;Obligors!$I$10,1,0)</f>
        <v/>
      </c>
      <c r="NT10" s="20">
        <f>IF(Simulation!NT10&lt;Obligors!$I$10,1,0)</f>
        <v/>
      </c>
      <c r="NU10" s="20">
        <f>IF(Simulation!NU10&lt;Obligors!$I$10,1,0)</f>
        <v/>
      </c>
      <c r="NV10" s="20">
        <f>IF(Simulation!NV10&lt;Obligors!$I$10,1,0)</f>
        <v/>
      </c>
      <c r="NW10" s="20">
        <f>IF(Simulation!NW10&lt;Obligors!$I$10,1,0)</f>
        <v/>
      </c>
      <c r="NX10" s="20">
        <f>IF(Simulation!NX10&lt;Obligors!$I$10,1,0)</f>
        <v/>
      </c>
      <c r="NY10" s="20">
        <f>IF(Simulation!NY10&lt;Obligors!$I$10,1,0)</f>
        <v/>
      </c>
      <c r="NZ10" s="20">
        <f>IF(Simulation!NZ10&lt;Obligors!$I$10,1,0)</f>
        <v/>
      </c>
      <c r="OA10" s="20">
        <f>IF(Simulation!OA10&lt;Obligors!$I$10,1,0)</f>
        <v/>
      </c>
      <c r="OB10" s="20">
        <f>IF(Simulation!OB10&lt;Obligors!$I$10,1,0)</f>
        <v/>
      </c>
      <c r="OC10" s="20">
        <f>IF(Simulation!OC10&lt;Obligors!$I$10,1,0)</f>
        <v/>
      </c>
      <c r="OD10" s="20">
        <f>IF(Simulation!OD10&lt;Obligors!$I$10,1,0)</f>
        <v/>
      </c>
      <c r="OE10" s="20">
        <f>IF(Simulation!OE10&lt;Obligors!$I$10,1,0)</f>
        <v/>
      </c>
      <c r="OF10" s="20">
        <f>IF(Simulation!OF10&lt;Obligors!$I$10,1,0)</f>
        <v/>
      </c>
      <c r="OG10" s="20">
        <f>IF(Simulation!OG10&lt;Obligors!$I$10,1,0)</f>
        <v/>
      </c>
      <c r="OH10" s="20">
        <f>IF(Simulation!OH10&lt;Obligors!$I$10,1,0)</f>
        <v/>
      </c>
      <c r="OI10" s="20">
        <f>IF(Simulation!OI10&lt;Obligors!$I$10,1,0)</f>
        <v/>
      </c>
      <c r="OJ10" s="20">
        <f>IF(Simulation!OJ10&lt;Obligors!$I$10,1,0)</f>
        <v/>
      </c>
      <c r="OK10" s="20">
        <f>IF(Simulation!OK10&lt;Obligors!$I$10,1,0)</f>
        <v/>
      </c>
      <c r="OL10" s="20">
        <f>IF(Simulation!OL10&lt;Obligors!$I$10,1,0)</f>
        <v/>
      </c>
      <c r="OM10" s="20">
        <f>IF(Simulation!OM10&lt;Obligors!$I$10,1,0)</f>
        <v/>
      </c>
      <c r="ON10" s="20">
        <f>IF(Simulation!ON10&lt;Obligors!$I$10,1,0)</f>
        <v/>
      </c>
      <c r="OO10" s="20">
        <f>IF(Simulation!OO10&lt;Obligors!$I$10,1,0)</f>
        <v/>
      </c>
      <c r="OP10" s="20">
        <f>IF(Simulation!OP10&lt;Obligors!$I$10,1,0)</f>
        <v/>
      </c>
      <c r="OQ10" s="20">
        <f>IF(Simulation!OQ10&lt;Obligors!$I$10,1,0)</f>
        <v/>
      </c>
      <c r="OR10" s="20">
        <f>IF(Simulation!OR10&lt;Obligors!$I$10,1,0)</f>
        <v/>
      </c>
      <c r="OS10" s="20">
        <f>IF(Simulation!OS10&lt;Obligors!$I$10,1,0)</f>
        <v/>
      </c>
      <c r="OT10" s="20">
        <f>IF(Simulation!OT10&lt;Obligors!$I$10,1,0)</f>
        <v/>
      </c>
      <c r="OU10" s="20">
        <f>IF(Simulation!OU10&lt;Obligors!$I$10,1,0)</f>
        <v/>
      </c>
      <c r="OV10" s="20">
        <f>IF(Simulation!OV10&lt;Obligors!$I$10,1,0)</f>
        <v/>
      </c>
      <c r="OW10" s="20">
        <f>IF(Simulation!OW10&lt;Obligors!$I$10,1,0)</f>
        <v/>
      </c>
      <c r="OX10" s="20">
        <f>IF(Simulation!OX10&lt;Obligors!$I$10,1,0)</f>
        <v/>
      </c>
      <c r="OY10" s="20">
        <f>IF(Simulation!OY10&lt;Obligors!$I$10,1,0)</f>
        <v/>
      </c>
      <c r="OZ10" s="20">
        <f>IF(Simulation!OZ10&lt;Obligors!$I$10,1,0)</f>
        <v/>
      </c>
      <c r="PA10" s="20">
        <f>IF(Simulation!PA10&lt;Obligors!$I$10,1,0)</f>
        <v/>
      </c>
      <c r="PB10" s="20">
        <f>IF(Simulation!PB10&lt;Obligors!$I$10,1,0)</f>
        <v/>
      </c>
      <c r="PC10" s="20">
        <f>IF(Simulation!PC10&lt;Obligors!$I$10,1,0)</f>
        <v/>
      </c>
      <c r="PD10" s="20">
        <f>IF(Simulation!PD10&lt;Obligors!$I$10,1,0)</f>
        <v/>
      </c>
      <c r="PE10" s="20">
        <f>IF(Simulation!PE10&lt;Obligors!$I$10,1,0)</f>
        <v/>
      </c>
      <c r="PF10" s="20">
        <f>IF(Simulation!PF10&lt;Obligors!$I$10,1,0)</f>
        <v/>
      </c>
      <c r="PG10" s="20">
        <f>IF(Simulation!PG10&lt;Obligors!$I$10,1,0)</f>
        <v/>
      </c>
      <c r="PH10" s="20">
        <f>IF(Simulation!PH10&lt;Obligors!$I$10,1,0)</f>
        <v/>
      </c>
      <c r="PI10" s="20">
        <f>IF(Simulation!PI10&lt;Obligors!$I$10,1,0)</f>
        <v/>
      </c>
      <c r="PJ10" s="20">
        <f>IF(Simulation!PJ10&lt;Obligors!$I$10,1,0)</f>
        <v/>
      </c>
      <c r="PK10" s="20">
        <f>IF(Simulation!PK10&lt;Obligors!$I$10,1,0)</f>
        <v/>
      </c>
      <c r="PL10" s="20">
        <f>IF(Simulation!PL10&lt;Obligors!$I$10,1,0)</f>
        <v/>
      </c>
      <c r="PM10" s="20">
        <f>IF(Simulation!PM10&lt;Obligors!$I$10,1,0)</f>
        <v/>
      </c>
      <c r="PN10" s="20">
        <f>IF(Simulation!PN10&lt;Obligors!$I$10,1,0)</f>
        <v/>
      </c>
      <c r="PO10" s="20">
        <f>IF(Simulation!PO10&lt;Obligors!$I$10,1,0)</f>
        <v/>
      </c>
      <c r="PP10" s="20">
        <f>IF(Simulation!PP10&lt;Obligors!$I$10,1,0)</f>
        <v/>
      </c>
      <c r="PQ10" s="20">
        <f>IF(Simulation!PQ10&lt;Obligors!$I$10,1,0)</f>
        <v/>
      </c>
      <c r="PR10" s="20">
        <f>IF(Simulation!PR10&lt;Obligors!$I$10,1,0)</f>
        <v/>
      </c>
      <c r="PS10" s="20">
        <f>IF(Simulation!PS10&lt;Obligors!$I$10,1,0)</f>
        <v/>
      </c>
      <c r="PT10" s="20">
        <f>IF(Simulation!PT10&lt;Obligors!$I$10,1,0)</f>
        <v/>
      </c>
      <c r="PU10" s="20">
        <f>IF(Simulation!PU10&lt;Obligors!$I$10,1,0)</f>
        <v/>
      </c>
      <c r="PV10" s="20">
        <f>IF(Simulation!PV10&lt;Obligors!$I$10,1,0)</f>
        <v/>
      </c>
      <c r="PW10" s="20">
        <f>IF(Simulation!PW10&lt;Obligors!$I$10,1,0)</f>
        <v/>
      </c>
      <c r="PX10" s="20">
        <f>IF(Simulation!PX10&lt;Obligors!$I$10,1,0)</f>
        <v/>
      </c>
      <c r="PY10" s="20">
        <f>IF(Simulation!PY10&lt;Obligors!$I$10,1,0)</f>
        <v/>
      </c>
      <c r="PZ10" s="20">
        <f>IF(Simulation!PZ10&lt;Obligors!$I$10,1,0)</f>
        <v/>
      </c>
      <c r="QA10" s="20">
        <f>IF(Simulation!QA10&lt;Obligors!$I$10,1,0)</f>
        <v/>
      </c>
      <c r="QB10" s="20">
        <f>IF(Simulation!QB10&lt;Obligors!$I$10,1,0)</f>
        <v/>
      </c>
      <c r="QC10" s="20">
        <f>IF(Simulation!QC10&lt;Obligors!$I$10,1,0)</f>
        <v/>
      </c>
      <c r="QD10" s="20">
        <f>IF(Simulation!QD10&lt;Obligors!$I$10,1,0)</f>
        <v/>
      </c>
      <c r="QE10" s="20">
        <f>IF(Simulation!QE10&lt;Obligors!$I$10,1,0)</f>
        <v/>
      </c>
      <c r="QF10" s="20">
        <f>IF(Simulation!QF10&lt;Obligors!$I$10,1,0)</f>
        <v/>
      </c>
      <c r="QG10" s="20">
        <f>IF(Simulation!QG10&lt;Obligors!$I$10,1,0)</f>
        <v/>
      </c>
      <c r="QH10" s="20">
        <f>IF(Simulation!QH10&lt;Obligors!$I$10,1,0)</f>
        <v/>
      </c>
      <c r="QI10" s="20">
        <f>IF(Simulation!QI10&lt;Obligors!$I$10,1,0)</f>
        <v/>
      </c>
      <c r="QJ10" s="20">
        <f>IF(Simulation!QJ10&lt;Obligors!$I$10,1,0)</f>
        <v/>
      </c>
      <c r="QK10" s="20">
        <f>IF(Simulation!QK10&lt;Obligors!$I$10,1,0)</f>
        <v/>
      </c>
      <c r="QL10" s="20">
        <f>IF(Simulation!QL10&lt;Obligors!$I$10,1,0)</f>
        <v/>
      </c>
      <c r="QM10" s="20">
        <f>IF(Simulation!QM10&lt;Obligors!$I$10,1,0)</f>
        <v/>
      </c>
      <c r="QN10" s="20">
        <f>IF(Simulation!QN10&lt;Obligors!$I$10,1,0)</f>
        <v/>
      </c>
      <c r="QO10" s="20">
        <f>IF(Simulation!QO10&lt;Obligors!$I$10,1,0)</f>
        <v/>
      </c>
      <c r="QP10" s="20">
        <f>IF(Simulation!QP10&lt;Obligors!$I$10,1,0)</f>
        <v/>
      </c>
      <c r="QQ10" s="20">
        <f>IF(Simulation!QQ10&lt;Obligors!$I$10,1,0)</f>
        <v/>
      </c>
      <c r="QR10" s="20">
        <f>IF(Simulation!QR10&lt;Obligors!$I$10,1,0)</f>
        <v/>
      </c>
      <c r="QS10" s="20">
        <f>IF(Simulation!QS10&lt;Obligors!$I$10,1,0)</f>
        <v/>
      </c>
      <c r="QT10" s="20">
        <f>IF(Simulation!QT10&lt;Obligors!$I$10,1,0)</f>
        <v/>
      </c>
      <c r="QU10" s="20">
        <f>IF(Simulation!QU10&lt;Obligors!$I$10,1,0)</f>
        <v/>
      </c>
      <c r="QV10" s="20">
        <f>IF(Simulation!QV10&lt;Obligors!$I$10,1,0)</f>
        <v/>
      </c>
      <c r="QW10" s="20">
        <f>IF(Simulation!QW10&lt;Obligors!$I$10,1,0)</f>
        <v/>
      </c>
      <c r="QX10" s="20">
        <f>IF(Simulation!QX10&lt;Obligors!$I$10,1,0)</f>
        <v/>
      </c>
      <c r="QY10" s="20">
        <f>IF(Simulation!QY10&lt;Obligors!$I$10,1,0)</f>
        <v/>
      </c>
      <c r="QZ10" s="20">
        <f>IF(Simulation!QZ10&lt;Obligors!$I$10,1,0)</f>
        <v/>
      </c>
      <c r="RA10" s="20">
        <f>IF(Simulation!RA10&lt;Obligors!$I$10,1,0)</f>
        <v/>
      </c>
      <c r="RB10" s="20">
        <f>IF(Simulation!RB10&lt;Obligors!$I$10,1,0)</f>
        <v/>
      </c>
      <c r="RC10" s="20">
        <f>IF(Simulation!RC10&lt;Obligors!$I$10,1,0)</f>
        <v/>
      </c>
      <c r="RD10" s="20">
        <f>IF(Simulation!RD10&lt;Obligors!$I$10,1,0)</f>
        <v/>
      </c>
      <c r="RE10" s="20">
        <f>IF(Simulation!RE10&lt;Obligors!$I$10,1,0)</f>
        <v/>
      </c>
      <c r="RF10" s="20">
        <f>IF(Simulation!RF10&lt;Obligors!$I$10,1,0)</f>
        <v/>
      </c>
      <c r="RG10" s="20">
        <f>IF(Simulation!RG10&lt;Obligors!$I$10,1,0)</f>
        <v/>
      </c>
      <c r="RH10" s="20">
        <f>IF(Simulation!RH10&lt;Obligors!$I$10,1,0)</f>
        <v/>
      </c>
      <c r="RI10" s="20">
        <f>IF(Simulation!RI10&lt;Obligors!$I$10,1,0)</f>
        <v/>
      </c>
      <c r="RJ10" s="20">
        <f>IF(Simulation!RJ10&lt;Obligors!$I$10,1,0)</f>
        <v/>
      </c>
      <c r="RK10" s="20">
        <f>IF(Simulation!RK10&lt;Obligors!$I$10,1,0)</f>
        <v/>
      </c>
      <c r="RL10" s="20">
        <f>IF(Simulation!RL10&lt;Obligors!$I$10,1,0)</f>
        <v/>
      </c>
      <c r="RM10" s="20">
        <f>IF(Simulation!RM10&lt;Obligors!$I$10,1,0)</f>
        <v/>
      </c>
      <c r="RN10" s="20">
        <f>IF(Simulation!RN10&lt;Obligors!$I$10,1,0)</f>
        <v/>
      </c>
      <c r="RO10" s="20">
        <f>IF(Simulation!RO10&lt;Obligors!$I$10,1,0)</f>
        <v/>
      </c>
      <c r="RP10" s="20">
        <f>IF(Simulation!RP10&lt;Obligors!$I$10,1,0)</f>
        <v/>
      </c>
      <c r="RQ10" s="20">
        <f>IF(Simulation!RQ10&lt;Obligors!$I$10,1,0)</f>
        <v/>
      </c>
      <c r="RR10" s="20">
        <f>IF(Simulation!RR10&lt;Obligors!$I$10,1,0)</f>
        <v/>
      </c>
      <c r="RS10" s="20">
        <f>IF(Simulation!RS10&lt;Obligors!$I$10,1,0)</f>
        <v/>
      </c>
      <c r="RT10" s="20">
        <f>IF(Simulation!RT10&lt;Obligors!$I$10,1,0)</f>
        <v/>
      </c>
      <c r="RU10" s="20">
        <f>IF(Simulation!RU10&lt;Obligors!$I$10,1,0)</f>
        <v/>
      </c>
      <c r="RV10" s="20">
        <f>IF(Simulation!RV10&lt;Obligors!$I$10,1,0)</f>
        <v/>
      </c>
      <c r="RW10" s="20">
        <f>IF(Simulation!RW10&lt;Obligors!$I$10,1,0)</f>
        <v/>
      </c>
      <c r="RX10" s="20">
        <f>IF(Simulation!RX10&lt;Obligors!$I$10,1,0)</f>
        <v/>
      </c>
      <c r="RY10" s="20">
        <f>IF(Simulation!RY10&lt;Obligors!$I$10,1,0)</f>
        <v/>
      </c>
      <c r="RZ10" s="20">
        <f>IF(Simulation!RZ10&lt;Obligors!$I$10,1,0)</f>
        <v/>
      </c>
      <c r="SA10" s="20">
        <f>IF(Simulation!SA10&lt;Obligors!$I$10,1,0)</f>
        <v/>
      </c>
      <c r="SB10" s="20">
        <f>IF(Simulation!SB10&lt;Obligors!$I$10,1,0)</f>
        <v/>
      </c>
      <c r="SC10" s="20">
        <f>IF(Simulation!SC10&lt;Obligors!$I$10,1,0)</f>
        <v/>
      </c>
      <c r="SD10" s="20">
        <f>IF(Simulation!SD10&lt;Obligors!$I$10,1,0)</f>
        <v/>
      </c>
      <c r="SE10" s="20">
        <f>IF(Simulation!SE10&lt;Obligors!$I$10,1,0)</f>
        <v/>
      </c>
      <c r="SF10" s="20">
        <f>IF(Simulation!SF10&lt;Obligors!$I$10,1,0)</f>
        <v/>
      </c>
      <c r="SG10" s="20">
        <f>IF(Simulation!SG10&lt;Obligors!$I$10,1,0)</f>
        <v/>
      </c>
    </row>
    <row r="11">
      <c r="A11" s="17" t="inlineStr">
        <is>
          <t>OBL-010</t>
        </is>
      </c>
      <c r="B11" s="20">
        <f>IF(Simulation!B11&lt;Obligors!$I$11,1,0)</f>
        <v/>
      </c>
      <c r="C11" s="20">
        <f>IF(Simulation!C11&lt;Obligors!$I$11,1,0)</f>
        <v/>
      </c>
      <c r="D11" s="20">
        <f>IF(Simulation!D11&lt;Obligors!$I$11,1,0)</f>
        <v/>
      </c>
      <c r="E11" s="20">
        <f>IF(Simulation!E11&lt;Obligors!$I$11,1,0)</f>
        <v/>
      </c>
      <c r="F11" s="20">
        <f>IF(Simulation!F11&lt;Obligors!$I$11,1,0)</f>
        <v/>
      </c>
      <c r="G11" s="20">
        <f>IF(Simulation!G11&lt;Obligors!$I$11,1,0)</f>
        <v/>
      </c>
      <c r="H11" s="20">
        <f>IF(Simulation!H11&lt;Obligors!$I$11,1,0)</f>
        <v/>
      </c>
      <c r="I11" s="20">
        <f>IF(Simulation!I11&lt;Obligors!$I$11,1,0)</f>
        <v/>
      </c>
      <c r="J11" s="20">
        <f>IF(Simulation!J11&lt;Obligors!$I$11,1,0)</f>
        <v/>
      </c>
      <c r="K11" s="20">
        <f>IF(Simulation!K11&lt;Obligors!$I$11,1,0)</f>
        <v/>
      </c>
      <c r="L11" s="20">
        <f>IF(Simulation!L11&lt;Obligors!$I$11,1,0)</f>
        <v/>
      </c>
      <c r="M11" s="20">
        <f>IF(Simulation!M11&lt;Obligors!$I$11,1,0)</f>
        <v/>
      </c>
      <c r="N11" s="20">
        <f>IF(Simulation!N11&lt;Obligors!$I$11,1,0)</f>
        <v/>
      </c>
      <c r="O11" s="20">
        <f>IF(Simulation!O11&lt;Obligors!$I$11,1,0)</f>
        <v/>
      </c>
      <c r="P11" s="20">
        <f>IF(Simulation!P11&lt;Obligors!$I$11,1,0)</f>
        <v/>
      </c>
      <c r="Q11" s="20">
        <f>IF(Simulation!Q11&lt;Obligors!$I$11,1,0)</f>
        <v/>
      </c>
      <c r="R11" s="20">
        <f>IF(Simulation!R11&lt;Obligors!$I$11,1,0)</f>
        <v/>
      </c>
      <c r="S11" s="20">
        <f>IF(Simulation!S11&lt;Obligors!$I$11,1,0)</f>
        <v/>
      </c>
      <c r="T11" s="20">
        <f>IF(Simulation!T11&lt;Obligors!$I$11,1,0)</f>
        <v/>
      </c>
      <c r="U11" s="20">
        <f>IF(Simulation!U11&lt;Obligors!$I$11,1,0)</f>
        <v/>
      </c>
      <c r="V11" s="20">
        <f>IF(Simulation!V11&lt;Obligors!$I$11,1,0)</f>
        <v/>
      </c>
      <c r="W11" s="20">
        <f>IF(Simulation!W11&lt;Obligors!$I$11,1,0)</f>
        <v/>
      </c>
      <c r="X11" s="20">
        <f>IF(Simulation!X11&lt;Obligors!$I$11,1,0)</f>
        <v/>
      </c>
      <c r="Y11" s="20">
        <f>IF(Simulation!Y11&lt;Obligors!$I$11,1,0)</f>
        <v/>
      </c>
      <c r="Z11" s="20">
        <f>IF(Simulation!Z11&lt;Obligors!$I$11,1,0)</f>
        <v/>
      </c>
      <c r="AA11" s="20">
        <f>IF(Simulation!AA11&lt;Obligors!$I$11,1,0)</f>
        <v/>
      </c>
      <c r="AB11" s="20">
        <f>IF(Simulation!AB11&lt;Obligors!$I$11,1,0)</f>
        <v/>
      </c>
      <c r="AC11" s="20">
        <f>IF(Simulation!AC11&lt;Obligors!$I$11,1,0)</f>
        <v/>
      </c>
      <c r="AD11" s="20">
        <f>IF(Simulation!AD11&lt;Obligors!$I$11,1,0)</f>
        <v/>
      </c>
      <c r="AE11" s="20">
        <f>IF(Simulation!AE11&lt;Obligors!$I$11,1,0)</f>
        <v/>
      </c>
      <c r="AF11" s="20">
        <f>IF(Simulation!AF11&lt;Obligors!$I$11,1,0)</f>
        <v/>
      </c>
      <c r="AG11" s="20">
        <f>IF(Simulation!AG11&lt;Obligors!$I$11,1,0)</f>
        <v/>
      </c>
      <c r="AH11" s="20">
        <f>IF(Simulation!AH11&lt;Obligors!$I$11,1,0)</f>
        <v/>
      </c>
      <c r="AI11" s="20">
        <f>IF(Simulation!AI11&lt;Obligors!$I$11,1,0)</f>
        <v/>
      </c>
      <c r="AJ11" s="20">
        <f>IF(Simulation!AJ11&lt;Obligors!$I$11,1,0)</f>
        <v/>
      </c>
      <c r="AK11" s="20">
        <f>IF(Simulation!AK11&lt;Obligors!$I$11,1,0)</f>
        <v/>
      </c>
      <c r="AL11" s="20">
        <f>IF(Simulation!AL11&lt;Obligors!$I$11,1,0)</f>
        <v/>
      </c>
      <c r="AM11" s="20">
        <f>IF(Simulation!AM11&lt;Obligors!$I$11,1,0)</f>
        <v/>
      </c>
      <c r="AN11" s="20">
        <f>IF(Simulation!AN11&lt;Obligors!$I$11,1,0)</f>
        <v/>
      </c>
      <c r="AO11" s="20">
        <f>IF(Simulation!AO11&lt;Obligors!$I$11,1,0)</f>
        <v/>
      </c>
      <c r="AP11" s="20">
        <f>IF(Simulation!AP11&lt;Obligors!$I$11,1,0)</f>
        <v/>
      </c>
      <c r="AQ11" s="20">
        <f>IF(Simulation!AQ11&lt;Obligors!$I$11,1,0)</f>
        <v/>
      </c>
      <c r="AR11" s="20">
        <f>IF(Simulation!AR11&lt;Obligors!$I$11,1,0)</f>
        <v/>
      </c>
      <c r="AS11" s="20">
        <f>IF(Simulation!AS11&lt;Obligors!$I$11,1,0)</f>
        <v/>
      </c>
      <c r="AT11" s="20">
        <f>IF(Simulation!AT11&lt;Obligors!$I$11,1,0)</f>
        <v/>
      </c>
      <c r="AU11" s="20">
        <f>IF(Simulation!AU11&lt;Obligors!$I$11,1,0)</f>
        <v/>
      </c>
      <c r="AV11" s="20">
        <f>IF(Simulation!AV11&lt;Obligors!$I$11,1,0)</f>
        <v/>
      </c>
      <c r="AW11" s="20">
        <f>IF(Simulation!AW11&lt;Obligors!$I$11,1,0)</f>
        <v/>
      </c>
      <c r="AX11" s="20">
        <f>IF(Simulation!AX11&lt;Obligors!$I$11,1,0)</f>
        <v/>
      </c>
      <c r="AY11" s="20">
        <f>IF(Simulation!AY11&lt;Obligors!$I$11,1,0)</f>
        <v/>
      </c>
      <c r="AZ11" s="20">
        <f>IF(Simulation!AZ11&lt;Obligors!$I$11,1,0)</f>
        <v/>
      </c>
      <c r="BA11" s="20">
        <f>IF(Simulation!BA11&lt;Obligors!$I$11,1,0)</f>
        <v/>
      </c>
      <c r="BB11" s="20">
        <f>IF(Simulation!BB11&lt;Obligors!$I$11,1,0)</f>
        <v/>
      </c>
      <c r="BC11" s="20">
        <f>IF(Simulation!BC11&lt;Obligors!$I$11,1,0)</f>
        <v/>
      </c>
      <c r="BD11" s="20">
        <f>IF(Simulation!BD11&lt;Obligors!$I$11,1,0)</f>
        <v/>
      </c>
      <c r="BE11" s="20">
        <f>IF(Simulation!BE11&lt;Obligors!$I$11,1,0)</f>
        <v/>
      </c>
      <c r="BF11" s="20">
        <f>IF(Simulation!BF11&lt;Obligors!$I$11,1,0)</f>
        <v/>
      </c>
      <c r="BG11" s="20">
        <f>IF(Simulation!BG11&lt;Obligors!$I$11,1,0)</f>
        <v/>
      </c>
      <c r="BH11" s="20">
        <f>IF(Simulation!BH11&lt;Obligors!$I$11,1,0)</f>
        <v/>
      </c>
      <c r="BI11" s="20">
        <f>IF(Simulation!BI11&lt;Obligors!$I$11,1,0)</f>
        <v/>
      </c>
      <c r="BJ11" s="20">
        <f>IF(Simulation!BJ11&lt;Obligors!$I$11,1,0)</f>
        <v/>
      </c>
      <c r="BK11" s="20">
        <f>IF(Simulation!BK11&lt;Obligors!$I$11,1,0)</f>
        <v/>
      </c>
      <c r="BL11" s="20">
        <f>IF(Simulation!BL11&lt;Obligors!$I$11,1,0)</f>
        <v/>
      </c>
      <c r="BM11" s="20">
        <f>IF(Simulation!BM11&lt;Obligors!$I$11,1,0)</f>
        <v/>
      </c>
      <c r="BN11" s="20">
        <f>IF(Simulation!BN11&lt;Obligors!$I$11,1,0)</f>
        <v/>
      </c>
      <c r="BO11" s="20">
        <f>IF(Simulation!BO11&lt;Obligors!$I$11,1,0)</f>
        <v/>
      </c>
      <c r="BP11" s="20">
        <f>IF(Simulation!BP11&lt;Obligors!$I$11,1,0)</f>
        <v/>
      </c>
      <c r="BQ11" s="20">
        <f>IF(Simulation!BQ11&lt;Obligors!$I$11,1,0)</f>
        <v/>
      </c>
      <c r="BR11" s="20">
        <f>IF(Simulation!BR11&lt;Obligors!$I$11,1,0)</f>
        <v/>
      </c>
      <c r="BS11" s="20">
        <f>IF(Simulation!BS11&lt;Obligors!$I$11,1,0)</f>
        <v/>
      </c>
      <c r="BT11" s="20">
        <f>IF(Simulation!BT11&lt;Obligors!$I$11,1,0)</f>
        <v/>
      </c>
      <c r="BU11" s="20">
        <f>IF(Simulation!BU11&lt;Obligors!$I$11,1,0)</f>
        <v/>
      </c>
      <c r="BV11" s="20">
        <f>IF(Simulation!BV11&lt;Obligors!$I$11,1,0)</f>
        <v/>
      </c>
      <c r="BW11" s="20">
        <f>IF(Simulation!BW11&lt;Obligors!$I$11,1,0)</f>
        <v/>
      </c>
      <c r="BX11" s="20">
        <f>IF(Simulation!BX11&lt;Obligors!$I$11,1,0)</f>
        <v/>
      </c>
      <c r="BY11" s="20">
        <f>IF(Simulation!BY11&lt;Obligors!$I$11,1,0)</f>
        <v/>
      </c>
      <c r="BZ11" s="20">
        <f>IF(Simulation!BZ11&lt;Obligors!$I$11,1,0)</f>
        <v/>
      </c>
      <c r="CA11" s="20">
        <f>IF(Simulation!CA11&lt;Obligors!$I$11,1,0)</f>
        <v/>
      </c>
      <c r="CB11" s="20">
        <f>IF(Simulation!CB11&lt;Obligors!$I$11,1,0)</f>
        <v/>
      </c>
      <c r="CC11" s="20">
        <f>IF(Simulation!CC11&lt;Obligors!$I$11,1,0)</f>
        <v/>
      </c>
      <c r="CD11" s="20">
        <f>IF(Simulation!CD11&lt;Obligors!$I$11,1,0)</f>
        <v/>
      </c>
      <c r="CE11" s="20">
        <f>IF(Simulation!CE11&lt;Obligors!$I$11,1,0)</f>
        <v/>
      </c>
      <c r="CF11" s="20">
        <f>IF(Simulation!CF11&lt;Obligors!$I$11,1,0)</f>
        <v/>
      </c>
      <c r="CG11" s="20">
        <f>IF(Simulation!CG11&lt;Obligors!$I$11,1,0)</f>
        <v/>
      </c>
      <c r="CH11" s="20">
        <f>IF(Simulation!CH11&lt;Obligors!$I$11,1,0)</f>
        <v/>
      </c>
      <c r="CI11" s="20">
        <f>IF(Simulation!CI11&lt;Obligors!$I$11,1,0)</f>
        <v/>
      </c>
      <c r="CJ11" s="20">
        <f>IF(Simulation!CJ11&lt;Obligors!$I$11,1,0)</f>
        <v/>
      </c>
      <c r="CK11" s="20">
        <f>IF(Simulation!CK11&lt;Obligors!$I$11,1,0)</f>
        <v/>
      </c>
      <c r="CL11" s="20">
        <f>IF(Simulation!CL11&lt;Obligors!$I$11,1,0)</f>
        <v/>
      </c>
      <c r="CM11" s="20">
        <f>IF(Simulation!CM11&lt;Obligors!$I$11,1,0)</f>
        <v/>
      </c>
      <c r="CN11" s="20">
        <f>IF(Simulation!CN11&lt;Obligors!$I$11,1,0)</f>
        <v/>
      </c>
      <c r="CO11" s="20">
        <f>IF(Simulation!CO11&lt;Obligors!$I$11,1,0)</f>
        <v/>
      </c>
      <c r="CP11" s="20">
        <f>IF(Simulation!CP11&lt;Obligors!$I$11,1,0)</f>
        <v/>
      </c>
      <c r="CQ11" s="20">
        <f>IF(Simulation!CQ11&lt;Obligors!$I$11,1,0)</f>
        <v/>
      </c>
      <c r="CR11" s="20">
        <f>IF(Simulation!CR11&lt;Obligors!$I$11,1,0)</f>
        <v/>
      </c>
      <c r="CS11" s="20">
        <f>IF(Simulation!CS11&lt;Obligors!$I$11,1,0)</f>
        <v/>
      </c>
      <c r="CT11" s="20">
        <f>IF(Simulation!CT11&lt;Obligors!$I$11,1,0)</f>
        <v/>
      </c>
      <c r="CU11" s="20">
        <f>IF(Simulation!CU11&lt;Obligors!$I$11,1,0)</f>
        <v/>
      </c>
      <c r="CV11" s="20">
        <f>IF(Simulation!CV11&lt;Obligors!$I$11,1,0)</f>
        <v/>
      </c>
      <c r="CW11" s="20">
        <f>IF(Simulation!CW11&lt;Obligors!$I$11,1,0)</f>
        <v/>
      </c>
      <c r="CX11" s="20">
        <f>IF(Simulation!CX11&lt;Obligors!$I$11,1,0)</f>
        <v/>
      </c>
      <c r="CY11" s="20">
        <f>IF(Simulation!CY11&lt;Obligors!$I$11,1,0)</f>
        <v/>
      </c>
      <c r="CZ11" s="20">
        <f>IF(Simulation!CZ11&lt;Obligors!$I$11,1,0)</f>
        <v/>
      </c>
      <c r="DA11" s="20">
        <f>IF(Simulation!DA11&lt;Obligors!$I$11,1,0)</f>
        <v/>
      </c>
      <c r="DB11" s="20">
        <f>IF(Simulation!DB11&lt;Obligors!$I$11,1,0)</f>
        <v/>
      </c>
      <c r="DC11" s="20">
        <f>IF(Simulation!DC11&lt;Obligors!$I$11,1,0)</f>
        <v/>
      </c>
      <c r="DD11" s="20">
        <f>IF(Simulation!DD11&lt;Obligors!$I$11,1,0)</f>
        <v/>
      </c>
      <c r="DE11" s="20">
        <f>IF(Simulation!DE11&lt;Obligors!$I$11,1,0)</f>
        <v/>
      </c>
      <c r="DF11" s="20">
        <f>IF(Simulation!DF11&lt;Obligors!$I$11,1,0)</f>
        <v/>
      </c>
      <c r="DG11" s="20">
        <f>IF(Simulation!DG11&lt;Obligors!$I$11,1,0)</f>
        <v/>
      </c>
      <c r="DH11" s="20">
        <f>IF(Simulation!DH11&lt;Obligors!$I$11,1,0)</f>
        <v/>
      </c>
      <c r="DI11" s="20">
        <f>IF(Simulation!DI11&lt;Obligors!$I$11,1,0)</f>
        <v/>
      </c>
      <c r="DJ11" s="20">
        <f>IF(Simulation!DJ11&lt;Obligors!$I$11,1,0)</f>
        <v/>
      </c>
      <c r="DK11" s="20">
        <f>IF(Simulation!DK11&lt;Obligors!$I$11,1,0)</f>
        <v/>
      </c>
      <c r="DL11" s="20">
        <f>IF(Simulation!DL11&lt;Obligors!$I$11,1,0)</f>
        <v/>
      </c>
      <c r="DM11" s="20">
        <f>IF(Simulation!DM11&lt;Obligors!$I$11,1,0)</f>
        <v/>
      </c>
      <c r="DN11" s="20">
        <f>IF(Simulation!DN11&lt;Obligors!$I$11,1,0)</f>
        <v/>
      </c>
      <c r="DO11" s="20">
        <f>IF(Simulation!DO11&lt;Obligors!$I$11,1,0)</f>
        <v/>
      </c>
      <c r="DP11" s="20">
        <f>IF(Simulation!DP11&lt;Obligors!$I$11,1,0)</f>
        <v/>
      </c>
      <c r="DQ11" s="20">
        <f>IF(Simulation!DQ11&lt;Obligors!$I$11,1,0)</f>
        <v/>
      </c>
      <c r="DR11" s="20">
        <f>IF(Simulation!DR11&lt;Obligors!$I$11,1,0)</f>
        <v/>
      </c>
      <c r="DS11" s="20">
        <f>IF(Simulation!DS11&lt;Obligors!$I$11,1,0)</f>
        <v/>
      </c>
      <c r="DT11" s="20">
        <f>IF(Simulation!DT11&lt;Obligors!$I$11,1,0)</f>
        <v/>
      </c>
      <c r="DU11" s="20">
        <f>IF(Simulation!DU11&lt;Obligors!$I$11,1,0)</f>
        <v/>
      </c>
      <c r="DV11" s="20">
        <f>IF(Simulation!DV11&lt;Obligors!$I$11,1,0)</f>
        <v/>
      </c>
      <c r="DW11" s="20">
        <f>IF(Simulation!DW11&lt;Obligors!$I$11,1,0)</f>
        <v/>
      </c>
      <c r="DX11" s="20">
        <f>IF(Simulation!DX11&lt;Obligors!$I$11,1,0)</f>
        <v/>
      </c>
      <c r="DY11" s="20">
        <f>IF(Simulation!DY11&lt;Obligors!$I$11,1,0)</f>
        <v/>
      </c>
      <c r="DZ11" s="20">
        <f>IF(Simulation!DZ11&lt;Obligors!$I$11,1,0)</f>
        <v/>
      </c>
      <c r="EA11" s="20">
        <f>IF(Simulation!EA11&lt;Obligors!$I$11,1,0)</f>
        <v/>
      </c>
      <c r="EB11" s="20">
        <f>IF(Simulation!EB11&lt;Obligors!$I$11,1,0)</f>
        <v/>
      </c>
      <c r="EC11" s="20">
        <f>IF(Simulation!EC11&lt;Obligors!$I$11,1,0)</f>
        <v/>
      </c>
      <c r="ED11" s="20">
        <f>IF(Simulation!ED11&lt;Obligors!$I$11,1,0)</f>
        <v/>
      </c>
      <c r="EE11" s="20">
        <f>IF(Simulation!EE11&lt;Obligors!$I$11,1,0)</f>
        <v/>
      </c>
      <c r="EF11" s="20">
        <f>IF(Simulation!EF11&lt;Obligors!$I$11,1,0)</f>
        <v/>
      </c>
      <c r="EG11" s="20">
        <f>IF(Simulation!EG11&lt;Obligors!$I$11,1,0)</f>
        <v/>
      </c>
      <c r="EH11" s="20">
        <f>IF(Simulation!EH11&lt;Obligors!$I$11,1,0)</f>
        <v/>
      </c>
      <c r="EI11" s="20">
        <f>IF(Simulation!EI11&lt;Obligors!$I$11,1,0)</f>
        <v/>
      </c>
      <c r="EJ11" s="20">
        <f>IF(Simulation!EJ11&lt;Obligors!$I$11,1,0)</f>
        <v/>
      </c>
      <c r="EK11" s="20">
        <f>IF(Simulation!EK11&lt;Obligors!$I$11,1,0)</f>
        <v/>
      </c>
      <c r="EL11" s="20">
        <f>IF(Simulation!EL11&lt;Obligors!$I$11,1,0)</f>
        <v/>
      </c>
      <c r="EM11" s="20">
        <f>IF(Simulation!EM11&lt;Obligors!$I$11,1,0)</f>
        <v/>
      </c>
      <c r="EN11" s="20">
        <f>IF(Simulation!EN11&lt;Obligors!$I$11,1,0)</f>
        <v/>
      </c>
      <c r="EO11" s="20">
        <f>IF(Simulation!EO11&lt;Obligors!$I$11,1,0)</f>
        <v/>
      </c>
      <c r="EP11" s="20">
        <f>IF(Simulation!EP11&lt;Obligors!$I$11,1,0)</f>
        <v/>
      </c>
      <c r="EQ11" s="20">
        <f>IF(Simulation!EQ11&lt;Obligors!$I$11,1,0)</f>
        <v/>
      </c>
      <c r="ER11" s="20">
        <f>IF(Simulation!ER11&lt;Obligors!$I$11,1,0)</f>
        <v/>
      </c>
      <c r="ES11" s="20">
        <f>IF(Simulation!ES11&lt;Obligors!$I$11,1,0)</f>
        <v/>
      </c>
      <c r="ET11" s="20">
        <f>IF(Simulation!ET11&lt;Obligors!$I$11,1,0)</f>
        <v/>
      </c>
      <c r="EU11" s="20">
        <f>IF(Simulation!EU11&lt;Obligors!$I$11,1,0)</f>
        <v/>
      </c>
      <c r="EV11" s="20">
        <f>IF(Simulation!EV11&lt;Obligors!$I$11,1,0)</f>
        <v/>
      </c>
      <c r="EW11" s="20">
        <f>IF(Simulation!EW11&lt;Obligors!$I$11,1,0)</f>
        <v/>
      </c>
      <c r="EX11" s="20">
        <f>IF(Simulation!EX11&lt;Obligors!$I$11,1,0)</f>
        <v/>
      </c>
      <c r="EY11" s="20">
        <f>IF(Simulation!EY11&lt;Obligors!$I$11,1,0)</f>
        <v/>
      </c>
      <c r="EZ11" s="20">
        <f>IF(Simulation!EZ11&lt;Obligors!$I$11,1,0)</f>
        <v/>
      </c>
      <c r="FA11" s="20">
        <f>IF(Simulation!FA11&lt;Obligors!$I$11,1,0)</f>
        <v/>
      </c>
      <c r="FB11" s="20">
        <f>IF(Simulation!FB11&lt;Obligors!$I$11,1,0)</f>
        <v/>
      </c>
      <c r="FC11" s="20">
        <f>IF(Simulation!FC11&lt;Obligors!$I$11,1,0)</f>
        <v/>
      </c>
      <c r="FD11" s="20">
        <f>IF(Simulation!FD11&lt;Obligors!$I$11,1,0)</f>
        <v/>
      </c>
      <c r="FE11" s="20">
        <f>IF(Simulation!FE11&lt;Obligors!$I$11,1,0)</f>
        <v/>
      </c>
      <c r="FF11" s="20">
        <f>IF(Simulation!FF11&lt;Obligors!$I$11,1,0)</f>
        <v/>
      </c>
      <c r="FG11" s="20">
        <f>IF(Simulation!FG11&lt;Obligors!$I$11,1,0)</f>
        <v/>
      </c>
      <c r="FH11" s="20">
        <f>IF(Simulation!FH11&lt;Obligors!$I$11,1,0)</f>
        <v/>
      </c>
      <c r="FI11" s="20">
        <f>IF(Simulation!FI11&lt;Obligors!$I$11,1,0)</f>
        <v/>
      </c>
      <c r="FJ11" s="20">
        <f>IF(Simulation!FJ11&lt;Obligors!$I$11,1,0)</f>
        <v/>
      </c>
      <c r="FK11" s="20">
        <f>IF(Simulation!FK11&lt;Obligors!$I$11,1,0)</f>
        <v/>
      </c>
      <c r="FL11" s="20">
        <f>IF(Simulation!FL11&lt;Obligors!$I$11,1,0)</f>
        <v/>
      </c>
      <c r="FM11" s="20">
        <f>IF(Simulation!FM11&lt;Obligors!$I$11,1,0)</f>
        <v/>
      </c>
      <c r="FN11" s="20">
        <f>IF(Simulation!FN11&lt;Obligors!$I$11,1,0)</f>
        <v/>
      </c>
      <c r="FO11" s="20">
        <f>IF(Simulation!FO11&lt;Obligors!$I$11,1,0)</f>
        <v/>
      </c>
      <c r="FP11" s="20">
        <f>IF(Simulation!FP11&lt;Obligors!$I$11,1,0)</f>
        <v/>
      </c>
      <c r="FQ11" s="20">
        <f>IF(Simulation!FQ11&lt;Obligors!$I$11,1,0)</f>
        <v/>
      </c>
      <c r="FR11" s="20">
        <f>IF(Simulation!FR11&lt;Obligors!$I$11,1,0)</f>
        <v/>
      </c>
      <c r="FS11" s="20">
        <f>IF(Simulation!FS11&lt;Obligors!$I$11,1,0)</f>
        <v/>
      </c>
      <c r="FT11" s="20">
        <f>IF(Simulation!FT11&lt;Obligors!$I$11,1,0)</f>
        <v/>
      </c>
      <c r="FU11" s="20">
        <f>IF(Simulation!FU11&lt;Obligors!$I$11,1,0)</f>
        <v/>
      </c>
      <c r="FV11" s="20">
        <f>IF(Simulation!FV11&lt;Obligors!$I$11,1,0)</f>
        <v/>
      </c>
      <c r="FW11" s="20">
        <f>IF(Simulation!FW11&lt;Obligors!$I$11,1,0)</f>
        <v/>
      </c>
      <c r="FX11" s="20">
        <f>IF(Simulation!FX11&lt;Obligors!$I$11,1,0)</f>
        <v/>
      </c>
      <c r="FY11" s="20">
        <f>IF(Simulation!FY11&lt;Obligors!$I$11,1,0)</f>
        <v/>
      </c>
      <c r="FZ11" s="20">
        <f>IF(Simulation!FZ11&lt;Obligors!$I$11,1,0)</f>
        <v/>
      </c>
      <c r="GA11" s="20">
        <f>IF(Simulation!GA11&lt;Obligors!$I$11,1,0)</f>
        <v/>
      </c>
      <c r="GB11" s="20">
        <f>IF(Simulation!GB11&lt;Obligors!$I$11,1,0)</f>
        <v/>
      </c>
      <c r="GC11" s="20">
        <f>IF(Simulation!GC11&lt;Obligors!$I$11,1,0)</f>
        <v/>
      </c>
      <c r="GD11" s="20">
        <f>IF(Simulation!GD11&lt;Obligors!$I$11,1,0)</f>
        <v/>
      </c>
      <c r="GE11" s="20">
        <f>IF(Simulation!GE11&lt;Obligors!$I$11,1,0)</f>
        <v/>
      </c>
      <c r="GF11" s="20">
        <f>IF(Simulation!GF11&lt;Obligors!$I$11,1,0)</f>
        <v/>
      </c>
      <c r="GG11" s="20">
        <f>IF(Simulation!GG11&lt;Obligors!$I$11,1,0)</f>
        <v/>
      </c>
      <c r="GH11" s="20">
        <f>IF(Simulation!GH11&lt;Obligors!$I$11,1,0)</f>
        <v/>
      </c>
      <c r="GI11" s="20">
        <f>IF(Simulation!GI11&lt;Obligors!$I$11,1,0)</f>
        <v/>
      </c>
      <c r="GJ11" s="20">
        <f>IF(Simulation!GJ11&lt;Obligors!$I$11,1,0)</f>
        <v/>
      </c>
      <c r="GK11" s="20">
        <f>IF(Simulation!GK11&lt;Obligors!$I$11,1,0)</f>
        <v/>
      </c>
      <c r="GL11" s="20">
        <f>IF(Simulation!GL11&lt;Obligors!$I$11,1,0)</f>
        <v/>
      </c>
      <c r="GM11" s="20">
        <f>IF(Simulation!GM11&lt;Obligors!$I$11,1,0)</f>
        <v/>
      </c>
      <c r="GN11" s="20">
        <f>IF(Simulation!GN11&lt;Obligors!$I$11,1,0)</f>
        <v/>
      </c>
      <c r="GO11" s="20">
        <f>IF(Simulation!GO11&lt;Obligors!$I$11,1,0)</f>
        <v/>
      </c>
      <c r="GP11" s="20">
        <f>IF(Simulation!GP11&lt;Obligors!$I$11,1,0)</f>
        <v/>
      </c>
      <c r="GQ11" s="20">
        <f>IF(Simulation!GQ11&lt;Obligors!$I$11,1,0)</f>
        <v/>
      </c>
      <c r="GR11" s="20">
        <f>IF(Simulation!GR11&lt;Obligors!$I$11,1,0)</f>
        <v/>
      </c>
      <c r="GS11" s="20">
        <f>IF(Simulation!GS11&lt;Obligors!$I$11,1,0)</f>
        <v/>
      </c>
      <c r="GT11" s="20">
        <f>IF(Simulation!GT11&lt;Obligors!$I$11,1,0)</f>
        <v/>
      </c>
      <c r="GU11" s="20">
        <f>IF(Simulation!GU11&lt;Obligors!$I$11,1,0)</f>
        <v/>
      </c>
      <c r="GV11" s="20">
        <f>IF(Simulation!GV11&lt;Obligors!$I$11,1,0)</f>
        <v/>
      </c>
      <c r="GW11" s="20">
        <f>IF(Simulation!GW11&lt;Obligors!$I$11,1,0)</f>
        <v/>
      </c>
      <c r="GX11" s="20">
        <f>IF(Simulation!GX11&lt;Obligors!$I$11,1,0)</f>
        <v/>
      </c>
      <c r="GY11" s="20">
        <f>IF(Simulation!GY11&lt;Obligors!$I$11,1,0)</f>
        <v/>
      </c>
      <c r="GZ11" s="20">
        <f>IF(Simulation!GZ11&lt;Obligors!$I$11,1,0)</f>
        <v/>
      </c>
      <c r="HA11" s="20">
        <f>IF(Simulation!HA11&lt;Obligors!$I$11,1,0)</f>
        <v/>
      </c>
      <c r="HB11" s="20">
        <f>IF(Simulation!HB11&lt;Obligors!$I$11,1,0)</f>
        <v/>
      </c>
      <c r="HC11" s="20">
        <f>IF(Simulation!HC11&lt;Obligors!$I$11,1,0)</f>
        <v/>
      </c>
      <c r="HD11" s="20">
        <f>IF(Simulation!HD11&lt;Obligors!$I$11,1,0)</f>
        <v/>
      </c>
      <c r="HE11" s="20">
        <f>IF(Simulation!HE11&lt;Obligors!$I$11,1,0)</f>
        <v/>
      </c>
      <c r="HF11" s="20">
        <f>IF(Simulation!HF11&lt;Obligors!$I$11,1,0)</f>
        <v/>
      </c>
      <c r="HG11" s="20">
        <f>IF(Simulation!HG11&lt;Obligors!$I$11,1,0)</f>
        <v/>
      </c>
      <c r="HH11" s="20">
        <f>IF(Simulation!HH11&lt;Obligors!$I$11,1,0)</f>
        <v/>
      </c>
      <c r="HI11" s="20">
        <f>IF(Simulation!HI11&lt;Obligors!$I$11,1,0)</f>
        <v/>
      </c>
      <c r="HJ11" s="20">
        <f>IF(Simulation!HJ11&lt;Obligors!$I$11,1,0)</f>
        <v/>
      </c>
      <c r="HK11" s="20">
        <f>IF(Simulation!HK11&lt;Obligors!$I$11,1,0)</f>
        <v/>
      </c>
      <c r="HL11" s="20">
        <f>IF(Simulation!HL11&lt;Obligors!$I$11,1,0)</f>
        <v/>
      </c>
      <c r="HM11" s="20">
        <f>IF(Simulation!HM11&lt;Obligors!$I$11,1,0)</f>
        <v/>
      </c>
      <c r="HN11" s="20">
        <f>IF(Simulation!HN11&lt;Obligors!$I$11,1,0)</f>
        <v/>
      </c>
      <c r="HO11" s="20">
        <f>IF(Simulation!HO11&lt;Obligors!$I$11,1,0)</f>
        <v/>
      </c>
      <c r="HP11" s="20">
        <f>IF(Simulation!HP11&lt;Obligors!$I$11,1,0)</f>
        <v/>
      </c>
      <c r="HQ11" s="20">
        <f>IF(Simulation!HQ11&lt;Obligors!$I$11,1,0)</f>
        <v/>
      </c>
      <c r="HR11" s="20">
        <f>IF(Simulation!HR11&lt;Obligors!$I$11,1,0)</f>
        <v/>
      </c>
      <c r="HS11" s="20">
        <f>IF(Simulation!HS11&lt;Obligors!$I$11,1,0)</f>
        <v/>
      </c>
      <c r="HT11" s="20">
        <f>IF(Simulation!HT11&lt;Obligors!$I$11,1,0)</f>
        <v/>
      </c>
      <c r="HU11" s="20">
        <f>IF(Simulation!HU11&lt;Obligors!$I$11,1,0)</f>
        <v/>
      </c>
      <c r="HV11" s="20">
        <f>IF(Simulation!HV11&lt;Obligors!$I$11,1,0)</f>
        <v/>
      </c>
      <c r="HW11" s="20">
        <f>IF(Simulation!HW11&lt;Obligors!$I$11,1,0)</f>
        <v/>
      </c>
      <c r="HX11" s="20">
        <f>IF(Simulation!HX11&lt;Obligors!$I$11,1,0)</f>
        <v/>
      </c>
      <c r="HY11" s="20">
        <f>IF(Simulation!HY11&lt;Obligors!$I$11,1,0)</f>
        <v/>
      </c>
      <c r="HZ11" s="20">
        <f>IF(Simulation!HZ11&lt;Obligors!$I$11,1,0)</f>
        <v/>
      </c>
      <c r="IA11" s="20">
        <f>IF(Simulation!IA11&lt;Obligors!$I$11,1,0)</f>
        <v/>
      </c>
      <c r="IB11" s="20">
        <f>IF(Simulation!IB11&lt;Obligors!$I$11,1,0)</f>
        <v/>
      </c>
      <c r="IC11" s="20">
        <f>IF(Simulation!IC11&lt;Obligors!$I$11,1,0)</f>
        <v/>
      </c>
      <c r="ID11" s="20">
        <f>IF(Simulation!ID11&lt;Obligors!$I$11,1,0)</f>
        <v/>
      </c>
      <c r="IE11" s="20">
        <f>IF(Simulation!IE11&lt;Obligors!$I$11,1,0)</f>
        <v/>
      </c>
      <c r="IF11" s="20">
        <f>IF(Simulation!IF11&lt;Obligors!$I$11,1,0)</f>
        <v/>
      </c>
      <c r="IG11" s="20">
        <f>IF(Simulation!IG11&lt;Obligors!$I$11,1,0)</f>
        <v/>
      </c>
      <c r="IH11" s="20">
        <f>IF(Simulation!IH11&lt;Obligors!$I$11,1,0)</f>
        <v/>
      </c>
      <c r="II11" s="20">
        <f>IF(Simulation!II11&lt;Obligors!$I$11,1,0)</f>
        <v/>
      </c>
      <c r="IJ11" s="20">
        <f>IF(Simulation!IJ11&lt;Obligors!$I$11,1,0)</f>
        <v/>
      </c>
      <c r="IK11" s="20">
        <f>IF(Simulation!IK11&lt;Obligors!$I$11,1,0)</f>
        <v/>
      </c>
      <c r="IL11" s="20">
        <f>IF(Simulation!IL11&lt;Obligors!$I$11,1,0)</f>
        <v/>
      </c>
      <c r="IM11" s="20">
        <f>IF(Simulation!IM11&lt;Obligors!$I$11,1,0)</f>
        <v/>
      </c>
      <c r="IN11" s="20">
        <f>IF(Simulation!IN11&lt;Obligors!$I$11,1,0)</f>
        <v/>
      </c>
      <c r="IO11" s="20">
        <f>IF(Simulation!IO11&lt;Obligors!$I$11,1,0)</f>
        <v/>
      </c>
      <c r="IP11" s="20">
        <f>IF(Simulation!IP11&lt;Obligors!$I$11,1,0)</f>
        <v/>
      </c>
      <c r="IQ11" s="20">
        <f>IF(Simulation!IQ11&lt;Obligors!$I$11,1,0)</f>
        <v/>
      </c>
      <c r="IR11" s="20">
        <f>IF(Simulation!IR11&lt;Obligors!$I$11,1,0)</f>
        <v/>
      </c>
      <c r="IS11" s="20">
        <f>IF(Simulation!IS11&lt;Obligors!$I$11,1,0)</f>
        <v/>
      </c>
      <c r="IT11" s="20">
        <f>IF(Simulation!IT11&lt;Obligors!$I$11,1,0)</f>
        <v/>
      </c>
      <c r="IU11" s="20">
        <f>IF(Simulation!IU11&lt;Obligors!$I$11,1,0)</f>
        <v/>
      </c>
      <c r="IV11" s="20">
        <f>IF(Simulation!IV11&lt;Obligors!$I$11,1,0)</f>
        <v/>
      </c>
      <c r="IW11" s="20">
        <f>IF(Simulation!IW11&lt;Obligors!$I$11,1,0)</f>
        <v/>
      </c>
      <c r="IX11" s="20">
        <f>IF(Simulation!IX11&lt;Obligors!$I$11,1,0)</f>
        <v/>
      </c>
      <c r="IY11" s="20">
        <f>IF(Simulation!IY11&lt;Obligors!$I$11,1,0)</f>
        <v/>
      </c>
      <c r="IZ11" s="20">
        <f>IF(Simulation!IZ11&lt;Obligors!$I$11,1,0)</f>
        <v/>
      </c>
      <c r="JA11" s="20">
        <f>IF(Simulation!JA11&lt;Obligors!$I$11,1,0)</f>
        <v/>
      </c>
      <c r="JB11" s="20">
        <f>IF(Simulation!JB11&lt;Obligors!$I$11,1,0)</f>
        <v/>
      </c>
      <c r="JC11" s="20">
        <f>IF(Simulation!JC11&lt;Obligors!$I$11,1,0)</f>
        <v/>
      </c>
      <c r="JD11" s="20">
        <f>IF(Simulation!JD11&lt;Obligors!$I$11,1,0)</f>
        <v/>
      </c>
      <c r="JE11" s="20">
        <f>IF(Simulation!JE11&lt;Obligors!$I$11,1,0)</f>
        <v/>
      </c>
      <c r="JF11" s="20">
        <f>IF(Simulation!JF11&lt;Obligors!$I$11,1,0)</f>
        <v/>
      </c>
      <c r="JG11" s="20">
        <f>IF(Simulation!JG11&lt;Obligors!$I$11,1,0)</f>
        <v/>
      </c>
      <c r="JH11" s="20">
        <f>IF(Simulation!JH11&lt;Obligors!$I$11,1,0)</f>
        <v/>
      </c>
      <c r="JI11" s="20">
        <f>IF(Simulation!JI11&lt;Obligors!$I$11,1,0)</f>
        <v/>
      </c>
      <c r="JJ11" s="20">
        <f>IF(Simulation!JJ11&lt;Obligors!$I$11,1,0)</f>
        <v/>
      </c>
      <c r="JK11" s="20">
        <f>IF(Simulation!JK11&lt;Obligors!$I$11,1,0)</f>
        <v/>
      </c>
      <c r="JL11" s="20">
        <f>IF(Simulation!JL11&lt;Obligors!$I$11,1,0)</f>
        <v/>
      </c>
      <c r="JM11" s="20">
        <f>IF(Simulation!JM11&lt;Obligors!$I$11,1,0)</f>
        <v/>
      </c>
      <c r="JN11" s="20">
        <f>IF(Simulation!JN11&lt;Obligors!$I$11,1,0)</f>
        <v/>
      </c>
      <c r="JO11" s="20">
        <f>IF(Simulation!JO11&lt;Obligors!$I$11,1,0)</f>
        <v/>
      </c>
      <c r="JP11" s="20">
        <f>IF(Simulation!JP11&lt;Obligors!$I$11,1,0)</f>
        <v/>
      </c>
      <c r="JQ11" s="20">
        <f>IF(Simulation!JQ11&lt;Obligors!$I$11,1,0)</f>
        <v/>
      </c>
      <c r="JR11" s="20">
        <f>IF(Simulation!JR11&lt;Obligors!$I$11,1,0)</f>
        <v/>
      </c>
      <c r="JS11" s="20">
        <f>IF(Simulation!JS11&lt;Obligors!$I$11,1,0)</f>
        <v/>
      </c>
      <c r="JT11" s="20">
        <f>IF(Simulation!JT11&lt;Obligors!$I$11,1,0)</f>
        <v/>
      </c>
      <c r="JU11" s="20">
        <f>IF(Simulation!JU11&lt;Obligors!$I$11,1,0)</f>
        <v/>
      </c>
      <c r="JV11" s="20">
        <f>IF(Simulation!JV11&lt;Obligors!$I$11,1,0)</f>
        <v/>
      </c>
      <c r="JW11" s="20">
        <f>IF(Simulation!JW11&lt;Obligors!$I$11,1,0)</f>
        <v/>
      </c>
      <c r="JX11" s="20">
        <f>IF(Simulation!JX11&lt;Obligors!$I$11,1,0)</f>
        <v/>
      </c>
      <c r="JY11" s="20">
        <f>IF(Simulation!JY11&lt;Obligors!$I$11,1,0)</f>
        <v/>
      </c>
      <c r="JZ11" s="20">
        <f>IF(Simulation!JZ11&lt;Obligors!$I$11,1,0)</f>
        <v/>
      </c>
      <c r="KA11" s="20">
        <f>IF(Simulation!KA11&lt;Obligors!$I$11,1,0)</f>
        <v/>
      </c>
      <c r="KB11" s="20">
        <f>IF(Simulation!KB11&lt;Obligors!$I$11,1,0)</f>
        <v/>
      </c>
      <c r="KC11" s="20">
        <f>IF(Simulation!KC11&lt;Obligors!$I$11,1,0)</f>
        <v/>
      </c>
      <c r="KD11" s="20">
        <f>IF(Simulation!KD11&lt;Obligors!$I$11,1,0)</f>
        <v/>
      </c>
      <c r="KE11" s="20">
        <f>IF(Simulation!KE11&lt;Obligors!$I$11,1,0)</f>
        <v/>
      </c>
      <c r="KF11" s="20">
        <f>IF(Simulation!KF11&lt;Obligors!$I$11,1,0)</f>
        <v/>
      </c>
      <c r="KG11" s="20">
        <f>IF(Simulation!KG11&lt;Obligors!$I$11,1,0)</f>
        <v/>
      </c>
      <c r="KH11" s="20">
        <f>IF(Simulation!KH11&lt;Obligors!$I$11,1,0)</f>
        <v/>
      </c>
      <c r="KI11" s="20">
        <f>IF(Simulation!KI11&lt;Obligors!$I$11,1,0)</f>
        <v/>
      </c>
      <c r="KJ11" s="20">
        <f>IF(Simulation!KJ11&lt;Obligors!$I$11,1,0)</f>
        <v/>
      </c>
      <c r="KK11" s="20">
        <f>IF(Simulation!KK11&lt;Obligors!$I$11,1,0)</f>
        <v/>
      </c>
      <c r="KL11" s="20">
        <f>IF(Simulation!KL11&lt;Obligors!$I$11,1,0)</f>
        <v/>
      </c>
      <c r="KM11" s="20">
        <f>IF(Simulation!KM11&lt;Obligors!$I$11,1,0)</f>
        <v/>
      </c>
      <c r="KN11" s="20">
        <f>IF(Simulation!KN11&lt;Obligors!$I$11,1,0)</f>
        <v/>
      </c>
      <c r="KO11" s="20">
        <f>IF(Simulation!KO11&lt;Obligors!$I$11,1,0)</f>
        <v/>
      </c>
      <c r="KP11" s="20">
        <f>IF(Simulation!KP11&lt;Obligors!$I$11,1,0)</f>
        <v/>
      </c>
      <c r="KQ11" s="20">
        <f>IF(Simulation!KQ11&lt;Obligors!$I$11,1,0)</f>
        <v/>
      </c>
      <c r="KR11" s="20">
        <f>IF(Simulation!KR11&lt;Obligors!$I$11,1,0)</f>
        <v/>
      </c>
      <c r="KS11" s="20">
        <f>IF(Simulation!KS11&lt;Obligors!$I$11,1,0)</f>
        <v/>
      </c>
      <c r="KT11" s="20">
        <f>IF(Simulation!KT11&lt;Obligors!$I$11,1,0)</f>
        <v/>
      </c>
      <c r="KU11" s="20">
        <f>IF(Simulation!KU11&lt;Obligors!$I$11,1,0)</f>
        <v/>
      </c>
      <c r="KV11" s="20">
        <f>IF(Simulation!KV11&lt;Obligors!$I$11,1,0)</f>
        <v/>
      </c>
      <c r="KW11" s="20">
        <f>IF(Simulation!KW11&lt;Obligors!$I$11,1,0)</f>
        <v/>
      </c>
      <c r="KX11" s="20">
        <f>IF(Simulation!KX11&lt;Obligors!$I$11,1,0)</f>
        <v/>
      </c>
      <c r="KY11" s="20">
        <f>IF(Simulation!KY11&lt;Obligors!$I$11,1,0)</f>
        <v/>
      </c>
      <c r="KZ11" s="20">
        <f>IF(Simulation!KZ11&lt;Obligors!$I$11,1,0)</f>
        <v/>
      </c>
      <c r="LA11" s="20">
        <f>IF(Simulation!LA11&lt;Obligors!$I$11,1,0)</f>
        <v/>
      </c>
      <c r="LB11" s="20">
        <f>IF(Simulation!LB11&lt;Obligors!$I$11,1,0)</f>
        <v/>
      </c>
      <c r="LC11" s="20">
        <f>IF(Simulation!LC11&lt;Obligors!$I$11,1,0)</f>
        <v/>
      </c>
      <c r="LD11" s="20">
        <f>IF(Simulation!LD11&lt;Obligors!$I$11,1,0)</f>
        <v/>
      </c>
      <c r="LE11" s="20">
        <f>IF(Simulation!LE11&lt;Obligors!$I$11,1,0)</f>
        <v/>
      </c>
      <c r="LF11" s="20">
        <f>IF(Simulation!LF11&lt;Obligors!$I$11,1,0)</f>
        <v/>
      </c>
      <c r="LG11" s="20">
        <f>IF(Simulation!LG11&lt;Obligors!$I$11,1,0)</f>
        <v/>
      </c>
      <c r="LH11" s="20">
        <f>IF(Simulation!LH11&lt;Obligors!$I$11,1,0)</f>
        <v/>
      </c>
      <c r="LI11" s="20">
        <f>IF(Simulation!LI11&lt;Obligors!$I$11,1,0)</f>
        <v/>
      </c>
      <c r="LJ11" s="20">
        <f>IF(Simulation!LJ11&lt;Obligors!$I$11,1,0)</f>
        <v/>
      </c>
      <c r="LK11" s="20">
        <f>IF(Simulation!LK11&lt;Obligors!$I$11,1,0)</f>
        <v/>
      </c>
      <c r="LL11" s="20">
        <f>IF(Simulation!LL11&lt;Obligors!$I$11,1,0)</f>
        <v/>
      </c>
      <c r="LM11" s="20">
        <f>IF(Simulation!LM11&lt;Obligors!$I$11,1,0)</f>
        <v/>
      </c>
      <c r="LN11" s="20">
        <f>IF(Simulation!LN11&lt;Obligors!$I$11,1,0)</f>
        <v/>
      </c>
      <c r="LO11" s="20">
        <f>IF(Simulation!LO11&lt;Obligors!$I$11,1,0)</f>
        <v/>
      </c>
      <c r="LP11" s="20">
        <f>IF(Simulation!LP11&lt;Obligors!$I$11,1,0)</f>
        <v/>
      </c>
      <c r="LQ11" s="20">
        <f>IF(Simulation!LQ11&lt;Obligors!$I$11,1,0)</f>
        <v/>
      </c>
      <c r="LR11" s="20">
        <f>IF(Simulation!LR11&lt;Obligors!$I$11,1,0)</f>
        <v/>
      </c>
      <c r="LS11" s="20">
        <f>IF(Simulation!LS11&lt;Obligors!$I$11,1,0)</f>
        <v/>
      </c>
      <c r="LT11" s="20">
        <f>IF(Simulation!LT11&lt;Obligors!$I$11,1,0)</f>
        <v/>
      </c>
      <c r="LU11" s="20">
        <f>IF(Simulation!LU11&lt;Obligors!$I$11,1,0)</f>
        <v/>
      </c>
      <c r="LV11" s="20">
        <f>IF(Simulation!LV11&lt;Obligors!$I$11,1,0)</f>
        <v/>
      </c>
      <c r="LW11" s="20">
        <f>IF(Simulation!LW11&lt;Obligors!$I$11,1,0)</f>
        <v/>
      </c>
      <c r="LX11" s="20">
        <f>IF(Simulation!LX11&lt;Obligors!$I$11,1,0)</f>
        <v/>
      </c>
      <c r="LY11" s="20">
        <f>IF(Simulation!LY11&lt;Obligors!$I$11,1,0)</f>
        <v/>
      </c>
      <c r="LZ11" s="20">
        <f>IF(Simulation!LZ11&lt;Obligors!$I$11,1,0)</f>
        <v/>
      </c>
      <c r="MA11" s="20">
        <f>IF(Simulation!MA11&lt;Obligors!$I$11,1,0)</f>
        <v/>
      </c>
      <c r="MB11" s="20">
        <f>IF(Simulation!MB11&lt;Obligors!$I$11,1,0)</f>
        <v/>
      </c>
      <c r="MC11" s="20">
        <f>IF(Simulation!MC11&lt;Obligors!$I$11,1,0)</f>
        <v/>
      </c>
      <c r="MD11" s="20">
        <f>IF(Simulation!MD11&lt;Obligors!$I$11,1,0)</f>
        <v/>
      </c>
      <c r="ME11" s="20">
        <f>IF(Simulation!ME11&lt;Obligors!$I$11,1,0)</f>
        <v/>
      </c>
      <c r="MF11" s="20">
        <f>IF(Simulation!MF11&lt;Obligors!$I$11,1,0)</f>
        <v/>
      </c>
      <c r="MG11" s="20">
        <f>IF(Simulation!MG11&lt;Obligors!$I$11,1,0)</f>
        <v/>
      </c>
      <c r="MH11" s="20">
        <f>IF(Simulation!MH11&lt;Obligors!$I$11,1,0)</f>
        <v/>
      </c>
      <c r="MI11" s="20">
        <f>IF(Simulation!MI11&lt;Obligors!$I$11,1,0)</f>
        <v/>
      </c>
      <c r="MJ11" s="20">
        <f>IF(Simulation!MJ11&lt;Obligors!$I$11,1,0)</f>
        <v/>
      </c>
      <c r="MK11" s="20">
        <f>IF(Simulation!MK11&lt;Obligors!$I$11,1,0)</f>
        <v/>
      </c>
      <c r="ML11" s="20">
        <f>IF(Simulation!ML11&lt;Obligors!$I$11,1,0)</f>
        <v/>
      </c>
      <c r="MM11" s="20">
        <f>IF(Simulation!MM11&lt;Obligors!$I$11,1,0)</f>
        <v/>
      </c>
      <c r="MN11" s="20">
        <f>IF(Simulation!MN11&lt;Obligors!$I$11,1,0)</f>
        <v/>
      </c>
      <c r="MO11" s="20">
        <f>IF(Simulation!MO11&lt;Obligors!$I$11,1,0)</f>
        <v/>
      </c>
      <c r="MP11" s="20">
        <f>IF(Simulation!MP11&lt;Obligors!$I$11,1,0)</f>
        <v/>
      </c>
      <c r="MQ11" s="20">
        <f>IF(Simulation!MQ11&lt;Obligors!$I$11,1,0)</f>
        <v/>
      </c>
      <c r="MR11" s="20">
        <f>IF(Simulation!MR11&lt;Obligors!$I$11,1,0)</f>
        <v/>
      </c>
      <c r="MS11" s="20">
        <f>IF(Simulation!MS11&lt;Obligors!$I$11,1,0)</f>
        <v/>
      </c>
      <c r="MT11" s="20">
        <f>IF(Simulation!MT11&lt;Obligors!$I$11,1,0)</f>
        <v/>
      </c>
      <c r="MU11" s="20">
        <f>IF(Simulation!MU11&lt;Obligors!$I$11,1,0)</f>
        <v/>
      </c>
      <c r="MV11" s="20">
        <f>IF(Simulation!MV11&lt;Obligors!$I$11,1,0)</f>
        <v/>
      </c>
      <c r="MW11" s="20">
        <f>IF(Simulation!MW11&lt;Obligors!$I$11,1,0)</f>
        <v/>
      </c>
      <c r="MX11" s="20">
        <f>IF(Simulation!MX11&lt;Obligors!$I$11,1,0)</f>
        <v/>
      </c>
      <c r="MY11" s="20">
        <f>IF(Simulation!MY11&lt;Obligors!$I$11,1,0)</f>
        <v/>
      </c>
      <c r="MZ11" s="20">
        <f>IF(Simulation!MZ11&lt;Obligors!$I$11,1,0)</f>
        <v/>
      </c>
      <c r="NA11" s="20">
        <f>IF(Simulation!NA11&lt;Obligors!$I$11,1,0)</f>
        <v/>
      </c>
      <c r="NB11" s="20">
        <f>IF(Simulation!NB11&lt;Obligors!$I$11,1,0)</f>
        <v/>
      </c>
      <c r="NC11" s="20">
        <f>IF(Simulation!NC11&lt;Obligors!$I$11,1,0)</f>
        <v/>
      </c>
      <c r="ND11" s="20">
        <f>IF(Simulation!ND11&lt;Obligors!$I$11,1,0)</f>
        <v/>
      </c>
      <c r="NE11" s="20">
        <f>IF(Simulation!NE11&lt;Obligors!$I$11,1,0)</f>
        <v/>
      </c>
      <c r="NF11" s="20">
        <f>IF(Simulation!NF11&lt;Obligors!$I$11,1,0)</f>
        <v/>
      </c>
      <c r="NG11" s="20">
        <f>IF(Simulation!NG11&lt;Obligors!$I$11,1,0)</f>
        <v/>
      </c>
      <c r="NH11" s="20">
        <f>IF(Simulation!NH11&lt;Obligors!$I$11,1,0)</f>
        <v/>
      </c>
      <c r="NI11" s="20">
        <f>IF(Simulation!NI11&lt;Obligors!$I$11,1,0)</f>
        <v/>
      </c>
      <c r="NJ11" s="20">
        <f>IF(Simulation!NJ11&lt;Obligors!$I$11,1,0)</f>
        <v/>
      </c>
      <c r="NK11" s="20">
        <f>IF(Simulation!NK11&lt;Obligors!$I$11,1,0)</f>
        <v/>
      </c>
      <c r="NL11" s="20">
        <f>IF(Simulation!NL11&lt;Obligors!$I$11,1,0)</f>
        <v/>
      </c>
      <c r="NM11" s="20">
        <f>IF(Simulation!NM11&lt;Obligors!$I$11,1,0)</f>
        <v/>
      </c>
      <c r="NN11" s="20">
        <f>IF(Simulation!NN11&lt;Obligors!$I$11,1,0)</f>
        <v/>
      </c>
      <c r="NO11" s="20">
        <f>IF(Simulation!NO11&lt;Obligors!$I$11,1,0)</f>
        <v/>
      </c>
      <c r="NP11" s="20">
        <f>IF(Simulation!NP11&lt;Obligors!$I$11,1,0)</f>
        <v/>
      </c>
      <c r="NQ11" s="20">
        <f>IF(Simulation!NQ11&lt;Obligors!$I$11,1,0)</f>
        <v/>
      </c>
      <c r="NR11" s="20">
        <f>IF(Simulation!NR11&lt;Obligors!$I$11,1,0)</f>
        <v/>
      </c>
      <c r="NS11" s="20">
        <f>IF(Simulation!NS11&lt;Obligors!$I$11,1,0)</f>
        <v/>
      </c>
      <c r="NT11" s="20">
        <f>IF(Simulation!NT11&lt;Obligors!$I$11,1,0)</f>
        <v/>
      </c>
      <c r="NU11" s="20">
        <f>IF(Simulation!NU11&lt;Obligors!$I$11,1,0)</f>
        <v/>
      </c>
      <c r="NV11" s="20">
        <f>IF(Simulation!NV11&lt;Obligors!$I$11,1,0)</f>
        <v/>
      </c>
      <c r="NW11" s="20">
        <f>IF(Simulation!NW11&lt;Obligors!$I$11,1,0)</f>
        <v/>
      </c>
      <c r="NX11" s="20">
        <f>IF(Simulation!NX11&lt;Obligors!$I$11,1,0)</f>
        <v/>
      </c>
      <c r="NY11" s="20">
        <f>IF(Simulation!NY11&lt;Obligors!$I$11,1,0)</f>
        <v/>
      </c>
      <c r="NZ11" s="20">
        <f>IF(Simulation!NZ11&lt;Obligors!$I$11,1,0)</f>
        <v/>
      </c>
      <c r="OA11" s="20">
        <f>IF(Simulation!OA11&lt;Obligors!$I$11,1,0)</f>
        <v/>
      </c>
      <c r="OB11" s="20">
        <f>IF(Simulation!OB11&lt;Obligors!$I$11,1,0)</f>
        <v/>
      </c>
      <c r="OC11" s="20">
        <f>IF(Simulation!OC11&lt;Obligors!$I$11,1,0)</f>
        <v/>
      </c>
      <c r="OD11" s="20">
        <f>IF(Simulation!OD11&lt;Obligors!$I$11,1,0)</f>
        <v/>
      </c>
      <c r="OE11" s="20">
        <f>IF(Simulation!OE11&lt;Obligors!$I$11,1,0)</f>
        <v/>
      </c>
      <c r="OF11" s="20">
        <f>IF(Simulation!OF11&lt;Obligors!$I$11,1,0)</f>
        <v/>
      </c>
      <c r="OG11" s="20">
        <f>IF(Simulation!OG11&lt;Obligors!$I$11,1,0)</f>
        <v/>
      </c>
      <c r="OH11" s="20">
        <f>IF(Simulation!OH11&lt;Obligors!$I$11,1,0)</f>
        <v/>
      </c>
      <c r="OI11" s="20">
        <f>IF(Simulation!OI11&lt;Obligors!$I$11,1,0)</f>
        <v/>
      </c>
      <c r="OJ11" s="20">
        <f>IF(Simulation!OJ11&lt;Obligors!$I$11,1,0)</f>
        <v/>
      </c>
      <c r="OK11" s="20">
        <f>IF(Simulation!OK11&lt;Obligors!$I$11,1,0)</f>
        <v/>
      </c>
      <c r="OL11" s="20">
        <f>IF(Simulation!OL11&lt;Obligors!$I$11,1,0)</f>
        <v/>
      </c>
      <c r="OM11" s="20">
        <f>IF(Simulation!OM11&lt;Obligors!$I$11,1,0)</f>
        <v/>
      </c>
      <c r="ON11" s="20">
        <f>IF(Simulation!ON11&lt;Obligors!$I$11,1,0)</f>
        <v/>
      </c>
      <c r="OO11" s="20">
        <f>IF(Simulation!OO11&lt;Obligors!$I$11,1,0)</f>
        <v/>
      </c>
      <c r="OP11" s="20">
        <f>IF(Simulation!OP11&lt;Obligors!$I$11,1,0)</f>
        <v/>
      </c>
      <c r="OQ11" s="20">
        <f>IF(Simulation!OQ11&lt;Obligors!$I$11,1,0)</f>
        <v/>
      </c>
      <c r="OR11" s="20">
        <f>IF(Simulation!OR11&lt;Obligors!$I$11,1,0)</f>
        <v/>
      </c>
      <c r="OS11" s="20">
        <f>IF(Simulation!OS11&lt;Obligors!$I$11,1,0)</f>
        <v/>
      </c>
      <c r="OT11" s="20">
        <f>IF(Simulation!OT11&lt;Obligors!$I$11,1,0)</f>
        <v/>
      </c>
      <c r="OU11" s="20">
        <f>IF(Simulation!OU11&lt;Obligors!$I$11,1,0)</f>
        <v/>
      </c>
      <c r="OV11" s="20">
        <f>IF(Simulation!OV11&lt;Obligors!$I$11,1,0)</f>
        <v/>
      </c>
      <c r="OW11" s="20">
        <f>IF(Simulation!OW11&lt;Obligors!$I$11,1,0)</f>
        <v/>
      </c>
      <c r="OX11" s="20">
        <f>IF(Simulation!OX11&lt;Obligors!$I$11,1,0)</f>
        <v/>
      </c>
      <c r="OY11" s="20">
        <f>IF(Simulation!OY11&lt;Obligors!$I$11,1,0)</f>
        <v/>
      </c>
      <c r="OZ11" s="20">
        <f>IF(Simulation!OZ11&lt;Obligors!$I$11,1,0)</f>
        <v/>
      </c>
      <c r="PA11" s="20">
        <f>IF(Simulation!PA11&lt;Obligors!$I$11,1,0)</f>
        <v/>
      </c>
      <c r="PB11" s="20">
        <f>IF(Simulation!PB11&lt;Obligors!$I$11,1,0)</f>
        <v/>
      </c>
      <c r="PC11" s="20">
        <f>IF(Simulation!PC11&lt;Obligors!$I$11,1,0)</f>
        <v/>
      </c>
      <c r="PD11" s="20">
        <f>IF(Simulation!PD11&lt;Obligors!$I$11,1,0)</f>
        <v/>
      </c>
      <c r="PE11" s="20">
        <f>IF(Simulation!PE11&lt;Obligors!$I$11,1,0)</f>
        <v/>
      </c>
      <c r="PF11" s="20">
        <f>IF(Simulation!PF11&lt;Obligors!$I$11,1,0)</f>
        <v/>
      </c>
      <c r="PG11" s="20">
        <f>IF(Simulation!PG11&lt;Obligors!$I$11,1,0)</f>
        <v/>
      </c>
      <c r="PH11" s="20">
        <f>IF(Simulation!PH11&lt;Obligors!$I$11,1,0)</f>
        <v/>
      </c>
      <c r="PI11" s="20">
        <f>IF(Simulation!PI11&lt;Obligors!$I$11,1,0)</f>
        <v/>
      </c>
      <c r="PJ11" s="20">
        <f>IF(Simulation!PJ11&lt;Obligors!$I$11,1,0)</f>
        <v/>
      </c>
      <c r="PK11" s="20">
        <f>IF(Simulation!PK11&lt;Obligors!$I$11,1,0)</f>
        <v/>
      </c>
      <c r="PL11" s="20">
        <f>IF(Simulation!PL11&lt;Obligors!$I$11,1,0)</f>
        <v/>
      </c>
      <c r="PM11" s="20">
        <f>IF(Simulation!PM11&lt;Obligors!$I$11,1,0)</f>
        <v/>
      </c>
      <c r="PN11" s="20">
        <f>IF(Simulation!PN11&lt;Obligors!$I$11,1,0)</f>
        <v/>
      </c>
      <c r="PO11" s="20">
        <f>IF(Simulation!PO11&lt;Obligors!$I$11,1,0)</f>
        <v/>
      </c>
      <c r="PP11" s="20">
        <f>IF(Simulation!PP11&lt;Obligors!$I$11,1,0)</f>
        <v/>
      </c>
      <c r="PQ11" s="20">
        <f>IF(Simulation!PQ11&lt;Obligors!$I$11,1,0)</f>
        <v/>
      </c>
      <c r="PR11" s="20">
        <f>IF(Simulation!PR11&lt;Obligors!$I$11,1,0)</f>
        <v/>
      </c>
      <c r="PS11" s="20">
        <f>IF(Simulation!PS11&lt;Obligors!$I$11,1,0)</f>
        <v/>
      </c>
      <c r="PT11" s="20">
        <f>IF(Simulation!PT11&lt;Obligors!$I$11,1,0)</f>
        <v/>
      </c>
      <c r="PU11" s="20">
        <f>IF(Simulation!PU11&lt;Obligors!$I$11,1,0)</f>
        <v/>
      </c>
      <c r="PV11" s="20">
        <f>IF(Simulation!PV11&lt;Obligors!$I$11,1,0)</f>
        <v/>
      </c>
      <c r="PW11" s="20">
        <f>IF(Simulation!PW11&lt;Obligors!$I$11,1,0)</f>
        <v/>
      </c>
      <c r="PX11" s="20">
        <f>IF(Simulation!PX11&lt;Obligors!$I$11,1,0)</f>
        <v/>
      </c>
      <c r="PY11" s="20">
        <f>IF(Simulation!PY11&lt;Obligors!$I$11,1,0)</f>
        <v/>
      </c>
      <c r="PZ11" s="20">
        <f>IF(Simulation!PZ11&lt;Obligors!$I$11,1,0)</f>
        <v/>
      </c>
      <c r="QA11" s="20">
        <f>IF(Simulation!QA11&lt;Obligors!$I$11,1,0)</f>
        <v/>
      </c>
      <c r="QB11" s="20">
        <f>IF(Simulation!QB11&lt;Obligors!$I$11,1,0)</f>
        <v/>
      </c>
      <c r="QC11" s="20">
        <f>IF(Simulation!QC11&lt;Obligors!$I$11,1,0)</f>
        <v/>
      </c>
      <c r="QD11" s="20">
        <f>IF(Simulation!QD11&lt;Obligors!$I$11,1,0)</f>
        <v/>
      </c>
      <c r="QE11" s="20">
        <f>IF(Simulation!QE11&lt;Obligors!$I$11,1,0)</f>
        <v/>
      </c>
      <c r="QF11" s="20">
        <f>IF(Simulation!QF11&lt;Obligors!$I$11,1,0)</f>
        <v/>
      </c>
      <c r="QG11" s="20">
        <f>IF(Simulation!QG11&lt;Obligors!$I$11,1,0)</f>
        <v/>
      </c>
      <c r="QH11" s="20">
        <f>IF(Simulation!QH11&lt;Obligors!$I$11,1,0)</f>
        <v/>
      </c>
      <c r="QI11" s="20">
        <f>IF(Simulation!QI11&lt;Obligors!$I$11,1,0)</f>
        <v/>
      </c>
      <c r="QJ11" s="20">
        <f>IF(Simulation!QJ11&lt;Obligors!$I$11,1,0)</f>
        <v/>
      </c>
      <c r="QK11" s="20">
        <f>IF(Simulation!QK11&lt;Obligors!$I$11,1,0)</f>
        <v/>
      </c>
      <c r="QL11" s="20">
        <f>IF(Simulation!QL11&lt;Obligors!$I$11,1,0)</f>
        <v/>
      </c>
      <c r="QM11" s="20">
        <f>IF(Simulation!QM11&lt;Obligors!$I$11,1,0)</f>
        <v/>
      </c>
      <c r="QN11" s="20">
        <f>IF(Simulation!QN11&lt;Obligors!$I$11,1,0)</f>
        <v/>
      </c>
      <c r="QO11" s="20">
        <f>IF(Simulation!QO11&lt;Obligors!$I$11,1,0)</f>
        <v/>
      </c>
      <c r="QP11" s="20">
        <f>IF(Simulation!QP11&lt;Obligors!$I$11,1,0)</f>
        <v/>
      </c>
      <c r="QQ11" s="20">
        <f>IF(Simulation!QQ11&lt;Obligors!$I$11,1,0)</f>
        <v/>
      </c>
      <c r="QR11" s="20">
        <f>IF(Simulation!QR11&lt;Obligors!$I$11,1,0)</f>
        <v/>
      </c>
      <c r="QS11" s="20">
        <f>IF(Simulation!QS11&lt;Obligors!$I$11,1,0)</f>
        <v/>
      </c>
      <c r="QT11" s="20">
        <f>IF(Simulation!QT11&lt;Obligors!$I$11,1,0)</f>
        <v/>
      </c>
      <c r="QU11" s="20">
        <f>IF(Simulation!QU11&lt;Obligors!$I$11,1,0)</f>
        <v/>
      </c>
      <c r="QV11" s="20">
        <f>IF(Simulation!QV11&lt;Obligors!$I$11,1,0)</f>
        <v/>
      </c>
      <c r="QW11" s="20">
        <f>IF(Simulation!QW11&lt;Obligors!$I$11,1,0)</f>
        <v/>
      </c>
      <c r="QX11" s="20">
        <f>IF(Simulation!QX11&lt;Obligors!$I$11,1,0)</f>
        <v/>
      </c>
      <c r="QY11" s="20">
        <f>IF(Simulation!QY11&lt;Obligors!$I$11,1,0)</f>
        <v/>
      </c>
      <c r="QZ11" s="20">
        <f>IF(Simulation!QZ11&lt;Obligors!$I$11,1,0)</f>
        <v/>
      </c>
      <c r="RA11" s="20">
        <f>IF(Simulation!RA11&lt;Obligors!$I$11,1,0)</f>
        <v/>
      </c>
      <c r="RB11" s="20">
        <f>IF(Simulation!RB11&lt;Obligors!$I$11,1,0)</f>
        <v/>
      </c>
      <c r="RC11" s="20">
        <f>IF(Simulation!RC11&lt;Obligors!$I$11,1,0)</f>
        <v/>
      </c>
      <c r="RD11" s="20">
        <f>IF(Simulation!RD11&lt;Obligors!$I$11,1,0)</f>
        <v/>
      </c>
      <c r="RE11" s="20">
        <f>IF(Simulation!RE11&lt;Obligors!$I$11,1,0)</f>
        <v/>
      </c>
      <c r="RF11" s="20">
        <f>IF(Simulation!RF11&lt;Obligors!$I$11,1,0)</f>
        <v/>
      </c>
      <c r="RG11" s="20">
        <f>IF(Simulation!RG11&lt;Obligors!$I$11,1,0)</f>
        <v/>
      </c>
      <c r="RH11" s="20">
        <f>IF(Simulation!RH11&lt;Obligors!$I$11,1,0)</f>
        <v/>
      </c>
      <c r="RI11" s="20">
        <f>IF(Simulation!RI11&lt;Obligors!$I$11,1,0)</f>
        <v/>
      </c>
      <c r="RJ11" s="20">
        <f>IF(Simulation!RJ11&lt;Obligors!$I$11,1,0)</f>
        <v/>
      </c>
      <c r="RK11" s="20">
        <f>IF(Simulation!RK11&lt;Obligors!$I$11,1,0)</f>
        <v/>
      </c>
      <c r="RL11" s="20">
        <f>IF(Simulation!RL11&lt;Obligors!$I$11,1,0)</f>
        <v/>
      </c>
      <c r="RM11" s="20">
        <f>IF(Simulation!RM11&lt;Obligors!$I$11,1,0)</f>
        <v/>
      </c>
      <c r="RN11" s="20">
        <f>IF(Simulation!RN11&lt;Obligors!$I$11,1,0)</f>
        <v/>
      </c>
      <c r="RO11" s="20">
        <f>IF(Simulation!RO11&lt;Obligors!$I$11,1,0)</f>
        <v/>
      </c>
      <c r="RP11" s="20">
        <f>IF(Simulation!RP11&lt;Obligors!$I$11,1,0)</f>
        <v/>
      </c>
      <c r="RQ11" s="20">
        <f>IF(Simulation!RQ11&lt;Obligors!$I$11,1,0)</f>
        <v/>
      </c>
      <c r="RR11" s="20">
        <f>IF(Simulation!RR11&lt;Obligors!$I$11,1,0)</f>
        <v/>
      </c>
      <c r="RS11" s="20">
        <f>IF(Simulation!RS11&lt;Obligors!$I$11,1,0)</f>
        <v/>
      </c>
      <c r="RT11" s="20">
        <f>IF(Simulation!RT11&lt;Obligors!$I$11,1,0)</f>
        <v/>
      </c>
      <c r="RU11" s="20">
        <f>IF(Simulation!RU11&lt;Obligors!$I$11,1,0)</f>
        <v/>
      </c>
      <c r="RV11" s="20">
        <f>IF(Simulation!RV11&lt;Obligors!$I$11,1,0)</f>
        <v/>
      </c>
      <c r="RW11" s="20">
        <f>IF(Simulation!RW11&lt;Obligors!$I$11,1,0)</f>
        <v/>
      </c>
      <c r="RX11" s="20">
        <f>IF(Simulation!RX11&lt;Obligors!$I$11,1,0)</f>
        <v/>
      </c>
      <c r="RY11" s="20">
        <f>IF(Simulation!RY11&lt;Obligors!$I$11,1,0)</f>
        <v/>
      </c>
      <c r="RZ11" s="20">
        <f>IF(Simulation!RZ11&lt;Obligors!$I$11,1,0)</f>
        <v/>
      </c>
      <c r="SA11" s="20">
        <f>IF(Simulation!SA11&lt;Obligors!$I$11,1,0)</f>
        <v/>
      </c>
      <c r="SB11" s="20">
        <f>IF(Simulation!SB11&lt;Obligors!$I$11,1,0)</f>
        <v/>
      </c>
      <c r="SC11" s="20">
        <f>IF(Simulation!SC11&lt;Obligors!$I$11,1,0)</f>
        <v/>
      </c>
      <c r="SD11" s="20">
        <f>IF(Simulation!SD11&lt;Obligors!$I$11,1,0)</f>
        <v/>
      </c>
      <c r="SE11" s="20">
        <f>IF(Simulation!SE11&lt;Obligors!$I$11,1,0)</f>
        <v/>
      </c>
      <c r="SF11" s="20">
        <f>IF(Simulation!SF11&lt;Obligors!$I$11,1,0)</f>
        <v/>
      </c>
      <c r="SG11" s="20">
        <f>IF(Simulation!SG11&lt;Obligors!$I$11,1,0)</f>
        <v/>
      </c>
    </row>
    <row r="12">
      <c r="A12" s="17" t="inlineStr">
        <is>
          <t>OBL-011</t>
        </is>
      </c>
      <c r="B12" s="20">
        <f>IF(Simulation!B12&lt;Obligors!$I$12,1,0)</f>
        <v/>
      </c>
      <c r="C12" s="20">
        <f>IF(Simulation!C12&lt;Obligors!$I$12,1,0)</f>
        <v/>
      </c>
      <c r="D12" s="20">
        <f>IF(Simulation!D12&lt;Obligors!$I$12,1,0)</f>
        <v/>
      </c>
      <c r="E12" s="20">
        <f>IF(Simulation!E12&lt;Obligors!$I$12,1,0)</f>
        <v/>
      </c>
      <c r="F12" s="20">
        <f>IF(Simulation!F12&lt;Obligors!$I$12,1,0)</f>
        <v/>
      </c>
      <c r="G12" s="20">
        <f>IF(Simulation!G12&lt;Obligors!$I$12,1,0)</f>
        <v/>
      </c>
      <c r="H12" s="20">
        <f>IF(Simulation!H12&lt;Obligors!$I$12,1,0)</f>
        <v/>
      </c>
      <c r="I12" s="20">
        <f>IF(Simulation!I12&lt;Obligors!$I$12,1,0)</f>
        <v/>
      </c>
      <c r="J12" s="20">
        <f>IF(Simulation!J12&lt;Obligors!$I$12,1,0)</f>
        <v/>
      </c>
      <c r="K12" s="20">
        <f>IF(Simulation!K12&lt;Obligors!$I$12,1,0)</f>
        <v/>
      </c>
      <c r="L12" s="20">
        <f>IF(Simulation!L12&lt;Obligors!$I$12,1,0)</f>
        <v/>
      </c>
      <c r="M12" s="20">
        <f>IF(Simulation!M12&lt;Obligors!$I$12,1,0)</f>
        <v/>
      </c>
      <c r="N12" s="20">
        <f>IF(Simulation!N12&lt;Obligors!$I$12,1,0)</f>
        <v/>
      </c>
      <c r="O12" s="20">
        <f>IF(Simulation!O12&lt;Obligors!$I$12,1,0)</f>
        <v/>
      </c>
      <c r="P12" s="20">
        <f>IF(Simulation!P12&lt;Obligors!$I$12,1,0)</f>
        <v/>
      </c>
      <c r="Q12" s="20">
        <f>IF(Simulation!Q12&lt;Obligors!$I$12,1,0)</f>
        <v/>
      </c>
      <c r="R12" s="20">
        <f>IF(Simulation!R12&lt;Obligors!$I$12,1,0)</f>
        <v/>
      </c>
      <c r="S12" s="20">
        <f>IF(Simulation!S12&lt;Obligors!$I$12,1,0)</f>
        <v/>
      </c>
      <c r="T12" s="20">
        <f>IF(Simulation!T12&lt;Obligors!$I$12,1,0)</f>
        <v/>
      </c>
      <c r="U12" s="20">
        <f>IF(Simulation!U12&lt;Obligors!$I$12,1,0)</f>
        <v/>
      </c>
      <c r="V12" s="20">
        <f>IF(Simulation!V12&lt;Obligors!$I$12,1,0)</f>
        <v/>
      </c>
      <c r="W12" s="20">
        <f>IF(Simulation!W12&lt;Obligors!$I$12,1,0)</f>
        <v/>
      </c>
      <c r="X12" s="20">
        <f>IF(Simulation!X12&lt;Obligors!$I$12,1,0)</f>
        <v/>
      </c>
      <c r="Y12" s="20">
        <f>IF(Simulation!Y12&lt;Obligors!$I$12,1,0)</f>
        <v/>
      </c>
      <c r="Z12" s="20">
        <f>IF(Simulation!Z12&lt;Obligors!$I$12,1,0)</f>
        <v/>
      </c>
      <c r="AA12" s="20">
        <f>IF(Simulation!AA12&lt;Obligors!$I$12,1,0)</f>
        <v/>
      </c>
      <c r="AB12" s="20">
        <f>IF(Simulation!AB12&lt;Obligors!$I$12,1,0)</f>
        <v/>
      </c>
      <c r="AC12" s="20">
        <f>IF(Simulation!AC12&lt;Obligors!$I$12,1,0)</f>
        <v/>
      </c>
      <c r="AD12" s="20">
        <f>IF(Simulation!AD12&lt;Obligors!$I$12,1,0)</f>
        <v/>
      </c>
      <c r="AE12" s="20">
        <f>IF(Simulation!AE12&lt;Obligors!$I$12,1,0)</f>
        <v/>
      </c>
      <c r="AF12" s="20">
        <f>IF(Simulation!AF12&lt;Obligors!$I$12,1,0)</f>
        <v/>
      </c>
      <c r="AG12" s="20">
        <f>IF(Simulation!AG12&lt;Obligors!$I$12,1,0)</f>
        <v/>
      </c>
      <c r="AH12" s="20">
        <f>IF(Simulation!AH12&lt;Obligors!$I$12,1,0)</f>
        <v/>
      </c>
      <c r="AI12" s="20">
        <f>IF(Simulation!AI12&lt;Obligors!$I$12,1,0)</f>
        <v/>
      </c>
      <c r="AJ12" s="20">
        <f>IF(Simulation!AJ12&lt;Obligors!$I$12,1,0)</f>
        <v/>
      </c>
      <c r="AK12" s="20">
        <f>IF(Simulation!AK12&lt;Obligors!$I$12,1,0)</f>
        <v/>
      </c>
      <c r="AL12" s="20">
        <f>IF(Simulation!AL12&lt;Obligors!$I$12,1,0)</f>
        <v/>
      </c>
      <c r="AM12" s="20">
        <f>IF(Simulation!AM12&lt;Obligors!$I$12,1,0)</f>
        <v/>
      </c>
      <c r="AN12" s="20">
        <f>IF(Simulation!AN12&lt;Obligors!$I$12,1,0)</f>
        <v/>
      </c>
      <c r="AO12" s="20">
        <f>IF(Simulation!AO12&lt;Obligors!$I$12,1,0)</f>
        <v/>
      </c>
      <c r="AP12" s="20">
        <f>IF(Simulation!AP12&lt;Obligors!$I$12,1,0)</f>
        <v/>
      </c>
      <c r="AQ12" s="20">
        <f>IF(Simulation!AQ12&lt;Obligors!$I$12,1,0)</f>
        <v/>
      </c>
      <c r="AR12" s="20">
        <f>IF(Simulation!AR12&lt;Obligors!$I$12,1,0)</f>
        <v/>
      </c>
      <c r="AS12" s="20">
        <f>IF(Simulation!AS12&lt;Obligors!$I$12,1,0)</f>
        <v/>
      </c>
      <c r="AT12" s="20">
        <f>IF(Simulation!AT12&lt;Obligors!$I$12,1,0)</f>
        <v/>
      </c>
      <c r="AU12" s="20">
        <f>IF(Simulation!AU12&lt;Obligors!$I$12,1,0)</f>
        <v/>
      </c>
      <c r="AV12" s="20">
        <f>IF(Simulation!AV12&lt;Obligors!$I$12,1,0)</f>
        <v/>
      </c>
      <c r="AW12" s="20">
        <f>IF(Simulation!AW12&lt;Obligors!$I$12,1,0)</f>
        <v/>
      </c>
      <c r="AX12" s="20">
        <f>IF(Simulation!AX12&lt;Obligors!$I$12,1,0)</f>
        <v/>
      </c>
      <c r="AY12" s="20">
        <f>IF(Simulation!AY12&lt;Obligors!$I$12,1,0)</f>
        <v/>
      </c>
      <c r="AZ12" s="20">
        <f>IF(Simulation!AZ12&lt;Obligors!$I$12,1,0)</f>
        <v/>
      </c>
      <c r="BA12" s="20">
        <f>IF(Simulation!BA12&lt;Obligors!$I$12,1,0)</f>
        <v/>
      </c>
      <c r="BB12" s="20">
        <f>IF(Simulation!BB12&lt;Obligors!$I$12,1,0)</f>
        <v/>
      </c>
      <c r="BC12" s="20">
        <f>IF(Simulation!BC12&lt;Obligors!$I$12,1,0)</f>
        <v/>
      </c>
      <c r="BD12" s="20">
        <f>IF(Simulation!BD12&lt;Obligors!$I$12,1,0)</f>
        <v/>
      </c>
      <c r="BE12" s="20">
        <f>IF(Simulation!BE12&lt;Obligors!$I$12,1,0)</f>
        <v/>
      </c>
      <c r="BF12" s="20">
        <f>IF(Simulation!BF12&lt;Obligors!$I$12,1,0)</f>
        <v/>
      </c>
      <c r="BG12" s="20">
        <f>IF(Simulation!BG12&lt;Obligors!$I$12,1,0)</f>
        <v/>
      </c>
      <c r="BH12" s="20">
        <f>IF(Simulation!BH12&lt;Obligors!$I$12,1,0)</f>
        <v/>
      </c>
      <c r="BI12" s="20">
        <f>IF(Simulation!BI12&lt;Obligors!$I$12,1,0)</f>
        <v/>
      </c>
      <c r="BJ12" s="20">
        <f>IF(Simulation!BJ12&lt;Obligors!$I$12,1,0)</f>
        <v/>
      </c>
      <c r="BK12" s="20">
        <f>IF(Simulation!BK12&lt;Obligors!$I$12,1,0)</f>
        <v/>
      </c>
      <c r="BL12" s="20">
        <f>IF(Simulation!BL12&lt;Obligors!$I$12,1,0)</f>
        <v/>
      </c>
      <c r="BM12" s="20">
        <f>IF(Simulation!BM12&lt;Obligors!$I$12,1,0)</f>
        <v/>
      </c>
      <c r="BN12" s="20">
        <f>IF(Simulation!BN12&lt;Obligors!$I$12,1,0)</f>
        <v/>
      </c>
      <c r="BO12" s="20">
        <f>IF(Simulation!BO12&lt;Obligors!$I$12,1,0)</f>
        <v/>
      </c>
      <c r="BP12" s="20">
        <f>IF(Simulation!BP12&lt;Obligors!$I$12,1,0)</f>
        <v/>
      </c>
      <c r="BQ12" s="20">
        <f>IF(Simulation!BQ12&lt;Obligors!$I$12,1,0)</f>
        <v/>
      </c>
      <c r="BR12" s="20">
        <f>IF(Simulation!BR12&lt;Obligors!$I$12,1,0)</f>
        <v/>
      </c>
      <c r="BS12" s="20">
        <f>IF(Simulation!BS12&lt;Obligors!$I$12,1,0)</f>
        <v/>
      </c>
      <c r="BT12" s="20">
        <f>IF(Simulation!BT12&lt;Obligors!$I$12,1,0)</f>
        <v/>
      </c>
      <c r="BU12" s="20">
        <f>IF(Simulation!BU12&lt;Obligors!$I$12,1,0)</f>
        <v/>
      </c>
      <c r="BV12" s="20">
        <f>IF(Simulation!BV12&lt;Obligors!$I$12,1,0)</f>
        <v/>
      </c>
      <c r="BW12" s="20">
        <f>IF(Simulation!BW12&lt;Obligors!$I$12,1,0)</f>
        <v/>
      </c>
      <c r="BX12" s="20">
        <f>IF(Simulation!BX12&lt;Obligors!$I$12,1,0)</f>
        <v/>
      </c>
      <c r="BY12" s="20">
        <f>IF(Simulation!BY12&lt;Obligors!$I$12,1,0)</f>
        <v/>
      </c>
      <c r="BZ12" s="20">
        <f>IF(Simulation!BZ12&lt;Obligors!$I$12,1,0)</f>
        <v/>
      </c>
      <c r="CA12" s="20">
        <f>IF(Simulation!CA12&lt;Obligors!$I$12,1,0)</f>
        <v/>
      </c>
      <c r="CB12" s="20">
        <f>IF(Simulation!CB12&lt;Obligors!$I$12,1,0)</f>
        <v/>
      </c>
      <c r="CC12" s="20">
        <f>IF(Simulation!CC12&lt;Obligors!$I$12,1,0)</f>
        <v/>
      </c>
      <c r="CD12" s="20">
        <f>IF(Simulation!CD12&lt;Obligors!$I$12,1,0)</f>
        <v/>
      </c>
      <c r="CE12" s="20">
        <f>IF(Simulation!CE12&lt;Obligors!$I$12,1,0)</f>
        <v/>
      </c>
      <c r="CF12" s="20">
        <f>IF(Simulation!CF12&lt;Obligors!$I$12,1,0)</f>
        <v/>
      </c>
      <c r="CG12" s="20">
        <f>IF(Simulation!CG12&lt;Obligors!$I$12,1,0)</f>
        <v/>
      </c>
      <c r="CH12" s="20">
        <f>IF(Simulation!CH12&lt;Obligors!$I$12,1,0)</f>
        <v/>
      </c>
      <c r="CI12" s="20">
        <f>IF(Simulation!CI12&lt;Obligors!$I$12,1,0)</f>
        <v/>
      </c>
      <c r="CJ12" s="20">
        <f>IF(Simulation!CJ12&lt;Obligors!$I$12,1,0)</f>
        <v/>
      </c>
      <c r="CK12" s="20">
        <f>IF(Simulation!CK12&lt;Obligors!$I$12,1,0)</f>
        <v/>
      </c>
      <c r="CL12" s="20">
        <f>IF(Simulation!CL12&lt;Obligors!$I$12,1,0)</f>
        <v/>
      </c>
      <c r="CM12" s="20">
        <f>IF(Simulation!CM12&lt;Obligors!$I$12,1,0)</f>
        <v/>
      </c>
      <c r="CN12" s="20">
        <f>IF(Simulation!CN12&lt;Obligors!$I$12,1,0)</f>
        <v/>
      </c>
      <c r="CO12" s="20">
        <f>IF(Simulation!CO12&lt;Obligors!$I$12,1,0)</f>
        <v/>
      </c>
      <c r="CP12" s="20">
        <f>IF(Simulation!CP12&lt;Obligors!$I$12,1,0)</f>
        <v/>
      </c>
      <c r="CQ12" s="20">
        <f>IF(Simulation!CQ12&lt;Obligors!$I$12,1,0)</f>
        <v/>
      </c>
      <c r="CR12" s="20">
        <f>IF(Simulation!CR12&lt;Obligors!$I$12,1,0)</f>
        <v/>
      </c>
      <c r="CS12" s="20">
        <f>IF(Simulation!CS12&lt;Obligors!$I$12,1,0)</f>
        <v/>
      </c>
      <c r="CT12" s="20">
        <f>IF(Simulation!CT12&lt;Obligors!$I$12,1,0)</f>
        <v/>
      </c>
      <c r="CU12" s="20">
        <f>IF(Simulation!CU12&lt;Obligors!$I$12,1,0)</f>
        <v/>
      </c>
      <c r="CV12" s="20">
        <f>IF(Simulation!CV12&lt;Obligors!$I$12,1,0)</f>
        <v/>
      </c>
      <c r="CW12" s="20">
        <f>IF(Simulation!CW12&lt;Obligors!$I$12,1,0)</f>
        <v/>
      </c>
      <c r="CX12" s="20">
        <f>IF(Simulation!CX12&lt;Obligors!$I$12,1,0)</f>
        <v/>
      </c>
      <c r="CY12" s="20">
        <f>IF(Simulation!CY12&lt;Obligors!$I$12,1,0)</f>
        <v/>
      </c>
      <c r="CZ12" s="20">
        <f>IF(Simulation!CZ12&lt;Obligors!$I$12,1,0)</f>
        <v/>
      </c>
      <c r="DA12" s="20">
        <f>IF(Simulation!DA12&lt;Obligors!$I$12,1,0)</f>
        <v/>
      </c>
      <c r="DB12" s="20">
        <f>IF(Simulation!DB12&lt;Obligors!$I$12,1,0)</f>
        <v/>
      </c>
      <c r="DC12" s="20">
        <f>IF(Simulation!DC12&lt;Obligors!$I$12,1,0)</f>
        <v/>
      </c>
      <c r="DD12" s="20">
        <f>IF(Simulation!DD12&lt;Obligors!$I$12,1,0)</f>
        <v/>
      </c>
      <c r="DE12" s="20">
        <f>IF(Simulation!DE12&lt;Obligors!$I$12,1,0)</f>
        <v/>
      </c>
      <c r="DF12" s="20">
        <f>IF(Simulation!DF12&lt;Obligors!$I$12,1,0)</f>
        <v/>
      </c>
      <c r="DG12" s="20">
        <f>IF(Simulation!DG12&lt;Obligors!$I$12,1,0)</f>
        <v/>
      </c>
      <c r="DH12" s="20">
        <f>IF(Simulation!DH12&lt;Obligors!$I$12,1,0)</f>
        <v/>
      </c>
      <c r="DI12" s="20">
        <f>IF(Simulation!DI12&lt;Obligors!$I$12,1,0)</f>
        <v/>
      </c>
      <c r="DJ12" s="20">
        <f>IF(Simulation!DJ12&lt;Obligors!$I$12,1,0)</f>
        <v/>
      </c>
      <c r="DK12" s="20">
        <f>IF(Simulation!DK12&lt;Obligors!$I$12,1,0)</f>
        <v/>
      </c>
      <c r="DL12" s="20">
        <f>IF(Simulation!DL12&lt;Obligors!$I$12,1,0)</f>
        <v/>
      </c>
      <c r="DM12" s="20">
        <f>IF(Simulation!DM12&lt;Obligors!$I$12,1,0)</f>
        <v/>
      </c>
      <c r="DN12" s="20">
        <f>IF(Simulation!DN12&lt;Obligors!$I$12,1,0)</f>
        <v/>
      </c>
      <c r="DO12" s="20">
        <f>IF(Simulation!DO12&lt;Obligors!$I$12,1,0)</f>
        <v/>
      </c>
      <c r="DP12" s="20">
        <f>IF(Simulation!DP12&lt;Obligors!$I$12,1,0)</f>
        <v/>
      </c>
      <c r="DQ12" s="20">
        <f>IF(Simulation!DQ12&lt;Obligors!$I$12,1,0)</f>
        <v/>
      </c>
      <c r="DR12" s="20">
        <f>IF(Simulation!DR12&lt;Obligors!$I$12,1,0)</f>
        <v/>
      </c>
      <c r="DS12" s="20">
        <f>IF(Simulation!DS12&lt;Obligors!$I$12,1,0)</f>
        <v/>
      </c>
      <c r="DT12" s="20">
        <f>IF(Simulation!DT12&lt;Obligors!$I$12,1,0)</f>
        <v/>
      </c>
      <c r="DU12" s="20">
        <f>IF(Simulation!DU12&lt;Obligors!$I$12,1,0)</f>
        <v/>
      </c>
      <c r="DV12" s="20">
        <f>IF(Simulation!DV12&lt;Obligors!$I$12,1,0)</f>
        <v/>
      </c>
      <c r="DW12" s="20">
        <f>IF(Simulation!DW12&lt;Obligors!$I$12,1,0)</f>
        <v/>
      </c>
      <c r="DX12" s="20">
        <f>IF(Simulation!DX12&lt;Obligors!$I$12,1,0)</f>
        <v/>
      </c>
      <c r="DY12" s="20">
        <f>IF(Simulation!DY12&lt;Obligors!$I$12,1,0)</f>
        <v/>
      </c>
      <c r="DZ12" s="20">
        <f>IF(Simulation!DZ12&lt;Obligors!$I$12,1,0)</f>
        <v/>
      </c>
      <c r="EA12" s="20">
        <f>IF(Simulation!EA12&lt;Obligors!$I$12,1,0)</f>
        <v/>
      </c>
      <c r="EB12" s="20">
        <f>IF(Simulation!EB12&lt;Obligors!$I$12,1,0)</f>
        <v/>
      </c>
      <c r="EC12" s="20">
        <f>IF(Simulation!EC12&lt;Obligors!$I$12,1,0)</f>
        <v/>
      </c>
      <c r="ED12" s="20">
        <f>IF(Simulation!ED12&lt;Obligors!$I$12,1,0)</f>
        <v/>
      </c>
      <c r="EE12" s="20">
        <f>IF(Simulation!EE12&lt;Obligors!$I$12,1,0)</f>
        <v/>
      </c>
      <c r="EF12" s="20">
        <f>IF(Simulation!EF12&lt;Obligors!$I$12,1,0)</f>
        <v/>
      </c>
      <c r="EG12" s="20">
        <f>IF(Simulation!EG12&lt;Obligors!$I$12,1,0)</f>
        <v/>
      </c>
      <c r="EH12" s="20">
        <f>IF(Simulation!EH12&lt;Obligors!$I$12,1,0)</f>
        <v/>
      </c>
      <c r="EI12" s="20">
        <f>IF(Simulation!EI12&lt;Obligors!$I$12,1,0)</f>
        <v/>
      </c>
      <c r="EJ12" s="20">
        <f>IF(Simulation!EJ12&lt;Obligors!$I$12,1,0)</f>
        <v/>
      </c>
      <c r="EK12" s="20">
        <f>IF(Simulation!EK12&lt;Obligors!$I$12,1,0)</f>
        <v/>
      </c>
      <c r="EL12" s="20">
        <f>IF(Simulation!EL12&lt;Obligors!$I$12,1,0)</f>
        <v/>
      </c>
      <c r="EM12" s="20">
        <f>IF(Simulation!EM12&lt;Obligors!$I$12,1,0)</f>
        <v/>
      </c>
      <c r="EN12" s="20">
        <f>IF(Simulation!EN12&lt;Obligors!$I$12,1,0)</f>
        <v/>
      </c>
      <c r="EO12" s="20">
        <f>IF(Simulation!EO12&lt;Obligors!$I$12,1,0)</f>
        <v/>
      </c>
      <c r="EP12" s="20">
        <f>IF(Simulation!EP12&lt;Obligors!$I$12,1,0)</f>
        <v/>
      </c>
      <c r="EQ12" s="20">
        <f>IF(Simulation!EQ12&lt;Obligors!$I$12,1,0)</f>
        <v/>
      </c>
      <c r="ER12" s="20">
        <f>IF(Simulation!ER12&lt;Obligors!$I$12,1,0)</f>
        <v/>
      </c>
      <c r="ES12" s="20">
        <f>IF(Simulation!ES12&lt;Obligors!$I$12,1,0)</f>
        <v/>
      </c>
      <c r="ET12" s="20">
        <f>IF(Simulation!ET12&lt;Obligors!$I$12,1,0)</f>
        <v/>
      </c>
      <c r="EU12" s="20">
        <f>IF(Simulation!EU12&lt;Obligors!$I$12,1,0)</f>
        <v/>
      </c>
      <c r="EV12" s="20">
        <f>IF(Simulation!EV12&lt;Obligors!$I$12,1,0)</f>
        <v/>
      </c>
      <c r="EW12" s="20">
        <f>IF(Simulation!EW12&lt;Obligors!$I$12,1,0)</f>
        <v/>
      </c>
      <c r="EX12" s="20">
        <f>IF(Simulation!EX12&lt;Obligors!$I$12,1,0)</f>
        <v/>
      </c>
      <c r="EY12" s="20">
        <f>IF(Simulation!EY12&lt;Obligors!$I$12,1,0)</f>
        <v/>
      </c>
      <c r="EZ12" s="20">
        <f>IF(Simulation!EZ12&lt;Obligors!$I$12,1,0)</f>
        <v/>
      </c>
      <c r="FA12" s="20">
        <f>IF(Simulation!FA12&lt;Obligors!$I$12,1,0)</f>
        <v/>
      </c>
      <c r="FB12" s="20">
        <f>IF(Simulation!FB12&lt;Obligors!$I$12,1,0)</f>
        <v/>
      </c>
      <c r="FC12" s="20">
        <f>IF(Simulation!FC12&lt;Obligors!$I$12,1,0)</f>
        <v/>
      </c>
      <c r="FD12" s="20">
        <f>IF(Simulation!FD12&lt;Obligors!$I$12,1,0)</f>
        <v/>
      </c>
      <c r="FE12" s="20">
        <f>IF(Simulation!FE12&lt;Obligors!$I$12,1,0)</f>
        <v/>
      </c>
      <c r="FF12" s="20">
        <f>IF(Simulation!FF12&lt;Obligors!$I$12,1,0)</f>
        <v/>
      </c>
      <c r="FG12" s="20">
        <f>IF(Simulation!FG12&lt;Obligors!$I$12,1,0)</f>
        <v/>
      </c>
      <c r="FH12" s="20">
        <f>IF(Simulation!FH12&lt;Obligors!$I$12,1,0)</f>
        <v/>
      </c>
      <c r="FI12" s="20">
        <f>IF(Simulation!FI12&lt;Obligors!$I$12,1,0)</f>
        <v/>
      </c>
      <c r="FJ12" s="20">
        <f>IF(Simulation!FJ12&lt;Obligors!$I$12,1,0)</f>
        <v/>
      </c>
      <c r="FK12" s="20">
        <f>IF(Simulation!FK12&lt;Obligors!$I$12,1,0)</f>
        <v/>
      </c>
      <c r="FL12" s="20">
        <f>IF(Simulation!FL12&lt;Obligors!$I$12,1,0)</f>
        <v/>
      </c>
      <c r="FM12" s="20">
        <f>IF(Simulation!FM12&lt;Obligors!$I$12,1,0)</f>
        <v/>
      </c>
      <c r="FN12" s="20">
        <f>IF(Simulation!FN12&lt;Obligors!$I$12,1,0)</f>
        <v/>
      </c>
      <c r="FO12" s="20">
        <f>IF(Simulation!FO12&lt;Obligors!$I$12,1,0)</f>
        <v/>
      </c>
      <c r="FP12" s="20">
        <f>IF(Simulation!FP12&lt;Obligors!$I$12,1,0)</f>
        <v/>
      </c>
      <c r="FQ12" s="20">
        <f>IF(Simulation!FQ12&lt;Obligors!$I$12,1,0)</f>
        <v/>
      </c>
      <c r="FR12" s="20">
        <f>IF(Simulation!FR12&lt;Obligors!$I$12,1,0)</f>
        <v/>
      </c>
      <c r="FS12" s="20">
        <f>IF(Simulation!FS12&lt;Obligors!$I$12,1,0)</f>
        <v/>
      </c>
      <c r="FT12" s="20">
        <f>IF(Simulation!FT12&lt;Obligors!$I$12,1,0)</f>
        <v/>
      </c>
      <c r="FU12" s="20">
        <f>IF(Simulation!FU12&lt;Obligors!$I$12,1,0)</f>
        <v/>
      </c>
      <c r="FV12" s="20">
        <f>IF(Simulation!FV12&lt;Obligors!$I$12,1,0)</f>
        <v/>
      </c>
      <c r="FW12" s="20">
        <f>IF(Simulation!FW12&lt;Obligors!$I$12,1,0)</f>
        <v/>
      </c>
      <c r="FX12" s="20">
        <f>IF(Simulation!FX12&lt;Obligors!$I$12,1,0)</f>
        <v/>
      </c>
      <c r="FY12" s="20">
        <f>IF(Simulation!FY12&lt;Obligors!$I$12,1,0)</f>
        <v/>
      </c>
      <c r="FZ12" s="20">
        <f>IF(Simulation!FZ12&lt;Obligors!$I$12,1,0)</f>
        <v/>
      </c>
      <c r="GA12" s="20">
        <f>IF(Simulation!GA12&lt;Obligors!$I$12,1,0)</f>
        <v/>
      </c>
      <c r="GB12" s="20">
        <f>IF(Simulation!GB12&lt;Obligors!$I$12,1,0)</f>
        <v/>
      </c>
      <c r="GC12" s="20">
        <f>IF(Simulation!GC12&lt;Obligors!$I$12,1,0)</f>
        <v/>
      </c>
      <c r="GD12" s="20">
        <f>IF(Simulation!GD12&lt;Obligors!$I$12,1,0)</f>
        <v/>
      </c>
      <c r="GE12" s="20">
        <f>IF(Simulation!GE12&lt;Obligors!$I$12,1,0)</f>
        <v/>
      </c>
      <c r="GF12" s="20">
        <f>IF(Simulation!GF12&lt;Obligors!$I$12,1,0)</f>
        <v/>
      </c>
      <c r="GG12" s="20">
        <f>IF(Simulation!GG12&lt;Obligors!$I$12,1,0)</f>
        <v/>
      </c>
      <c r="GH12" s="20">
        <f>IF(Simulation!GH12&lt;Obligors!$I$12,1,0)</f>
        <v/>
      </c>
      <c r="GI12" s="20">
        <f>IF(Simulation!GI12&lt;Obligors!$I$12,1,0)</f>
        <v/>
      </c>
      <c r="GJ12" s="20">
        <f>IF(Simulation!GJ12&lt;Obligors!$I$12,1,0)</f>
        <v/>
      </c>
      <c r="GK12" s="20">
        <f>IF(Simulation!GK12&lt;Obligors!$I$12,1,0)</f>
        <v/>
      </c>
      <c r="GL12" s="20">
        <f>IF(Simulation!GL12&lt;Obligors!$I$12,1,0)</f>
        <v/>
      </c>
      <c r="GM12" s="20">
        <f>IF(Simulation!GM12&lt;Obligors!$I$12,1,0)</f>
        <v/>
      </c>
      <c r="GN12" s="20">
        <f>IF(Simulation!GN12&lt;Obligors!$I$12,1,0)</f>
        <v/>
      </c>
      <c r="GO12" s="20">
        <f>IF(Simulation!GO12&lt;Obligors!$I$12,1,0)</f>
        <v/>
      </c>
      <c r="GP12" s="20">
        <f>IF(Simulation!GP12&lt;Obligors!$I$12,1,0)</f>
        <v/>
      </c>
      <c r="GQ12" s="20">
        <f>IF(Simulation!GQ12&lt;Obligors!$I$12,1,0)</f>
        <v/>
      </c>
      <c r="GR12" s="20">
        <f>IF(Simulation!GR12&lt;Obligors!$I$12,1,0)</f>
        <v/>
      </c>
      <c r="GS12" s="20">
        <f>IF(Simulation!GS12&lt;Obligors!$I$12,1,0)</f>
        <v/>
      </c>
      <c r="GT12" s="20">
        <f>IF(Simulation!GT12&lt;Obligors!$I$12,1,0)</f>
        <v/>
      </c>
      <c r="GU12" s="20">
        <f>IF(Simulation!GU12&lt;Obligors!$I$12,1,0)</f>
        <v/>
      </c>
      <c r="GV12" s="20">
        <f>IF(Simulation!GV12&lt;Obligors!$I$12,1,0)</f>
        <v/>
      </c>
      <c r="GW12" s="20">
        <f>IF(Simulation!GW12&lt;Obligors!$I$12,1,0)</f>
        <v/>
      </c>
      <c r="GX12" s="20">
        <f>IF(Simulation!GX12&lt;Obligors!$I$12,1,0)</f>
        <v/>
      </c>
      <c r="GY12" s="20">
        <f>IF(Simulation!GY12&lt;Obligors!$I$12,1,0)</f>
        <v/>
      </c>
      <c r="GZ12" s="20">
        <f>IF(Simulation!GZ12&lt;Obligors!$I$12,1,0)</f>
        <v/>
      </c>
      <c r="HA12" s="20">
        <f>IF(Simulation!HA12&lt;Obligors!$I$12,1,0)</f>
        <v/>
      </c>
      <c r="HB12" s="20">
        <f>IF(Simulation!HB12&lt;Obligors!$I$12,1,0)</f>
        <v/>
      </c>
      <c r="HC12" s="20">
        <f>IF(Simulation!HC12&lt;Obligors!$I$12,1,0)</f>
        <v/>
      </c>
      <c r="HD12" s="20">
        <f>IF(Simulation!HD12&lt;Obligors!$I$12,1,0)</f>
        <v/>
      </c>
      <c r="HE12" s="20">
        <f>IF(Simulation!HE12&lt;Obligors!$I$12,1,0)</f>
        <v/>
      </c>
      <c r="HF12" s="20">
        <f>IF(Simulation!HF12&lt;Obligors!$I$12,1,0)</f>
        <v/>
      </c>
      <c r="HG12" s="20">
        <f>IF(Simulation!HG12&lt;Obligors!$I$12,1,0)</f>
        <v/>
      </c>
      <c r="HH12" s="20">
        <f>IF(Simulation!HH12&lt;Obligors!$I$12,1,0)</f>
        <v/>
      </c>
      <c r="HI12" s="20">
        <f>IF(Simulation!HI12&lt;Obligors!$I$12,1,0)</f>
        <v/>
      </c>
      <c r="HJ12" s="20">
        <f>IF(Simulation!HJ12&lt;Obligors!$I$12,1,0)</f>
        <v/>
      </c>
      <c r="HK12" s="20">
        <f>IF(Simulation!HK12&lt;Obligors!$I$12,1,0)</f>
        <v/>
      </c>
      <c r="HL12" s="20">
        <f>IF(Simulation!HL12&lt;Obligors!$I$12,1,0)</f>
        <v/>
      </c>
      <c r="HM12" s="20">
        <f>IF(Simulation!HM12&lt;Obligors!$I$12,1,0)</f>
        <v/>
      </c>
      <c r="HN12" s="20">
        <f>IF(Simulation!HN12&lt;Obligors!$I$12,1,0)</f>
        <v/>
      </c>
      <c r="HO12" s="20">
        <f>IF(Simulation!HO12&lt;Obligors!$I$12,1,0)</f>
        <v/>
      </c>
      <c r="HP12" s="20">
        <f>IF(Simulation!HP12&lt;Obligors!$I$12,1,0)</f>
        <v/>
      </c>
      <c r="HQ12" s="20">
        <f>IF(Simulation!HQ12&lt;Obligors!$I$12,1,0)</f>
        <v/>
      </c>
      <c r="HR12" s="20">
        <f>IF(Simulation!HR12&lt;Obligors!$I$12,1,0)</f>
        <v/>
      </c>
      <c r="HS12" s="20">
        <f>IF(Simulation!HS12&lt;Obligors!$I$12,1,0)</f>
        <v/>
      </c>
      <c r="HT12" s="20">
        <f>IF(Simulation!HT12&lt;Obligors!$I$12,1,0)</f>
        <v/>
      </c>
      <c r="HU12" s="20">
        <f>IF(Simulation!HU12&lt;Obligors!$I$12,1,0)</f>
        <v/>
      </c>
      <c r="HV12" s="20">
        <f>IF(Simulation!HV12&lt;Obligors!$I$12,1,0)</f>
        <v/>
      </c>
      <c r="HW12" s="20">
        <f>IF(Simulation!HW12&lt;Obligors!$I$12,1,0)</f>
        <v/>
      </c>
      <c r="HX12" s="20">
        <f>IF(Simulation!HX12&lt;Obligors!$I$12,1,0)</f>
        <v/>
      </c>
      <c r="HY12" s="20">
        <f>IF(Simulation!HY12&lt;Obligors!$I$12,1,0)</f>
        <v/>
      </c>
      <c r="HZ12" s="20">
        <f>IF(Simulation!HZ12&lt;Obligors!$I$12,1,0)</f>
        <v/>
      </c>
      <c r="IA12" s="20">
        <f>IF(Simulation!IA12&lt;Obligors!$I$12,1,0)</f>
        <v/>
      </c>
      <c r="IB12" s="20">
        <f>IF(Simulation!IB12&lt;Obligors!$I$12,1,0)</f>
        <v/>
      </c>
      <c r="IC12" s="20">
        <f>IF(Simulation!IC12&lt;Obligors!$I$12,1,0)</f>
        <v/>
      </c>
      <c r="ID12" s="20">
        <f>IF(Simulation!ID12&lt;Obligors!$I$12,1,0)</f>
        <v/>
      </c>
      <c r="IE12" s="20">
        <f>IF(Simulation!IE12&lt;Obligors!$I$12,1,0)</f>
        <v/>
      </c>
      <c r="IF12" s="20">
        <f>IF(Simulation!IF12&lt;Obligors!$I$12,1,0)</f>
        <v/>
      </c>
      <c r="IG12" s="20">
        <f>IF(Simulation!IG12&lt;Obligors!$I$12,1,0)</f>
        <v/>
      </c>
      <c r="IH12" s="20">
        <f>IF(Simulation!IH12&lt;Obligors!$I$12,1,0)</f>
        <v/>
      </c>
      <c r="II12" s="20">
        <f>IF(Simulation!II12&lt;Obligors!$I$12,1,0)</f>
        <v/>
      </c>
      <c r="IJ12" s="20">
        <f>IF(Simulation!IJ12&lt;Obligors!$I$12,1,0)</f>
        <v/>
      </c>
      <c r="IK12" s="20">
        <f>IF(Simulation!IK12&lt;Obligors!$I$12,1,0)</f>
        <v/>
      </c>
      <c r="IL12" s="20">
        <f>IF(Simulation!IL12&lt;Obligors!$I$12,1,0)</f>
        <v/>
      </c>
      <c r="IM12" s="20">
        <f>IF(Simulation!IM12&lt;Obligors!$I$12,1,0)</f>
        <v/>
      </c>
      <c r="IN12" s="20">
        <f>IF(Simulation!IN12&lt;Obligors!$I$12,1,0)</f>
        <v/>
      </c>
      <c r="IO12" s="20">
        <f>IF(Simulation!IO12&lt;Obligors!$I$12,1,0)</f>
        <v/>
      </c>
      <c r="IP12" s="20">
        <f>IF(Simulation!IP12&lt;Obligors!$I$12,1,0)</f>
        <v/>
      </c>
      <c r="IQ12" s="20">
        <f>IF(Simulation!IQ12&lt;Obligors!$I$12,1,0)</f>
        <v/>
      </c>
      <c r="IR12" s="20">
        <f>IF(Simulation!IR12&lt;Obligors!$I$12,1,0)</f>
        <v/>
      </c>
      <c r="IS12" s="20">
        <f>IF(Simulation!IS12&lt;Obligors!$I$12,1,0)</f>
        <v/>
      </c>
      <c r="IT12" s="20">
        <f>IF(Simulation!IT12&lt;Obligors!$I$12,1,0)</f>
        <v/>
      </c>
      <c r="IU12" s="20">
        <f>IF(Simulation!IU12&lt;Obligors!$I$12,1,0)</f>
        <v/>
      </c>
      <c r="IV12" s="20">
        <f>IF(Simulation!IV12&lt;Obligors!$I$12,1,0)</f>
        <v/>
      </c>
      <c r="IW12" s="20">
        <f>IF(Simulation!IW12&lt;Obligors!$I$12,1,0)</f>
        <v/>
      </c>
      <c r="IX12" s="20">
        <f>IF(Simulation!IX12&lt;Obligors!$I$12,1,0)</f>
        <v/>
      </c>
      <c r="IY12" s="20">
        <f>IF(Simulation!IY12&lt;Obligors!$I$12,1,0)</f>
        <v/>
      </c>
      <c r="IZ12" s="20">
        <f>IF(Simulation!IZ12&lt;Obligors!$I$12,1,0)</f>
        <v/>
      </c>
      <c r="JA12" s="20">
        <f>IF(Simulation!JA12&lt;Obligors!$I$12,1,0)</f>
        <v/>
      </c>
      <c r="JB12" s="20">
        <f>IF(Simulation!JB12&lt;Obligors!$I$12,1,0)</f>
        <v/>
      </c>
      <c r="JC12" s="20">
        <f>IF(Simulation!JC12&lt;Obligors!$I$12,1,0)</f>
        <v/>
      </c>
      <c r="JD12" s="20">
        <f>IF(Simulation!JD12&lt;Obligors!$I$12,1,0)</f>
        <v/>
      </c>
      <c r="JE12" s="20">
        <f>IF(Simulation!JE12&lt;Obligors!$I$12,1,0)</f>
        <v/>
      </c>
      <c r="JF12" s="20">
        <f>IF(Simulation!JF12&lt;Obligors!$I$12,1,0)</f>
        <v/>
      </c>
      <c r="JG12" s="20">
        <f>IF(Simulation!JG12&lt;Obligors!$I$12,1,0)</f>
        <v/>
      </c>
      <c r="JH12" s="20">
        <f>IF(Simulation!JH12&lt;Obligors!$I$12,1,0)</f>
        <v/>
      </c>
      <c r="JI12" s="20">
        <f>IF(Simulation!JI12&lt;Obligors!$I$12,1,0)</f>
        <v/>
      </c>
      <c r="JJ12" s="20">
        <f>IF(Simulation!JJ12&lt;Obligors!$I$12,1,0)</f>
        <v/>
      </c>
      <c r="JK12" s="20">
        <f>IF(Simulation!JK12&lt;Obligors!$I$12,1,0)</f>
        <v/>
      </c>
      <c r="JL12" s="20">
        <f>IF(Simulation!JL12&lt;Obligors!$I$12,1,0)</f>
        <v/>
      </c>
      <c r="JM12" s="20">
        <f>IF(Simulation!JM12&lt;Obligors!$I$12,1,0)</f>
        <v/>
      </c>
      <c r="JN12" s="20">
        <f>IF(Simulation!JN12&lt;Obligors!$I$12,1,0)</f>
        <v/>
      </c>
      <c r="JO12" s="20">
        <f>IF(Simulation!JO12&lt;Obligors!$I$12,1,0)</f>
        <v/>
      </c>
      <c r="JP12" s="20">
        <f>IF(Simulation!JP12&lt;Obligors!$I$12,1,0)</f>
        <v/>
      </c>
      <c r="JQ12" s="20">
        <f>IF(Simulation!JQ12&lt;Obligors!$I$12,1,0)</f>
        <v/>
      </c>
      <c r="JR12" s="20">
        <f>IF(Simulation!JR12&lt;Obligors!$I$12,1,0)</f>
        <v/>
      </c>
      <c r="JS12" s="20">
        <f>IF(Simulation!JS12&lt;Obligors!$I$12,1,0)</f>
        <v/>
      </c>
      <c r="JT12" s="20">
        <f>IF(Simulation!JT12&lt;Obligors!$I$12,1,0)</f>
        <v/>
      </c>
      <c r="JU12" s="20">
        <f>IF(Simulation!JU12&lt;Obligors!$I$12,1,0)</f>
        <v/>
      </c>
      <c r="JV12" s="20">
        <f>IF(Simulation!JV12&lt;Obligors!$I$12,1,0)</f>
        <v/>
      </c>
      <c r="JW12" s="20">
        <f>IF(Simulation!JW12&lt;Obligors!$I$12,1,0)</f>
        <v/>
      </c>
      <c r="JX12" s="20">
        <f>IF(Simulation!JX12&lt;Obligors!$I$12,1,0)</f>
        <v/>
      </c>
      <c r="JY12" s="20">
        <f>IF(Simulation!JY12&lt;Obligors!$I$12,1,0)</f>
        <v/>
      </c>
      <c r="JZ12" s="20">
        <f>IF(Simulation!JZ12&lt;Obligors!$I$12,1,0)</f>
        <v/>
      </c>
      <c r="KA12" s="20">
        <f>IF(Simulation!KA12&lt;Obligors!$I$12,1,0)</f>
        <v/>
      </c>
      <c r="KB12" s="20">
        <f>IF(Simulation!KB12&lt;Obligors!$I$12,1,0)</f>
        <v/>
      </c>
      <c r="KC12" s="20">
        <f>IF(Simulation!KC12&lt;Obligors!$I$12,1,0)</f>
        <v/>
      </c>
      <c r="KD12" s="20">
        <f>IF(Simulation!KD12&lt;Obligors!$I$12,1,0)</f>
        <v/>
      </c>
      <c r="KE12" s="20">
        <f>IF(Simulation!KE12&lt;Obligors!$I$12,1,0)</f>
        <v/>
      </c>
      <c r="KF12" s="20">
        <f>IF(Simulation!KF12&lt;Obligors!$I$12,1,0)</f>
        <v/>
      </c>
      <c r="KG12" s="20">
        <f>IF(Simulation!KG12&lt;Obligors!$I$12,1,0)</f>
        <v/>
      </c>
      <c r="KH12" s="20">
        <f>IF(Simulation!KH12&lt;Obligors!$I$12,1,0)</f>
        <v/>
      </c>
      <c r="KI12" s="20">
        <f>IF(Simulation!KI12&lt;Obligors!$I$12,1,0)</f>
        <v/>
      </c>
      <c r="KJ12" s="20">
        <f>IF(Simulation!KJ12&lt;Obligors!$I$12,1,0)</f>
        <v/>
      </c>
      <c r="KK12" s="20">
        <f>IF(Simulation!KK12&lt;Obligors!$I$12,1,0)</f>
        <v/>
      </c>
      <c r="KL12" s="20">
        <f>IF(Simulation!KL12&lt;Obligors!$I$12,1,0)</f>
        <v/>
      </c>
      <c r="KM12" s="20">
        <f>IF(Simulation!KM12&lt;Obligors!$I$12,1,0)</f>
        <v/>
      </c>
      <c r="KN12" s="20">
        <f>IF(Simulation!KN12&lt;Obligors!$I$12,1,0)</f>
        <v/>
      </c>
      <c r="KO12" s="20">
        <f>IF(Simulation!KO12&lt;Obligors!$I$12,1,0)</f>
        <v/>
      </c>
      <c r="KP12" s="20">
        <f>IF(Simulation!KP12&lt;Obligors!$I$12,1,0)</f>
        <v/>
      </c>
      <c r="KQ12" s="20">
        <f>IF(Simulation!KQ12&lt;Obligors!$I$12,1,0)</f>
        <v/>
      </c>
      <c r="KR12" s="20">
        <f>IF(Simulation!KR12&lt;Obligors!$I$12,1,0)</f>
        <v/>
      </c>
      <c r="KS12" s="20">
        <f>IF(Simulation!KS12&lt;Obligors!$I$12,1,0)</f>
        <v/>
      </c>
      <c r="KT12" s="20">
        <f>IF(Simulation!KT12&lt;Obligors!$I$12,1,0)</f>
        <v/>
      </c>
      <c r="KU12" s="20">
        <f>IF(Simulation!KU12&lt;Obligors!$I$12,1,0)</f>
        <v/>
      </c>
      <c r="KV12" s="20">
        <f>IF(Simulation!KV12&lt;Obligors!$I$12,1,0)</f>
        <v/>
      </c>
      <c r="KW12" s="20">
        <f>IF(Simulation!KW12&lt;Obligors!$I$12,1,0)</f>
        <v/>
      </c>
      <c r="KX12" s="20">
        <f>IF(Simulation!KX12&lt;Obligors!$I$12,1,0)</f>
        <v/>
      </c>
      <c r="KY12" s="20">
        <f>IF(Simulation!KY12&lt;Obligors!$I$12,1,0)</f>
        <v/>
      </c>
      <c r="KZ12" s="20">
        <f>IF(Simulation!KZ12&lt;Obligors!$I$12,1,0)</f>
        <v/>
      </c>
      <c r="LA12" s="20">
        <f>IF(Simulation!LA12&lt;Obligors!$I$12,1,0)</f>
        <v/>
      </c>
      <c r="LB12" s="20">
        <f>IF(Simulation!LB12&lt;Obligors!$I$12,1,0)</f>
        <v/>
      </c>
      <c r="LC12" s="20">
        <f>IF(Simulation!LC12&lt;Obligors!$I$12,1,0)</f>
        <v/>
      </c>
      <c r="LD12" s="20">
        <f>IF(Simulation!LD12&lt;Obligors!$I$12,1,0)</f>
        <v/>
      </c>
      <c r="LE12" s="20">
        <f>IF(Simulation!LE12&lt;Obligors!$I$12,1,0)</f>
        <v/>
      </c>
      <c r="LF12" s="20">
        <f>IF(Simulation!LF12&lt;Obligors!$I$12,1,0)</f>
        <v/>
      </c>
      <c r="LG12" s="20">
        <f>IF(Simulation!LG12&lt;Obligors!$I$12,1,0)</f>
        <v/>
      </c>
      <c r="LH12" s="20">
        <f>IF(Simulation!LH12&lt;Obligors!$I$12,1,0)</f>
        <v/>
      </c>
      <c r="LI12" s="20">
        <f>IF(Simulation!LI12&lt;Obligors!$I$12,1,0)</f>
        <v/>
      </c>
      <c r="LJ12" s="20">
        <f>IF(Simulation!LJ12&lt;Obligors!$I$12,1,0)</f>
        <v/>
      </c>
      <c r="LK12" s="20">
        <f>IF(Simulation!LK12&lt;Obligors!$I$12,1,0)</f>
        <v/>
      </c>
      <c r="LL12" s="20">
        <f>IF(Simulation!LL12&lt;Obligors!$I$12,1,0)</f>
        <v/>
      </c>
      <c r="LM12" s="20">
        <f>IF(Simulation!LM12&lt;Obligors!$I$12,1,0)</f>
        <v/>
      </c>
      <c r="LN12" s="20">
        <f>IF(Simulation!LN12&lt;Obligors!$I$12,1,0)</f>
        <v/>
      </c>
      <c r="LO12" s="20">
        <f>IF(Simulation!LO12&lt;Obligors!$I$12,1,0)</f>
        <v/>
      </c>
      <c r="LP12" s="20">
        <f>IF(Simulation!LP12&lt;Obligors!$I$12,1,0)</f>
        <v/>
      </c>
      <c r="LQ12" s="20">
        <f>IF(Simulation!LQ12&lt;Obligors!$I$12,1,0)</f>
        <v/>
      </c>
      <c r="LR12" s="20">
        <f>IF(Simulation!LR12&lt;Obligors!$I$12,1,0)</f>
        <v/>
      </c>
      <c r="LS12" s="20">
        <f>IF(Simulation!LS12&lt;Obligors!$I$12,1,0)</f>
        <v/>
      </c>
      <c r="LT12" s="20">
        <f>IF(Simulation!LT12&lt;Obligors!$I$12,1,0)</f>
        <v/>
      </c>
      <c r="LU12" s="20">
        <f>IF(Simulation!LU12&lt;Obligors!$I$12,1,0)</f>
        <v/>
      </c>
      <c r="LV12" s="20">
        <f>IF(Simulation!LV12&lt;Obligors!$I$12,1,0)</f>
        <v/>
      </c>
      <c r="LW12" s="20">
        <f>IF(Simulation!LW12&lt;Obligors!$I$12,1,0)</f>
        <v/>
      </c>
      <c r="LX12" s="20">
        <f>IF(Simulation!LX12&lt;Obligors!$I$12,1,0)</f>
        <v/>
      </c>
      <c r="LY12" s="20">
        <f>IF(Simulation!LY12&lt;Obligors!$I$12,1,0)</f>
        <v/>
      </c>
      <c r="LZ12" s="20">
        <f>IF(Simulation!LZ12&lt;Obligors!$I$12,1,0)</f>
        <v/>
      </c>
      <c r="MA12" s="20">
        <f>IF(Simulation!MA12&lt;Obligors!$I$12,1,0)</f>
        <v/>
      </c>
      <c r="MB12" s="20">
        <f>IF(Simulation!MB12&lt;Obligors!$I$12,1,0)</f>
        <v/>
      </c>
      <c r="MC12" s="20">
        <f>IF(Simulation!MC12&lt;Obligors!$I$12,1,0)</f>
        <v/>
      </c>
      <c r="MD12" s="20">
        <f>IF(Simulation!MD12&lt;Obligors!$I$12,1,0)</f>
        <v/>
      </c>
      <c r="ME12" s="20">
        <f>IF(Simulation!ME12&lt;Obligors!$I$12,1,0)</f>
        <v/>
      </c>
      <c r="MF12" s="20">
        <f>IF(Simulation!MF12&lt;Obligors!$I$12,1,0)</f>
        <v/>
      </c>
      <c r="MG12" s="20">
        <f>IF(Simulation!MG12&lt;Obligors!$I$12,1,0)</f>
        <v/>
      </c>
      <c r="MH12" s="20">
        <f>IF(Simulation!MH12&lt;Obligors!$I$12,1,0)</f>
        <v/>
      </c>
      <c r="MI12" s="20">
        <f>IF(Simulation!MI12&lt;Obligors!$I$12,1,0)</f>
        <v/>
      </c>
      <c r="MJ12" s="20">
        <f>IF(Simulation!MJ12&lt;Obligors!$I$12,1,0)</f>
        <v/>
      </c>
      <c r="MK12" s="20">
        <f>IF(Simulation!MK12&lt;Obligors!$I$12,1,0)</f>
        <v/>
      </c>
      <c r="ML12" s="20">
        <f>IF(Simulation!ML12&lt;Obligors!$I$12,1,0)</f>
        <v/>
      </c>
      <c r="MM12" s="20">
        <f>IF(Simulation!MM12&lt;Obligors!$I$12,1,0)</f>
        <v/>
      </c>
      <c r="MN12" s="20">
        <f>IF(Simulation!MN12&lt;Obligors!$I$12,1,0)</f>
        <v/>
      </c>
      <c r="MO12" s="20">
        <f>IF(Simulation!MO12&lt;Obligors!$I$12,1,0)</f>
        <v/>
      </c>
      <c r="MP12" s="20">
        <f>IF(Simulation!MP12&lt;Obligors!$I$12,1,0)</f>
        <v/>
      </c>
      <c r="MQ12" s="20">
        <f>IF(Simulation!MQ12&lt;Obligors!$I$12,1,0)</f>
        <v/>
      </c>
      <c r="MR12" s="20">
        <f>IF(Simulation!MR12&lt;Obligors!$I$12,1,0)</f>
        <v/>
      </c>
      <c r="MS12" s="20">
        <f>IF(Simulation!MS12&lt;Obligors!$I$12,1,0)</f>
        <v/>
      </c>
      <c r="MT12" s="20">
        <f>IF(Simulation!MT12&lt;Obligors!$I$12,1,0)</f>
        <v/>
      </c>
      <c r="MU12" s="20">
        <f>IF(Simulation!MU12&lt;Obligors!$I$12,1,0)</f>
        <v/>
      </c>
      <c r="MV12" s="20">
        <f>IF(Simulation!MV12&lt;Obligors!$I$12,1,0)</f>
        <v/>
      </c>
      <c r="MW12" s="20">
        <f>IF(Simulation!MW12&lt;Obligors!$I$12,1,0)</f>
        <v/>
      </c>
      <c r="MX12" s="20">
        <f>IF(Simulation!MX12&lt;Obligors!$I$12,1,0)</f>
        <v/>
      </c>
      <c r="MY12" s="20">
        <f>IF(Simulation!MY12&lt;Obligors!$I$12,1,0)</f>
        <v/>
      </c>
      <c r="MZ12" s="20">
        <f>IF(Simulation!MZ12&lt;Obligors!$I$12,1,0)</f>
        <v/>
      </c>
      <c r="NA12" s="20">
        <f>IF(Simulation!NA12&lt;Obligors!$I$12,1,0)</f>
        <v/>
      </c>
      <c r="NB12" s="20">
        <f>IF(Simulation!NB12&lt;Obligors!$I$12,1,0)</f>
        <v/>
      </c>
      <c r="NC12" s="20">
        <f>IF(Simulation!NC12&lt;Obligors!$I$12,1,0)</f>
        <v/>
      </c>
      <c r="ND12" s="20">
        <f>IF(Simulation!ND12&lt;Obligors!$I$12,1,0)</f>
        <v/>
      </c>
      <c r="NE12" s="20">
        <f>IF(Simulation!NE12&lt;Obligors!$I$12,1,0)</f>
        <v/>
      </c>
      <c r="NF12" s="20">
        <f>IF(Simulation!NF12&lt;Obligors!$I$12,1,0)</f>
        <v/>
      </c>
      <c r="NG12" s="20">
        <f>IF(Simulation!NG12&lt;Obligors!$I$12,1,0)</f>
        <v/>
      </c>
      <c r="NH12" s="20">
        <f>IF(Simulation!NH12&lt;Obligors!$I$12,1,0)</f>
        <v/>
      </c>
      <c r="NI12" s="20">
        <f>IF(Simulation!NI12&lt;Obligors!$I$12,1,0)</f>
        <v/>
      </c>
      <c r="NJ12" s="20">
        <f>IF(Simulation!NJ12&lt;Obligors!$I$12,1,0)</f>
        <v/>
      </c>
      <c r="NK12" s="20">
        <f>IF(Simulation!NK12&lt;Obligors!$I$12,1,0)</f>
        <v/>
      </c>
      <c r="NL12" s="20">
        <f>IF(Simulation!NL12&lt;Obligors!$I$12,1,0)</f>
        <v/>
      </c>
      <c r="NM12" s="20">
        <f>IF(Simulation!NM12&lt;Obligors!$I$12,1,0)</f>
        <v/>
      </c>
      <c r="NN12" s="20">
        <f>IF(Simulation!NN12&lt;Obligors!$I$12,1,0)</f>
        <v/>
      </c>
      <c r="NO12" s="20">
        <f>IF(Simulation!NO12&lt;Obligors!$I$12,1,0)</f>
        <v/>
      </c>
      <c r="NP12" s="20">
        <f>IF(Simulation!NP12&lt;Obligors!$I$12,1,0)</f>
        <v/>
      </c>
      <c r="NQ12" s="20">
        <f>IF(Simulation!NQ12&lt;Obligors!$I$12,1,0)</f>
        <v/>
      </c>
      <c r="NR12" s="20">
        <f>IF(Simulation!NR12&lt;Obligors!$I$12,1,0)</f>
        <v/>
      </c>
      <c r="NS12" s="20">
        <f>IF(Simulation!NS12&lt;Obligors!$I$12,1,0)</f>
        <v/>
      </c>
      <c r="NT12" s="20">
        <f>IF(Simulation!NT12&lt;Obligors!$I$12,1,0)</f>
        <v/>
      </c>
      <c r="NU12" s="20">
        <f>IF(Simulation!NU12&lt;Obligors!$I$12,1,0)</f>
        <v/>
      </c>
      <c r="NV12" s="20">
        <f>IF(Simulation!NV12&lt;Obligors!$I$12,1,0)</f>
        <v/>
      </c>
      <c r="NW12" s="20">
        <f>IF(Simulation!NW12&lt;Obligors!$I$12,1,0)</f>
        <v/>
      </c>
      <c r="NX12" s="20">
        <f>IF(Simulation!NX12&lt;Obligors!$I$12,1,0)</f>
        <v/>
      </c>
      <c r="NY12" s="20">
        <f>IF(Simulation!NY12&lt;Obligors!$I$12,1,0)</f>
        <v/>
      </c>
      <c r="NZ12" s="20">
        <f>IF(Simulation!NZ12&lt;Obligors!$I$12,1,0)</f>
        <v/>
      </c>
      <c r="OA12" s="20">
        <f>IF(Simulation!OA12&lt;Obligors!$I$12,1,0)</f>
        <v/>
      </c>
      <c r="OB12" s="20">
        <f>IF(Simulation!OB12&lt;Obligors!$I$12,1,0)</f>
        <v/>
      </c>
      <c r="OC12" s="20">
        <f>IF(Simulation!OC12&lt;Obligors!$I$12,1,0)</f>
        <v/>
      </c>
      <c r="OD12" s="20">
        <f>IF(Simulation!OD12&lt;Obligors!$I$12,1,0)</f>
        <v/>
      </c>
      <c r="OE12" s="20">
        <f>IF(Simulation!OE12&lt;Obligors!$I$12,1,0)</f>
        <v/>
      </c>
      <c r="OF12" s="20">
        <f>IF(Simulation!OF12&lt;Obligors!$I$12,1,0)</f>
        <v/>
      </c>
      <c r="OG12" s="20">
        <f>IF(Simulation!OG12&lt;Obligors!$I$12,1,0)</f>
        <v/>
      </c>
      <c r="OH12" s="20">
        <f>IF(Simulation!OH12&lt;Obligors!$I$12,1,0)</f>
        <v/>
      </c>
      <c r="OI12" s="20">
        <f>IF(Simulation!OI12&lt;Obligors!$I$12,1,0)</f>
        <v/>
      </c>
      <c r="OJ12" s="20">
        <f>IF(Simulation!OJ12&lt;Obligors!$I$12,1,0)</f>
        <v/>
      </c>
      <c r="OK12" s="20">
        <f>IF(Simulation!OK12&lt;Obligors!$I$12,1,0)</f>
        <v/>
      </c>
      <c r="OL12" s="20">
        <f>IF(Simulation!OL12&lt;Obligors!$I$12,1,0)</f>
        <v/>
      </c>
      <c r="OM12" s="20">
        <f>IF(Simulation!OM12&lt;Obligors!$I$12,1,0)</f>
        <v/>
      </c>
      <c r="ON12" s="20">
        <f>IF(Simulation!ON12&lt;Obligors!$I$12,1,0)</f>
        <v/>
      </c>
      <c r="OO12" s="20">
        <f>IF(Simulation!OO12&lt;Obligors!$I$12,1,0)</f>
        <v/>
      </c>
      <c r="OP12" s="20">
        <f>IF(Simulation!OP12&lt;Obligors!$I$12,1,0)</f>
        <v/>
      </c>
      <c r="OQ12" s="20">
        <f>IF(Simulation!OQ12&lt;Obligors!$I$12,1,0)</f>
        <v/>
      </c>
      <c r="OR12" s="20">
        <f>IF(Simulation!OR12&lt;Obligors!$I$12,1,0)</f>
        <v/>
      </c>
      <c r="OS12" s="20">
        <f>IF(Simulation!OS12&lt;Obligors!$I$12,1,0)</f>
        <v/>
      </c>
      <c r="OT12" s="20">
        <f>IF(Simulation!OT12&lt;Obligors!$I$12,1,0)</f>
        <v/>
      </c>
      <c r="OU12" s="20">
        <f>IF(Simulation!OU12&lt;Obligors!$I$12,1,0)</f>
        <v/>
      </c>
      <c r="OV12" s="20">
        <f>IF(Simulation!OV12&lt;Obligors!$I$12,1,0)</f>
        <v/>
      </c>
      <c r="OW12" s="20">
        <f>IF(Simulation!OW12&lt;Obligors!$I$12,1,0)</f>
        <v/>
      </c>
      <c r="OX12" s="20">
        <f>IF(Simulation!OX12&lt;Obligors!$I$12,1,0)</f>
        <v/>
      </c>
      <c r="OY12" s="20">
        <f>IF(Simulation!OY12&lt;Obligors!$I$12,1,0)</f>
        <v/>
      </c>
      <c r="OZ12" s="20">
        <f>IF(Simulation!OZ12&lt;Obligors!$I$12,1,0)</f>
        <v/>
      </c>
      <c r="PA12" s="20">
        <f>IF(Simulation!PA12&lt;Obligors!$I$12,1,0)</f>
        <v/>
      </c>
      <c r="PB12" s="20">
        <f>IF(Simulation!PB12&lt;Obligors!$I$12,1,0)</f>
        <v/>
      </c>
      <c r="PC12" s="20">
        <f>IF(Simulation!PC12&lt;Obligors!$I$12,1,0)</f>
        <v/>
      </c>
      <c r="PD12" s="20">
        <f>IF(Simulation!PD12&lt;Obligors!$I$12,1,0)</f>
        <v/>
      </c>
      <c r="PE12" s="20">
        <f>IF(Simulation!PE12&lt;Obligors!$I$12,1,0)</f>
        <v/>
      </c>
      <c r="PF12" s="20">
        <f>IF(Simulation!PF12&lt;Obligors!$I$12,1,0)</f>
        <v/>
      </c>
      <c r="PG12" s="20">
        <f>IF(Simulation!PG12&lt;Obligors!$I$12,1,0)</f>
        <v/>
      </c>
      <c r="PH12" s="20">
        <f>IF(Simulation!PH12&lt;Obligors!$I$12,1,0)</f>
        <v/>
      </c>
      <c r="PI12" s="20">
        <f>IF(Simulation!PI12&lt;Obligors!$I$12,1,0)</f>
        <v/>
      </c>
      <c r="PJ12" s="20">
        <f>IF(Simulation!PJ12&lt;Obligors!$I$12,1,0)</f>
        <v/>
      </c>
      <c r="PK12" s="20">
        <f>IF(Simulation!PK12&lt;Obligors!$I$12,1,0)</f>
        <v/>
      </c>
      <c r="PL12" s="20">
        <f>IF(Simulation!PL12&lt;Obligors!$I$12,1,0)</f>
        <v/>
      </c>
      <c r="PM12" s="20">
        <f>IF(Simulation!PM12&lt;Obligors!$I$12,1,0)</f>
        <v/>
      </c>
      <c r="PN12" s="20">
        <f>IF(Simulation!PN12&lt;Obligors!$I$12,1,0)</f>
        <v/>
      </c>
      <c r="PO12" s="20">
        <f>IF(Simulation!PO12&lt;Obligors!$I$12,1,0)</f>
        <v/>
      </c>
      <c r="PP12" s="20">
        <f>IF(Simulation!PP12&lt;Obligors!$I$12,1,0)</f>
        <v/>
      </c>
      <c r="PQ12" s="20">
        <f>IF(Simulation!PQ12&lt;Obligors!$I$12,1,0)</f>
        <v/>
      </c>
      <c r="PR12" s="20">
        <f>IF(Simulation!PR12&lt;Obligors!$I$12,1,0)</f>
        <v/>
      </c>
      <c r="PS12" s="20">
        <f>IF(Simulation!PS12&lt;Obligors!$I$12,1,0)</f>
        <v/>
      </c>
      <c r="PT12" s="20">
        <f>IF(Simulation!PT12&lt;Obligors!$I$12,1,0)</f>
        <v/>
      </c>
      <c r="PU12" s="20">
        <f>IF(Simulation!PU12&lt;Obligors!$I$12,1,0)</f>
        <v/>
      </c>
      <c r="PV12" s="20">
        <f>IF(Simulation!PV12&lt;Obligors!$I$12,1,0)</f>
        <v/>
      </c>
      <c r="PW12" s="20">
        <f>IF(Simulation!PW12&lt;Obligors!$I$12,1,0)</f>
        <v/>
      </c>
      <c r="PX12" s="20">
        <f>IF(Simulation!PX12&lt;Obligors!$I$12,1,0)</f>
        <v/>
      </c>
      <c r="PY12" s="20">
        <f>IF(Simulation!PY12&lt;Obligors!$I$12,1,0)</f>
        <v/>
      </c>
      <c r="PZ12" s="20">
        <f>IF(Simulation!PZ12&lt;Obligors!$I$12,1,0)</f>
        <v/>
      </c>
      <c r="QA12" s="20">
        <f>IF(Simulation!QA12&lt;Obligors!$I$12,1,0)</f>
        <v/>
      </c>
      <c r="QB12" s="20">
        <f>IF(Simulation!QB12&lt;Obligors!$I$12,1,0)</f>
        <v/>
      </c>
      <c r="QC12" s="20">
        <f>IF(Simulation!QC12&lt;Obligors!$I$12,1,0)</f>
        <v/>
      </c>
      <c r="QD12" s="20">
        <f>IF(Simulation!QD12&lt;Obligors!$I$12,1,0)</f>
        <v/>
      </c>
      <c r="QE12" s="20">
        <f>IF(Simulation!QE12&lt;Obligors!$I$12,1,0)</f>
        <v/>
      </c>
      <c r="QF12" s="20">
        <f>IF(Simulation!QF12&lt;Obligors!$I$12,1,0)</f>
        <v/>
      </c>
      <c r="QG12" s="20">
        <f>IF(Simulation!QG12&lt;Obligors!$I$12,1,0)</f>
        <v/>
      </c>
      <c r="QH12" s="20">
        <f>IF(Simulation!QH12&lt;Obligors!$I$12,1,0)</f>
        <v/>
      </c>
      <c r="QI12" s="20">
        <f>IF(Simulation!QI12&lt;Obligors!$I$12,1,0)</f>
        <v/>
      </c>
      <c r="QJ12" s="20">
        <f>IF(Simulation!QJ12&lt;Obligors!$I$12,1,0)</f>
        <v/>
      </c>
      <c r="QK12" s="20">
        <f>IF(Simulation!QK12&lt;Obligors!$I$12,1,0)</f>
        <v/>
      </c>
      <c r="QL12" s="20">
        <f>IF(Simulation!QL12&lt;Obligors!$I$12,1,0)</f>
        <v/>
      </c>
      <c r="QM12" s="20">
        <f>IF(Simulation!QM12&lt;Obligors!$I$12,1,0)</f>
        <v/>
      </c>
      <c r="QN12" s="20">
        <f>IF(Simulation!QN12&lt;Obligors!$I$12,1,0)</f>
        <v/>
      </c>
      <c r="QO12" s="20">
        <f>IF(Simulation!QO12&lt;Obligors!$I$12,1,0)</f>
        <v/>
      </c>
      <c r="QP12" s="20">
        <f>IF(Simulation!QP12&lt;Obligors!$I$12,1,0)</f>
        <v/>
      </c>
      <c r="QQ12" s="20">
        <f>IF(Simulation!QQ12&lt;Obligors!$I$12,1,0)</f>
        <v/>
      </c>
      <c r="QR12" s="20">
        <f>IF(Simulation!QR12&lt;Obligors!$I$12,1,0)</f>
        <v/>
      </c>
      <c r="QS12" s="20">
        <f>IF(Simulation!QS12&lt;Obligors!$I$12,1,0)</f>
        <v/>
      </c>
      <c r="QT12" s="20">
        <f>IF(Simulation!QT12&lt;Obligors!$I$12,1,0)</f>
        <v/>
      </c>
      <c r="QU12" s="20">
        <f>IF(Simulation!QU12&lt;Obligors!$I$12,1,0)</f>
        <v/>
      </c>
      <c r="QV12" s="20">
        <f>IF(Simulation!QV12&lt;Obligors!$I$12,1,0)</f>
        <v/>
      </c>
      <c r="QW12" s="20">
        <f>IF(Simulation!QW12&lt;Obligors!$I$12,1,0)</f>
        <v/>
      </c>
      <c r="QX12" s="20">
        <f>IF(Simulation!QX12&lt;Obligors!$I$12,1,0)</f>
        <v/>
      </c>
      <c r="QY12" s="20">
        <f>IF(Simulation!QY12&lt;Obligors!$I$12,1,0)</f>
        <v/>
      </c>
      <c r="QZ12" s="20">
        <f>IF(Simulation!QZ12&lt;Obligors!$I$12,1,0)</f>
        <v/>
      </c>
      <c r="RA12" s="20">
        <f>IF(Simulation!RA12&lt;Obligors!$I$12,1,0)</f>
        <v/>
      </c>
      <c r="RB12" s="20">
        <f>IF(Simulation!RB12&lt;Obligors!$I$12,1,0)</f>
        <v/>
      </c>
      <c r="RC12" s="20">
        <f>IF(Simulation!RC12&lt;Obligors!$I$12,1,0)</f>
        <v/>
      </c>
      <c r="RD12" s="20">
        <f>IF(Simulation!RD12&lt;Obligors!$I$12,1,0)</f>
        <v/>
      </c>
      <c r="RE12" s="20">
        <f>IF(Simulation!RE12&lt;Obligors!$I$12,1,0)</f>
        <v/>
      </c>
      <c r="RF12" s="20">
        <f>IF(Simulation!RF12&lt;Obligors!$I$12,1,0)</f>
        <v/>
      </c>
      <c r="RG12" s="20">
        <f>IF(Simulation!RG12&lt;Obligors!$I$12,1,0)</f>
        <v/>
      </c>
      <c r="RH12" s="20">
        <f>IF(Simulation!RH12&lt;Obligors!$I$12,1,0)</f>
        <v/>
      </c>
      <c r="RI12" s="20">
        <f>IF(Simulation!RI12&lt;Obligors!$I$12,1,0)</f>
        <v/>
      </c>
      <c r="RJ12" s="20">
        <f>IF(Simulation!RJ12&lt;Obligors!$I$12,1,0)</f>
        <v/>
      </c>
      <c r="RK12" s="20">
        <f>IF(Simulation!RK12&lt;Obligors!$I$12,1,0)</f>
        <v/>
      </c>
      <c r="RL12" s="20">
        <f>IF(Simulation!RL12&lt;Obligors!$I$12,1,0)</f>
        <v/>
      </c>
      <c r="RM12" s="20">
        <f>IF(Simulation!RM12&lt;Obligors!$I$12,1,0)</f>
        <v/>
      </c>
      <c r="RN12" s="20">
        <f>IF(Simulation!RN12&lt;Obligors!$I$12,1,0)</f>
        <v/>
      </c>
      <c r="RO12" s="20">
        <f>IF(Simulation!RO12&lt;Obligors!$I$12,1,0)</f>
        <v/>
      </c>
      <c r="RP12" s="20">
        <f>IF(Simulation!RP12&lt;Obligors!$I$12,1,0)</f>
        <v/>
      </c>
      <c r="RQ12" s="20">
        <f>IF(Simulation!RQ12&lt;Obligors!$I$12,1,0)</f>
        <v/>
      </c>
      <c r="RR12" s="20">
        <f>IF(Simulation!RR12&lt;Obligors!$I$12,1,0)</f>
        <v/>
      </c>
      <c r="RS12" s="20">
        <f>IF(Simulation!RS12&lt;Obligors!$I$12,1,0)</f>
        <v/>
      </c>
      <c r="RT12" s="20">
        <f>IF(Simulation!RT12&lt;Obligors!$I$12,1,0)</f>
        <v/>
      </c>
      <c r="RU12" s="20">
        <f>IF(Simulation!RU12&lt;Obligors!$I$12,1,0)</f>
        <v/>
      </c>
      <c r="RV12" s="20">
        <f>IF(Simulation!RV12&lt;Obligors!$I$12,1,0)</f>
        <v/>
      </c>
      <c r="RW12" s="20">
        <f>IF(Simulation!RW12&lt;Obligors!$I$12,1,0)</f>
        <v/>
      </c>
      <c r="RX12" s="20">
        <f>IF(Simulation!RX12&lt;Obligors!$I$12,1,0)</f>
        <v/>
      </c>
      <c r="RY12" s="20">
        <f>IF(Simulation!RY12&lt;Obligors!$I$12,1,0)</f>
        <v/>
      </c>
      <c r="RZ12" s="20">
        <f>IF(Simulation!RZ12&lt;Obligors!$I$12,1,0)</f>
        <v/>
      </c>
      <c r="SA12" s="20">
        <f>IF(Simulation!SA12&lt;Obligors!$I$12,1,0)</f>
        <v/>
      </c>
      <c r="SB12" s="20">
        <f>IF(Simulation!SB12&lt;Obligors!$I$12,1,0)</f>
        <v/>
      </c>
      <c r="SC12" s="20">
        <f>IF(Simulation!SC12&lt;Obligors!$I$12,1,0)</f>
        <v/>
      </c>
      <c r="SD12" s="20">
        <f>IF(Simulation!SD12&lt;Obligors!$I$12,1,0)</f>
        <v/>
      </c>
      <c r="SE12" s="20">
        <f>IF(Simulation!SE12&lt;Obligors!$I$12,1,0)</f>
        <v/>
      </c>
      <c r="SF12" s="20">
        <f>IF(Simulation!SF12&lt;Obligors!$I$12,1,0)</f>
        <v/>
      </c>
      <c r="SG12" s="20">
        <f>IF(Simulation!SG12&lt;Obligors!$I$12,1,0)</f>
        <v/>
      </c>
    </row>
    <row r="13">
      <c r="A13" s="17" t="inlineStr">
        <is>
          <t>OBL-012</t>
        </is>
      </c>
      <c r="B13" s="20">
        <f>IF(Simulation!B13&lt;Obligors!$I$13,1,0)</f>
        <v/>
      </c>
      <c r="C13" s="20">
        <f>IF(Simulation!C13&lt;Obligors!$I$13,1,0)</f>
        <v/>
      </c>
      <c r="D13" s="20">
        <f>IF(Simulation!D13&lt;Obligors!$I$13,1,0)</f>
        <v/>
      </c>
      <c r="E13" s="20">
        <f>IF(Simulation!E13&lt;Obligors!$I$13,1,0)</f>
        <v/>
      </c>
      <c r="F13" s="20">
        <f>IF(Simulation!F13&lt;Obligors!$I$13,1,0)</f>
        <v/>
      </c>
      <c r="G13" s="20">
        <f>IF(Simulation!G13&lt;Obligors!$I$13,1,0)</f>
        <v/>
      </c>
      <c r="H13" s="20">
        <f>IF(Simulation!H13&lt;Obligors!$I$13,1,0)</f>
        <v/>
      </c>
      <c r="I13" s="20">
        <f>IF(Simulation!I13&lt;Obligors!$I$13,1,0)</f>
        <v/>
      </c>
      <c r="J13" s="20">
        <f>IF(Simulation!J13&lt;Obligors!$I$13,1,0)</f>
        <v/>
      </c>
      <c r="K13" s="20">
        <f>IF(Simulation!K13&lt;Obligors!$I$13,1,0)</f>
        <v/>
      </c>
      <c r="L13" s="20">
        <f>IF(Simulation!L13&lt;Obligors!$I$13,1,0)</f>
        <v/>
      </c>
      <c r="M13" s="20">
        <f>IF(Simulation!M13&lt;Obligors!$I$13,1,0)</f>
        <v/>
      </c>
      <c r="N13" s="20">
        <f>IF(Simulation!N13&lt;Obligors!$I$13,1,0)</f>
        <v/>
      </c>
      <c r="O13" s="20">
        <f>IF(Simulation!O13&lt;Obligors!$I$13,1,0)</f>
        <v/>
      </c>
      <c r="P13" s="20">
        <f>IF(Simulation!P13&lt;Obligors!$I$13,1,0)</f>
        <v/>
      </c>
      <c r="Q13" s="20">
        <f>IF(Simulation!Q13&lt;Obligors!$I$13,1,0)</f>
        <v/>
      </c>
      <c r="R13" s="20">
        <f>IF(Simulation!R13&lt;Obligors!$I$13,1,0)</f>
        <v/>
      </c>
      <c r="S13" s="20">
        <f>IF(Simulation!S13&lt;Obligors!$I$13,1,0)</f>
        <v/>
      </c>
      <c r="T13" s="20">
        <f>IF(Simulation!T13&lt;Obligors!$I$13,1,0)</f>
        <v/>
      </c>
      <c r="U13" s="20">
        <f>IF(Simulation!U13&lt;Obligors!$I$13,1,0)</f>
        <v/>
      </c>
      <c r="V13" s="20">
        <f>IF(Simulation!V13&lt;Obligors!$I$13,1,0)</f>
        <v/>
      </c>
      <c r="W13" s="20">
        <f>IF(Simulation!W13&lt;Obligors!$I$13,1,0)</f>
        <v/>
      </c>
      <c r="X13" s="20">
        <f>IF(Simulation!X13&lt;Obligors!$I$13,1,0)</f>
        <v/>
      </c>
      <c r="Y13" s="20">
        <f>IF(Simulation!Y13&lt;Obligors!$I$13,1,0)</f>
        <v/>
      </c>
      <c r="Z13" s="20">
        <f>IF(Simulation!Z13&lt;Obligors!$I$13,1,0)</f>
        <v/>
      </c>
      <c r="AA13" s="20">
        <f>IF(Simulation!AA13&lt;Obligors!$I$13,1,0)</f>
        <v/>
      </c>
      <c r="AB13" s="20">
        <f>IF(Simulation!AB13&lt;Obligors!$I$13,1,0)</f>
        <v/>
      </c>
      <c r="AC13" s="20">
        <f>IF(Simulation!AC13&lt;Obligors!$I$13,1,0)</f>
        <v/>
      </c>
      <c r="AD13" s="20">
        <f>IF(Simulation!AD13&lt;Obligors!$I$13,1,0)</f>
        <v/>
      </c>
      <c r="AE13" s="20">
        <f>IF(Simulation!AE13&lt;Obligors!$I$13,1,0)</f>
        <v/>
      </c>
      <c r="AF13" s="20">
        <f>IF(Simulation!AF13&lt;Obligors!$I$13,1,0)</f>
        <v/>
      </c>
      <c r="AG13" s="20">
        <f>IF(Simulation!AG13&lt;Obligors!$I$13,1,0)</f>
        <v/>
      </c>
      <c r="AH13" s="20">
        <f>IF(Simulation!AH13&lt;Obligors!$I$13,1,0)</f>
        <v/>
      </c>
      <c r="AI13" s="20">
        <f>IF(Simulation!AI13&lt;Obligors!$I$13,1,0)</f>
        <v/>
      </c>
      <c r="AJ13" s="20">
        <f>IF(Simulation!AJ13&lt;Obligors!$I$13,1,0)</f>
        <v/>
      </c>
      <c r="AK13" s="20">
        <f>IF(Simulation!AK13&lt;Obligors!$I$13,1,0)</f>
        <v/>
      </c>
      <c r="AL13" s="20">
        <f>IF(Simulation!AL13&lt;Obligors!$I$13,1,0)</f>
        <v/>
      </c>
      <c r="AM13" s="20">
        <f>IF(Simulation!AM13&lt;Obligors!$I$13,1,0)</f>
        <v/>
      </c>
      <c r="AN13" s="20">
        <f>IF(Simulation!AN13&lt;Obligors!$I$13,1,0)</f>
        <v/>
      </c>
      <c r="AO13" s="20">
        <f>IF(Simulation!AO13&lt;Obligors!$I$13,1,0)</f>
        <v/>
      </c>
      <c r="AP13" s="20">
        <f>IF(Simulation!AP13&lt;Obligors!$I$13,1,0)</f>
        <v/>
      </c>
      <c r="AQ13" s="20">
        <f>IF(Simulation!AQ13&lt;Obligors!$I$13,1,0)</f>
        <v/>
      </c>
      <c r="AR13" s="20">
        <f>IF(Simulation!AR13&lt;Obligors!$I$13,1,0)</f>
        <v/>
      </c>
      <c r="AS13" s="20">
        <f>IF(Simulation!AS13&lt;Obligors!$I$13,1,0)</f>
        <v/>
      </c>
      <c r="AT13" s="20">
        <f>IF(Simulation!AT13&lt;Obligors!$I$13,1,0)</f>
        <v/>
      </c>
      <c r="AU13" s="20">
        <f>IF(Simulation!AU13&lt;Obligors!$I$13,1,0)</f>
        <v/>
      </c>
      <c r="AV13" s="20">
        <f>IF(Simulation!AV13&lt;Obligors!$I$13,1,0)</f>
        <v/>
      </c>
      <c r="AW13" s="20">
        <f>IF(Simulation!AW13&lt;Obligors!$I$13,1,0)</f>
        <v/>
      </c>
      <c r="AX13" s="20">
        <f>IF(Simulation!AX13&lt;Obligors!$I$13,1,0)</f>
        <v/>
      </c>
      <c r="AY13" s="20">
        <f>IF(Simulation!AY13&lt;Obligors!$I$13,1,0)</f>
        <v/>
      </c>
      <c r="AZ13" s="20">
        <f>IF(Simulation!AZ13&lt;Obligors!$I$13,1,0)</f>
        <v/>
      </c>
      <c r="BA13" s="20">
        <f>IF(Simulation!BA13&lt;Obligors!$I$13,1,0)</f>
        <v/>
      </c>
      <c r="BB13" s="20">
        <f>IF(Simulation!BB13&lt;Obligors!$I$13,1,0)</f>
        <v/>
      </c>
      <c r="BC13" s="20">
        <f>IF(Simulation!BC13&lt;Obligors!$I$13,1,0)</f>
        <v/>
      </c>
      <c r="BD13" s="20">
        <f>IF(Simulation!BD13&lt;Obligors!$I$13,1,0)</f>
        <v/>
      </c>
      <c r="BE13" s="20">
        <f>IF(Simulation!BE13&lt;Obligors!$I$13,1,0)</f>
        <v/>
      </c>
      <c r="BF13" s="20">
        <f>IF(Simulation!BF13&lt;Obligors!$I$13,1,0)</f>
        <v/>
      </c>
      <c r="BG13" s="20">
        <f>IF(Simulation!BG13&lt;Obligors!$I$13,1,0)</f>
        <v/>
      </c>
      <c r="BH13" s="20">
        <f>IF(Simulation!BH13&lt;Obligors!$I$13,1,0)</f>
        <v/>
      </c>
      <c r="BI13" s="20">
        <f>IF(Simulation!BI13&lt;Obligors!$I$13,1,0)</f>
        <v/>
      </c>
      <c r="BJ13" s="20">
        <f>IF(Simulation!BJ13&lt;Obligors!$I$13,1,0)</f>
        <v/>
      </c>
      <c r="BK13" s="20">
        <f>IF(Simulation!BK13&lt;Obligors!$I$13,1,0)</f>
        <v/>
      </c>
      <c r="BL13" s="20">
        <f>IF(Simulation!BL13&lt;Obligors!$I$13,1,0)</f>
        <v/>
      </c>
      <c r="BM13" s="20">
        <f>IF(Simulation!BM13&lt;Obligors!$I$13,1,0)</f>
        <v/>
      </c>
      <c r="BN13" s="20">
        <f>IF(Simulation!BN13&lt;Obligors!$I$13,1,0)</f>
        <v/>
      </c>
      <c r="BO13" s="20">
        <f>IF(Simulation!BO13&lt;Obligors!$I$13,1,0)</f>
        <v/>
      </c>
      <c r="BP13" s="20">
        <f>IF(Simulation!BP13&lt;Obligors!$I$13,1,0)</f>
        <v/>
      </c>
      <c r="BQ13" s="20">
        <f>IF(Simulation!BQ13&lt;Obligors!$I$13,1,0)</f>
        <v/>
      </c>
      <c r="BR13" s="20">
        <f>IF(Simulation!BR13&lt;Obligors!$I$13,1,0)</f>
        <v/>
      </c>
      <c r="BS13" s="20">
        <f>IF(Simulation!BS13&lt;Obligors!$I$13,1,0)</f>
        <v/>
      </c>
      <c r="BT13" s="20">
        <f>IF(Simulation!BT13&lt;Obligors!$I$13,1,0)</f>
        <v/>
      </c>
      <c r="BU13" s="20">
        <f>IF(Simulation!BU13&lt;Obligors!$I$13,1,0)</f>
        <v/>
      </c>
      <c r="BV13" s="20">
        <f>IF(Simulation!BV13&lt;Obligors!$I$13,1,0)</f>
        <v/>
      </c>
      <c r="BW13" s="20">
        <f>IF(Simulation!BW13&lt;Obligors!$I$13,1,0)</f>
        <v/>
      </c>
      <c r="BX13" s="20">
        <f>IF(Simulation!BX13&lt;Obligors!$I$13,1,0)</f>
        <v/>
      </c>
      <c r="BY13" s="20">
        <f>IF(Simulation!BY13&lt;Obligors!$I$13,1,0)</f>
        <v/>
      </c>
      <c r="BZ13" s="20">
        <f>IF(Simulation!BZ13&lt;Obligors!$I$13,1,0)</f>
        <v/>
      </c>
      <c r="CA13" s="20">
        <f>IF(Simulation!CA13&lt;Obligors!$I$13,1,0)</f>
        <v/>
      </c>
      <c r="CB13" s="20">
        <f>IF(Simulation!CB13&lt;Obligors!$I$13,1,0)</f>
        <v/>
      </c>
      <c r="CC13" s="20">
        <f>IF(Simulation!CC13&lt;Obligors!$I$13,1,0)</f>
        <v/>
      </c>
      <c r="CD13" s="20">
        <f>IF(Simulation!CD13&lt;Obligors!$I$13,1,0)</f>
        <v/>
      </c>
      <c r="CE13" s="20">
        <f>IF(Simulation!CE13&lt;Obligors!$I$13,1,0)</f>
        <v/>
      </c>
      <c r="CF13" s="20">
        <f>IF(Simulation!CF13&lt;Obligors!$I$13,1,0)</f>
        <v/>
      </c>
      <c r="CG13" s="20">
        <f>IF(Simulation!CG13&lt;Obligors!$I$13,1,0)</f>
        <v/>
      </c>
      <c r="CH13" s="20">
        <f>IF(Simulation!CH13&lt;Obligors!$I$13,1,0)</f>
        <v/>
      </c>
      <c r="CI13" s="20">
        <f>IF(Simulation!CI13&lt;Obligors!$I$13,1,0)</f>
        <v/>
      </c>
      <c r="CJ13" s="20">
        <f>IF(Simulation!CJ13&lt;Obligors!$I$13,1,0)</f>
        <v/>
      </c>
      <c r="CK13" s="20">
        <f>IF(Simulation!CK13&lt;Obligors!$I$13,1,0)</f>
        <v/>
      </c>
      <c r="CL13" s="20">
        <f>IF(Simulation!CL13&lt;Obligors!$I$13,1,0)</f>
        <v/>
      </c>
      <c r="CM13" s="20">
        <f>IF(Simulation!CM13&lt;Obligors!$I$13,1,0)</f>
        <v/>
      </c>
      <c r="CN13" s="20">
        <f>IF(Simulation!CN13&lt;Obligors!$I$13,1,0)</f>
        <v/>
      </c>
      <c r="CO13" s="20">
        <f>IF(Simulation!CO13&lt;Obligors!$I$13,1,0)</f>
        <v/>
      </c>
      <c r="CP13" s="20">
        <f>IF(Simulation!CP13&lt;Obligors!$I$13,1,0)</f>
        <v/>
      </c>
      <c r="CQ13" s="20">
        <f>IF(Simulation!CQ13&lt;Obligors!$I$13,1,0)</f>
        <v/>
      </c>
      <c r="CR13" s="20">
        <f>IF(Simulation!CR13&lt;Obligors!$I$13,1,0)</f>
        <v/>
      </c>
      <c r="CS13" s="20">
        <f>IF(Simulation!CS13&lt;Obligors!$I$13,1,0)</f>
        <v/>
      </c>
      <c r="CT13" s="20">
        <f>IF(Simulation!CT13&lt;Obligors!$I$13,1,0)</f>
        <v/>
      </c>
      <c r="CU13" s="20">
        <f>IF(Simulation!CU13&lt;Obligors!$I$13,1,0)</f>
        <v/>
      </c>
      <c r="CV13" s="20">
        <f>IF(Simulation!CV13&lt;Obligors!$I$13,1,0)</f>
        <v/>
      </c>
      <c r="CW13" s="20">
        <f>IF(Simulation!CW13&lt;Obligors!$I$13,1,0)</f>
        <v/>
      </c>
      <c r="CX13" s="20">
        <f>IF(Simulation!CX13&lt;Obligors!$I$13,1,0)</f>
        <v/>
      </c>
      <c r="CY13" s="20">
        <f>IF(Simulation!CY13&lt;Obligors!$I$13,1,0)</f>
        <v/>
      </c>
      <c r="CZ13" s="20">
        <f>IF(Simulation!CZ13&lt;Obligors!$I$13,1,0)</f>
        <v/>
      </c>
      <c r="DA13" s="20">
        <f>IF(Simulation!DA13&lt;Obligors!$I$13,1,0)</f>
        <v/>
      </c>
      <c r="DB13" s="20">
        <f>IF(Simulation!DB13&lt;Obligors!$I$13,1,0)</f>
        <v/>
      </c>
      <c r="DC13" s="20">
        <f>IF(Simulation!DC13&lt;Obligors!$I$13,1,0)</f>
        <v/>
      </c>
      <c r="DD13" s="20">
        <f>IF(Simulation!DD13&lt;Obligors!$I$13,1,0)</f>
        <v/>
      </c>
      <c r="DE13" s="20">
        <f>IF(Simulation!DE13&lt;Obligors!$I$13,1,0)</f>
        <v/>
      </c>
      <c r="DF13" s="20">
        <f>IF(Simulation!DF13&lt;Obligors!$I$13,1,0)</f>
        <v/>
      </c>
      <c r="DG13" s="20">
        <f>IF(Simulation!DG13&lt;Obligors!$I$13,1,0)</f>
        <v/>
      </c>
      <c r="DH13" s="20">
        <f>IF(Simulation!DH13&lt;Obligors!$I$13,1,0)</f>
        <v/>
      </c>
      <c r="DI13" s="20">
        <f>IF(Simulation!DI13&lt;Obligors!$I$13,1,0)</f>
        <v/>
      </c>
      <c r="DJ13" s="20">
        <f>IF(Simulation!DJ13&lt;Obligors!$I$13,1,0)</f>
        <v/>
      </c>
      <c r="DK13" s="20">
        <f>IF(Simulation!DK13&lt;Obligors!$I$13,1,0)</f>
        <v/>
      </c>
      <c r="DL13" s="20">
        <f>IF(Simulation!DL13&lt;Obligors!$I$13,1,0)</f>
        <v/>
      </c>
      <c r="DM13" s="20">
        <f>IF(Simulation!DM13&lt;Obligors!$I$13,1,0)</f>
        <v/>
      </c>
      <c r="DN13" s="20">
        <f>IF(Simulation!DN13&lt;Obligors!$I$13,1,0)</f>
        <v/>
      </c>
      <c r="DO13" s="20">
        <f>IF(Simulation!DO13&lt;Obligors!$I$13,1,0)</f>
        <v/>
      </c>
      <c r="DP13" s="20">
        <f>IF(Simulation!DP13&lt;Obligors!$I$13,1,0)</f>
        <v/>
      </c>
      <c r="DQ13" s="20">
        <f>IF(Simulation!DQ13&lt;Obligors!$I$13,1,0)</f>
        <v/>
      </c>
      <c r="DR13" s="20">
        <f>IF(Simulation!DR13&lt;Obligors!$I$13,1,0)</f>
        <v/>
      </c>
      <c r="DS13" s="20">
        <f>IF(Simulation!DS13&lt;Obligors!$I$13,1,0)</f>
        <v/>
      </c>
      <c r="DT13" s="20">
        <f>IF(Simulation!DT13&lt;Obligors!$I$13,1,0)</f>
        <v/>
      </c>
      <c r="DU13" s="20">
        <f>IF(Simulation!DU13&lt;Obligors!$I$13,1,0)</f>
        <v/>
      </c>
      <c r="DV13" s="20">
        <f>IF(Simulation!DV13&lt;Obligors!$I$13,1,0)</f>
        <v/>
      </c>
      <c r="DW13" s="20">
        <f>IF(Simulation!DW13&lt;Obligors!$I$13,1,0)</f>
        <v/>
      </c>
      <c r="DX13" s="20">
        <f>IF(Simulation!DX13&lt;Obligors!$I$13,1,0)</f>
        <v/>
      </c>
      <c r="DY13" s="20">
        <f>IF(Simulation!DY13&lt;Obligors!$I$13,1,0)</f>
        <v/>
      </c>
      <c r="DZ13" s="20">
        <f>IF(Simulation!DZ13&lt;Obligors!$I$13,1,0)</f>
        <v/>
      </c>
      <c r="EA13" s="20">
        <f>IF(Simulation!EA13&lt;Obligors!$I$13,1,0)</f>
        <v/>
      </c>
      <c r="EB13" s="20">
        <f>IF(Simulation!EB13&lt;Obligors!$I$13,1,0)</f>
        <v/>
      </c>
      <c r="EC13" s="20">
        <f>IF(Simulation!EC13&lt;Obligors!$I$13,1,0)</f>
        <v/>
      </c>
      <c r="ED13" s="20">
        <f>IF(Simulation!ED13&lt;Obligors!$I$13,1,0)</f>
        <v/>
      </c>
      <c r="EE13" s="20">
        <f>IF(Simulation!EE13&lt;Obligors!$I$13,1,0)</f>
        <v/>
      </c>
      <c r="EF13" s="20">
        <f>IF(Simulation!EF13&lt;Obligors!$I$13,1,0)</f>
        <v/>
      </c>
      <c r="EG13" s="20">
        <f>IF(Simulation!EG13&lt;Obligors!$I$13,1,0)</f>
        <v/>
      </c>
      <c r="EH13" s="20">
        <f>IF(Simulation!EH13&lt;Obligors!$I$13,1,0)</f>
        <v/>
      </c>
      <c r="EI13" s="20">
        <f>IF(Simulation!EI13&lt;Obligors!$I$13,1,0)</f>
        <v/>
      </c>
      <c r="EJ13" s="20">
        <f>IF(Simulation!EJ13&lt;Obligors!$I$13,1,0)</f>
        <v/>
      </c>
      <c r="EK13" s="20">
        <f>IF(Simulation!EK13&lt;Obligors!$I$13,1,0)</f>
        <v/>
      </c>
      <c r="EL13" s="20">
        <f>IF(Simulation!EL13&lt;Obligors!$I$13,1,0)</f>
        <v/>
      </c>
      <c r="EM13" s="20">
        <f>IF(Simulation!EM13&lt;Obligors!$I$13,1,0)</f>
        <v/>
      </c>
      <c r="EN13" s="20">
        <f>IF(Simulation!EN13&lt;Obligors!$I$13,1,0)</f>
        <v/>
      </c>
      <c r="EO13" s="20">
        <f>IF(Simulation!EO13&lt;Obligors!$I$13,1,0)</f>
        <v/>
      </c>
      <c r="EP13" s="20">
        <f>IF(Simulation!EP13&lt;Obligors!$I$13,1,0)</f>
        <v/>
      </c>
      <c r="EQ13" s="20">
        <f>IF(Simulation!EQ13&lt;Obligors!$I$13,1,0)</f>
        <v/>
      </c>
      <c r="ER13" s="20">
        <f>IF(Simulation!ER13&lt;Obligors!$I$13,1,0)</f>
        <v/>
      </c>
      <c r="ES13" s="20">
        <f>IF(Simulation!ES13&lt;Obligors!$I$13,1,0)</f>
        <v/>
      </c>
      <c r="ET13" s="20">
        <f>IF(Simulation!ET13&lt;Obligors!$I$13,1,0)</f>
        <v/>
      </c>
      <c r="EU13" s="20">
        <f>IF(Simulation!EU13&lt;Obligors!$I$13,1,0)</f>
        <v/>
      </c>
      <c r="EV13" s="20">
        <f>IF(Simulation!EV13&lt;Obligors!$I$13,1,0)</f>
        <v/>
      </c>
      <c r="EW13" s="20">
        <f>IF(Simulation!EW13&lt;Obligors!$I$13,1,0)</f>
        <v/>
      </c>
      <c r="EX13" s="20">
        <f>IF(Simulation!EX13&lt;Obligors!$I$13,1,0)</f>
        <v/>
      </c>
      <c r="EY13" s="20">
        <f>IF(Simulation!EY13&lt;Obligors!$I$13,1,0)</f>
        <v/>
      </c>
      <c r="EZ13" s="20">
        <f>IF(Simulation!EZ13&lt;Obligors!$I$13,1,0)</f>
        <v/>
      </c>
      <c r="FA13" s="20">
        <f>IF(Simulation!FA13&lt;Obligors!$I$13,1,0)</f>
        <v/>
      </c>
      <c r="FB13" s="20">
        <f>IF(Simulation!FB13&lt;Obligors!$I$13,1,0)</f>
        <v/>
      </c>
      <c r="FC13" s="20">
        <f>IF(Simulation!FC13&lt;Obligors!$I$13,1,0)</f>
        <v/>
      </c>
      <c r="FD13" s="20">
        <f>IF(Simulation!FD13&lt;Obligors!$I$13,1,0)</f>
        <v/>
      </c>
      <c r="FE13" s="20">
        <f>IF(Simulation!FE13&lt;Obligors!$I$13,1,0)</f>
        <v/>
      </c>
      <c r="FF13" s="20">
        <f>IF(Simulation!FF13&lt;Obligors!$I$13,1,0)</f>
        <v/>
      </c>
      <c r="FG13" s="20">
        <f>IF(Simulation!FG13&lt;Obligors!$I$13,1,0)</f>
        <v/>
      </c>
      <c r="FH13" s="20">
        <f>IF(Simulation!FH13&lt;Obligors!$I$13,1,0)</f>
        <v/>
      </c>
      <c r="FI13" s="20">
        <f>IF(Simulation!FI13&lt;Obligors!$I$13,1,0)</f>
        <v/>
      </c>
      <c r="FJ13" s="20">
        <f>IF(Simulation!FJ13&lt;Obligors!$I$13,1,0)</f>
        <v/>
      </c>
      <c r="FK13" s="20">
        <f>IF(Simulation!FK13&lt;Obligors!$I$13,1,0)</f>
        <v/>
      </c>
      <c r="FL13" s="20">
        <f>IF(Simulation!FL13&lt;Obligors!$I$13,1,0)</f>
        <v/>
      </c>
      <c r="FM13" s="20">
        <f>IF(Simulation!FM13&lt;Obligors!$I$13,1,0)</f>
        <v/>
      </c>
      <c r="FN13" s="20">
        <f>IF(Simulation!FN13&lt;Obligors!$I$13,1,0)</f>
        <v/>
      </c>
      <c r="FO13" s="20">
        <f>IF(Simulation!FO13&lt;Obligors!$I$13,1,0)</f>
        <v/>
      </c>
      <c r="FP13" s="20">
        <f>IF(Simulation!FP13&lt;Obligors!$I$13,1,0)</f>
        <v/>
      </c>
      <c r="FQ13" s="20">
        <f>IF(Simulation!FQ13&lt;Obligors!$I$13,1,0)</f>
        <v/>
      </c>
      <c r="FR13" s="20">
        <f>IF(Simulation!FR13&lt;Obligors!$I$13,1,0)</f>
        <v/>
      </c>
      <c r="FS13" s="20">
        <f>IF(Simulation!FS13&lt;Obligors!$I$13,1,0)</f>
        <v/>
      </c>
      <c r="FT13" s="20">
        <f>IF(Simulation!FT13&lt;Obligors!$I$13,1,0)</f>
        <v/>
      </c>
      <c r="FU13" s="20">
        <f>IF(Simulation!FU13&lt;Obligors!$I$13,1,0)</f>
        <v/>
      </c>
      <c r="FV13" s="20">
        <f>IF(Simulation!FV13&lt;Obligors!$I$13,1,0)</f>
        <v/>
      </c>
      <c r="FW13" s="20">
        <f>IF(Simulation!FW13&lt;Obligors!$I$13,1,0)</f>
        <v/>
      </c>
      <c r="FX13" s="20">
        <f>IF(Simulation!FX13&lt;Obligors!$I$13,1,0)</f>
        <v/>
      </c>
      <c r="FY13" s="20">
        <f>IF(Simulation!FY13&lt;Obligors!$I$13,1,0)</f>
        <v/>
      </c>
      <c r="FZ13" s="20">
        <f>IF(Simulation!FZ13&lt;Obligors!$I$13,1,0)</f>
        <v/>
      </c>
      <c r="GA13" s="20">
        <f>IF(Simulation!GA13&lt;Obligors!$I$13,1,0)</f>
        <v/>
      </c>
      <c r="GB13" s="20">
        <f>IF(Simulation!GB13&lt;Obligors!$I$13,1,0)</f>
        <v/>
      </c>
      <c r="GC13" s="20">
        <f>IF(Simulation!GC13&lt;Obligors!$I$13,1,0)</f>
        <v/>
      </c>
      <c r="GD13" s="20">
        <f>IF(Simulation!GD13&lt;Obligors!$I$13,1,0)</f>
        <v/>
      </c>
      <c r="GE13" s="20">
        <f>IF(Simulation!GE13&lt;Obligors!$I$13,1,0)</f>
        <v/>
      </c>
      <c r="GF13" s="20">
        <f>IF(Simulation!GF13&lt;Obligors!$I$13,1,0)</f>
        <v/>
      </c>
      <c r="GG13" s="20">
        <f>IF(Simulation!GG13&lt;Obligors!$I$13,1,0)</f>
        <v/>
      </c>
      <c r="GH13" s="20">
        <f>IF(Simulation!GH13&lt;Obligors!$I$13,1,0)</f>
        <v/>
      </c>
      <c r="GI13" s="20">
        <f>IF(Simulation!GI13&lt;Obligors!$I$13,1,0)</f>
        <v/>
      </c>
      <c r="GJ13" s="20">
        <f>IF(Simulation!GJ13&lt;Obligors!$I$13,1,0)</f>
        <v/>
      </c>
      <c r="GK13" s="20">
        <f>IF(Simulation!GK13&lt;Obligors!$I$13,1,0)</f>
        <v/>
      </c>
      <c r="GL13" s="20">
        <f>IF(Simulation!GL13&lt;Obligors!$I$13,1,0)</f>
        <v/>
      </c>
      <c r="GM13" s="20">
        <f>IF(Simulation!GM13&lt;Obligors!$I$13,1,0)</f>
        <v/>
      </c>
      <c r="GN13" s="20">
        <f>IF(Simulation!GN13&lt;Obligors!$I$13,1,0)</f>
        <v/>
      </c>
      <c r="GO13" s="20">
        <f>IF(Simulation!GO13&lt;Obligors!$I$13,1,0)</f>
        <v/>
      </c>
      <c r="GP13" s="20">
        <f>IF(Simulation!GP13&lt;Obligors!$I$13,1,0)</f>
        <v/>
      </c>
      <c r="GQ13" s="20">
        <f>IF(Simulation!GQ13&lt;Obligors!$I$13,1,0)</f>
        <v/>
      </c>
      <c r="GR13" s="20">
        <f>IF(Simulation!GR13&lt;Obligors!$I$13,1,0)</f>
        <v/>
      </c>
      <c r="GS13" s="20">
        <f>IF(Simulation!GS13&lt;Obligors!$I$13,1,0)</f>
        <v/>
      </c>
      <c r="GT13" s="20">
        <f>IF(Simulation!GT13&lt;Obligors!$I$13,1,0)</f>
        <v/>
      </c>
      <c r="GU13" s="20">
        <f>IF(Simulation!GU13&lt;Obligors!$I$13,1,0)</f>
        <v/>
      </c>
      <c r="GV13" s="20">
        <f>IF(Simulation!GV13&lt;Obligors!$I$13,1,0)</f>
        <v/>
      </c>
      <c r="GW13" s="20">
        <f>IF(Simulation!GW13&lt;Obligors!$I$13,1,0)</f>
        <v/>
      </c>
      <c r="GX13" s="20">
        <f>IF(Simulation!GX13&lt;Obligors!$I$13,1,0)</f>
        <v/>
      </c>
      <c r="GY13" s="20">
        <f>IF(Simulation!GY13&lt;Obligors!$I$13,1,0)</f>
        <v/>
      </c>
      <c r="GZ13" s="20">
        <f>IF(Simulation!GZ13&lt;Obligors!$I$13,1,0)</f>
        <v/>
      </c>
      <c r="HA13" s="20">
        <f>IF(Simulation!HA13&lt;Obligors!$I$13,1,0)</f>
        <v/>
      </c>
      <c r="HB13" s="20">
        <f>IF(Simulation!HB13&lt;Obligors!$I$13,1,0)</f>
        <v/>
      </c>
      <c r="HC13" s="20">
        <f>IF(Simulation!HC13&lt;Obligors!$I$13,1,0)</f>
        <v/>
      </c>
      <c r="HD13" s="20">
        <f>IF(Simulation!HD13&lt;Obligors!$I$13,1,0)</f>
        <v/>
      </c>
      <c r="HE13" s="20">
        <f>IF(Simulation!HE13&lt;Obligors!$I$13,1,0)</f>
        <v/>
      </c>
      <c r="HF13" s="20">
        <f>IF(Simulation!HF13&lt;Obligors!$I$13,1,0)</f>
        <v/>
      </c>
      <c r="HG13" s="20">
        <f>IF(Simulation!HG13&lt;Obligors!$I$13,1,0)</f>
        <v/>
      </c>
      <c r="HH13" s="20">
        <f>IF(Simulation!HH13&lt;Obligors!$I$13,1,0)</f>
        <v/>
      </c>
      <c r="HI13" s="20">
        <f>IF(Simulation!HI13&lt;Obligors!$I$13,1,0)</f>
        <v/>
      </c>
      <c r="HJ13" s="20">
        <f>IF(Simulation!HJ13&lt;Obligors!$I$13,1,0)</f>
        <v/>
      </c>
      <c r="HK13" s="20">
        <f>IF(Simulation!HK13&lt;Obligors!$I$13,1,0)</f>
        <v/>
      </c>
      <c r="HL13" s="20">
        <f>IF(Simulation!HL13&lt;Obligors!$I$13,1,0)</f>
        <v/>
      </c>
      <c r="HM13" s="20">
        <f>IF(Simulation!HM13&lt;Obligors!$I$13,1,0)</f>
        <v/>
      </c>
      <c r="HN13" s="20">
        <f>IF(Simulation!HN13&lt;Obligors!$I$13,1,0)</f>
        <v/>
      </c>
      <c r="HO13" s="20">
        <f>IF(Simulation!HO13&lt;Obligors!$I$13,1,0)</f>
        <v/>
      </c>
      <c r="HP13" s="20">
        <f>IF(Simulation!HP13&lt;Obligors!$I$13,1,0)</f>
        <v/>
      </c>
      <c r="HQ13" s="20">
        <f>IF(Simulation!HQ13&lt;Obligors!$I$13,1,0)</f>
        <v/>
      </c>
      <c r="HR13" s="20">
        <f>IF(Simulation!HR13&lt;Obligors!$I$13,1,0)</f>
        <v/>
      </c>
      <c r="HS13" s="20">
        <f>IF(Simulation!HS13&lt;Obligors!$I$13,1,0)</f>
        <v/>
      </c>
      <c r="HT13" s="20">
        <f>IF(Simulation!HT13&lt;Obligors!$I$13,1,0)</f>
        <v/>
      </c>
      <c r="HU13" s="20">
        <f>IF(Simulation!HU13&lt;Obligors!$I$13,1,0)</f>
        <v/>
      </c>
      <c r="HV13" s="20">
        <f>IF(Simulation!HV13&lt;Obligors!$I$13,1,0)</f>
        <v/>
      </c>
      <c r="HW13" s="20">
        <f>IF(Simulation!HW13&lt;Obligors!$I$13,1,0)</f>
        <v/>
      </c>
      <c r="HX13" s="20">
        <f>IF(Simulation!HX13&lt;Obligors!$I$13,1,0)</f>
        <v/>
      </c>
      <c r="HY13" s="20">
        <f>IF(Simulation!HY13&lt;Obligors!$I$13,1,0)</f>
        <v/>
      </c>
      <c r="HZ13" s="20">
        <f>IF(Simulation!HZ13&lt;Obligors!$I$13,1,0)</f>
        <v/>
      </c>
      <c r="IA13" s="20">
        <f>IF(Simulation!IA13&lt;Obligors!$I$13,1,0)</f>
        <v/>
      </c>
      <c r="IB13" s="20">
        <f>IF(Simulation!IB13&lt;Obligors!$I$13,1,0)</f>
        <v/>
      </c>
      <c r="IC13" s="20">
        <f>IF(Simulation!IC13&lt;Obligors!$I$13,1,0)</f>
        <v/>
      </c>
      <c r="ID13" s="20">
        <f>IF(Simulation!ID13&lt;Obligors!$I$13,1,0)</f>
        <v/>
      </c>
      <c r="IE13" s="20">
        <f>IF(Simulation!IE13&lt;Obligors!$I$13,1,0)</f>
        <v/>
      </c>
      <c r="IF13" s="20">
        <f>IF(Simulation!IF13&lt;Obligors!$I$13,1,0)</f>
        <v/>
      </c>
      <c r="IG13" s="20">
        <f>IF(Simulation!IG13&lt;Obligors!$I$13,1,0)</f>
        <v/>
      </c>
      <c r="IH13" s="20">
        <f>IF(Simulation!IH13&lt;Obligors!$I$13,1,0)</f>
        <v/>
      </c>
      <c r="II13" s="20">
        <f>IF(Simulation!II13&lt;Obligors!$I$13,1,0)</f>
        <v/>
      </c>
      <c r="IJ13" s="20">
        <f>IF(Simulation!IJ13&lt;Obligors!$I$13,1,0)</f>
        <v/>
      </c>
      <c r="IK13" s="20">
        <f>IF(Simulation!IK13&lt;Obligors!$I$13,1,0)</f>
        <v/>
      </c>
      <c r="IL13" s="20">
        <f>IF(Simulation!IL13&lt;Obligors!$I$13,1,0)</f>
        <v/>
      </c>
      <c r="IM13" s="20">
        <f>IF(Simulation!IM13&lt;Obligors!$I$13,1,0)</f>
        <v/>
      </c>
      <c r="IN13" s="20">
        <f>IF(Simulation!IN13&lt;Obligors!$I$13,1,0)</f>
        <v/>
      </c>
      <c r="IO13" s="20">
        <f>IF(Simulation!IO13&lt;Obligors!$I$13,1,0)</f>
        <v/>
      </c>
      <c r="IP13" s="20">
        <f>IF(Simulation!IP13&lt;Obligors!$I$13,1,0)</f>
        <v/>
      </c>
      <c r="IQ13" s="20">
        <f>IF(Simulation!IQ13&lt;Obligors!$I$13,1,0)</f>
        <v/>
      </c>
      <c r="IR13" s="20">
        <f>IF(Simulation!IR13&lt;Obligors!$I$13,1,0)</f>
        <v/>
      </c>
      <c r="IS13" s="20">
        <f>IF(Simulation!IS13&lt;Obligors!$I$13,1,0)</f>
        <v/>
      </c>
      <c r="IT13" s="20">
        <f>IF(Simulation!IT13&lt;Obligors!$I$13,1,0)</f>
        <v/>
      </c>
      <c r="IU13" s="20">
        <f>IF(Simulation!IU13&lt;Obligors!$I$13,1,0)</f>
        <v/>
      </c>
      <c r="IV13" s="20">
        <f>IF(Simulation!IV13&lt;Obligors!$I$13,1,0)</f>
        <v/>
      </c>
      <c r="IW13" s="20">
        <f>IF(Simulation!IW13&lt;Obligors!$I$13,1,0)</f>
        <v/>
      </c>
      <c r="IX13" s="20">
        <f>IF(Simulation!IX13&lt;Obligors!$I$13,1,0)</f>
        <v/>
      </c>
      <c r="IY13" s="20">
        <f>IF(Simulation!IY13&lt;Obligors!$I$13,1,0)</f>
        <v/>
      </c>
      <c r="IZ13" s="20">
        <f>IF(Simulation!IZ13&lt;Obligors!$I$13,1,0)</f>
        <v/>
      </c>
      <c r="JA13" s="20">
        <f>IF(Simulation!JA13&lt;Obligors!$I$13,1,0)</f>
        <v/>
      </c>
      <c r="JB13" s="20">
        <f>IF(Simulation!JB13&lt;Obligors!$I$13,1,0)</f>
        <v/>
      </c>
      <c r="JC13" s="20">
        <f>IF(Simulation!JC13&lt;Obligors!$I$13,1,0)</f>
        <v/>
      </c>
      <c r="JD13" s="20">
        <f>IF(Simulation!JD13&lt;Obligors!$I$13,1,0)</f>
        <v/>
      </c>
      <c r="JE13" s="20">
        <f>IF(Simulation!JE13&lt;Obligors!$I$13,1,0)</f>
        <v/>
      </c>
      <c r="JF13" s="20">
        <f>IF(Simulation!JF13&lt;Obligors!$I$13,1,0)</f>
        <v/>
      </c>
      <c r="JG13" s="20">
        <f>IF(Simulation!JG13&lt;Obligors!$I$13,1,0)</f>
        <v/>
      </c>
      <c r="JH13" s="20">
        <f>IF(Simulation!JH13&lt;Obligors!$I$13,1,0)</f>
        <v/>
      </c>
      <c r="JI13" s="20">
        <f>IF(Simulation!JI13&lt;Obligors!$I$13,1,0)</f>
        <v/>
      </c>
      <c r="JJ13" s="20">
        <f>IF(Simulation!JJ13&lt;Obligors!$I$13,1,0)</f>
        <v/>
      </c>
      <c r="JK13" s="20">
        <f>IF(Simulation!JK13&lt;Obligors!$I$13,1,0)</f>
        <v/>
      </c>
      <c r="JL13" s="20">
        <f>IF(Simulation!JL13&lt;Obligors!$I$13,1,0)</f>
        <v/>
      </c>
      <c r="JM13" s="20">
        <f>IF(Simulation!JM13&lt;Obligors!$I$13,1,0)</f>
        <v/>
      </c>
      <c r="JN13" s="20">
        <f>IF(Simulation!JN13&lt;Obligors!$I$13,1,0)</f>
        <v/>
      </c>
      <c r="JO13" s="20">
        <f>IF(Simulation!JO13&lt;Obligors!$I$13,1,0)</f>
        <v/>
      </c>
      <c r="JP13" s="20">
        <f>IF(Simulation!JP13&lt;Obligors!$I$13,1,0)</f>
        <v/>
      </c>
      <c r="JQ13" s="20">
        <f>IF(Simulation!JQ13&lt;Obligors!$I$13,1,0)</f>
        <v/>
      </c>
      <c r="JR13" s="20">
        <f>IF(Simulation!JR13&lt;Obligors!$I$13,1,0)</f>
        <v/>
      </c>
      <c r="JS13" s="20">
        <f>IF(Simulation!JS13&lt;Obligors!$I$13,1,0)</f>
        <v/>
      </c>
      <c r="JT13" s="20">
        <f>IF(Simulation!JT13&lt;Obligors!$I$13,1,0)</f>
        <v/>
      </c>
      <c r="JU13" s="20">
        <f>IF(Simulation!JU13&lt;Obligors!$I$13,1,0)</f>
        <v/>
      </c>
      <c r="JV13" s="20">
        <f>IF(Simulation!JV13&lt;Obligors!$I$13,1,0)</f>
        <v/>
      </c>
      <c r="JW13" s="20">
        <f>IF(Simulation!JW13&lt;Obligors!$I$13,1,0)</f>
        <v/>
      </c>
      <c r="JX13" s="20">
        <f>IF(Simulation!JX13&lt;Obligors!$I$13,1,0)</f>
        <v/>
      </c>
      <c r="JY13" s="20">
        <f>IF(Simulation!JY13&lt;Obligors!$I$13,1,0)</f>
        <v/>
      </c>
      <c r="JZ13" s="20">
        <f>IF(Simulation!JZ13&lt;Obligors!$I$13,1,0)</f>
        <v/>
      </c>
      <c r="KA13" s="20">
        <f>IF(Simulation!KA13&lt;Obligors!$I$13,1,0)</f>
        <v/>
      </c>
      <c r="KB13" s="20">
        <f>IF(Simulation!KB13&lt;Obligors!$I$13,1,0)</f>
        <v/>
      </c>
      <c r="KC13" s="20">
        <f>IF(Simulation!KC13&lt;Obligors!$I$13,1,0)</f>
        <v/>
      </c>
      <c r="KD13" s="20">
        <f>IF(Simulation!KD13&lt;Obligors!$I$13,1,0)</f>
        <v/>
      </c>
      <c r="KE13" s="20">
        <f>IF(Simulation!KE13&lt;Obligors!$I$13,1,0)</f>
        <v/>
      </c>
      <c r="KF13" s="20">
        <f>IF(Simulation!KF13&lt;Obligors!$I$13,1,0)</f>
        <v/>
      </c>
      <c r="KG13" s="20">
        <f>IF(Simulation!KG13&lt;Obligors!$I$13,1,0)</f>
        <v/>
      </c>
      <c r="KH13" s="20">
        <f>IF(Simulation!KH13&lt;Obligors!$I$13,1,0)</f>
        <v/>
      </c>
      <c r="KI13" s="20">
        <f>IF(Simulation!KI13&lt;Obligors!$I$13,1,0)</f>
        <v/>
      </c>
      <c r="KJ13" s="20">
        <f>IF(Simulation!KJ13&lt;Obligors!$I$13,1,0)</f>
        <v/>
      </c>
      <c r="KK13" s="20">
        <f>IF(Simulation!KK13&lt;Obligors!$I$13,1,0)</f>
        <v/>
      </c>
      <c r="KL13" s="20">
        <f>IF(Simulation!KL13&lt;Obligors!$I$13,1,0)</f>
        <v/>
      </c>
      <c r="KM13" s="20">
        <f>IF(Simulation!KM13&lt;Obligors!$I$13,1,0)</f>
        <v/>
      </c>
      <c r="KN13" s="20">
        <f>IF(Simulation!KN13&lt;Obligors!$I$13,1,0)</f>
        <v/>
      </c>
      <c r="KO13" s="20">
        <f>IF(Simulation!KO13&lt;Obligors!$I$13,1,0)</f>
        <v/>
      </c>
      <c r="KP13" s="20">
        <f>IF(Simulation!KP13&lt;Obligors!$I$13,1,0)</f>
        <v/>
      </c>
      <c r="KQ13" s="20">
        <f>IF(Simulation!KQ13&lt;Obligors!$I$13,1,0)</f>
        <v/>
      </c>
      <c r="KR13" s="20">
        <f>IF(Simulation!KR13&lt;Obligors!$I$13,1,0)</f>
        <v/>
      </c>
      <c r="KS13" s="20">
        <f>IF(Simulation!KS13&lt;Obligors!$I$13,1,0)</f>
        <v/>
      </c>
      <c r="KT13" s="20">
        <f>IF(Simulation!KT13&lt;Obligors!$I$13,1,0)</f>
        <v/>
      </c>
      <c r="KU13" s="20">
        <f>IF(Simulation!KU13&lt;Obligors!$I$13,1,0)</f>
        <v/>
      </c>
      <c r="KV13" s="20">
        <f>IF(Simulation!KV13&lt;Obligors!$I$13,1,0)</f>
        <v/>
      </c>
      <c r="KW13" s="20">
        <f>IF(Simulation!KW13&lt;Obligors!$I$13,1,0)</f>
        <v/>
      </c>
      <c r="KX13" s="20">
        <f>IF(Simulation!KX13&lt;Obligors!$I$13,1,0)</f>
        <v/>
      </c>
      <c r="KY13" s="20">
        <f>IF(Simulation!KY13&lt;Obligors!$I$13,1,0)</f>
        <v/>
      </c>
      <c r="KZ13" s="20">
        <f>IF(Simulation!KZ13&lt;Obligors!$I$13,1,0)</f>
        <v/>
      </c>
      <c r="LA13" s="20">
        <f>IF(Simulation!LA13&lt;Obligors!$I$13,1,0)</f>
        <v/>
      </c>
      <c r="LB13" s="20">
        <f>IF(Simulation!LB13&lt;Obligors!$I$13,1,0)</f>
        <v/>
      </c>
      <c r="LC13" s="20">
        <f>IF(Simulation!LC13&lt;Obligors!$I$13,1,0)</f>
        <v/>
      </c>
      <c r="LD13" s="20">
        <f>IF(Simulation!LD13&lt;Obligors!$I$13,1,0)</f>
        <v/>
      </c>
      <c r="LE13" s="20">
        <f>IF(Simulation!LE13&lt;Obligors!$I$13,1,0)</f>
        <v/>
      </c>
      <c r="LF13" s="20">
        <f>IF(Simulation!LF13&lt;Obligors!$I$13,1,0)</f>
        <v/>
      </c>
      <c r="LG13" s="20">
        <f>IF(Simulation!LG13&lt;Obligors!$I$13,1,0)</f>
        <v/>
      </c>
      <c r="LH13" s="20">
        <f>IF(Simulation!LH13&lt;Obligors!$I$13,1,0)</f>
        <v/>
      </c>
      <c r="LI13" s="20">
        <f>IF(Simulation!LI13&lt;Obligors!$I$13,1,0)</f>
        <v/>
      </c>
      <c r="LJ13" s="20">
        <f>IF(Simulation!LJ13&lt;Obligors!$I$13,1,0)</f>
        <v/>
      </c>
      <c r="LK13" s="20">
        <f>IF(Simulation!LK13&lt;Obligors!$I$13,1,0)</f>
        <v/>
      </c>
      <c r="LL13" s="20">
        <f>IF(Simulation!LL13&lt;Obligors!$I$13,1,0)</f>
        <v/>
      </c>
      <c r="LM13" s="20">
        <f>IF(Simulation!LM13&lt;Obligors!$I$13,1,0)</f>
        <v/>
      </c>
      <c r="LN13" s="20">
        <f>IF(Simulation!LN13&lt;Obligors!$I$13,1,0)</f>
        <v/>
      </c>
      <c r="LO13" s="20">
        <f>IF(Simulation!LO13&lt;Obligors!$I$13,1,0)</f>
        <v/>
      </c>
      <c r="LP13" s="20">
        <f>IF(Simulation!LP13&lt;Obligors!$I$13,1,0)</f>
        <v/>
      </c>
      <c r="LQ13" s="20">
        <f>IF(Simulation!LQ13&lt;Obligors!$I$13,1,0)</f>
        <v/>
      </c>
      <c r="LR13" s="20">
        <f>IF(Simulation!LR13&lt;Obligors!$I$13,1,0)</f>
        <v/>
      </c>
      <c r="LS13" s="20">
        <f>IF(Simulation!LS13&lt;Obligors!$I$13,1,0)</f>
        <v/>
      </c>
      <c r="LT13" s="20">
        <f>IF(Simulation!LT13&lt;Obligors!$I$13,1,0)</f>
        <v/>
      </c>
      <c r="LU13" s="20">
        <f>IF(Simulation!LU13&lt;Obligors!$I$13,1,0)</f>
        <v/>
      </c>
      <c r="LV13" s="20">
        <f>IF(Simulation!LV13&lt;Obligors!$I$13,1,0)</f>
        <v/>
      </c>
      <c r="LW13" s="20">
        <f>IF(Simulation!LW13&lt;Obligors!$I$13,1,0)</f>
        <v/>
      </c>
      <c r="LX13" s="20">
        <f>IF(Simulation!LX13&lt;Obligors!$I$13,1,0)</f>
        <v/>
      </c>
      <c r="LY13" s="20">
        <f>IF(Simulation!LY13&lt;Obligors!$I$13,1,0)</f>
        <v/>
      </c>
      <c r="LZ13" s="20">
        <f>IF(Simulation!LZ13&lt;Obligors!$I$13,1,0)</f>
        <v/>
      </c>
      <c r="MA13" s="20">
        <f>IF(Simulation!MA13&lt;Obligors!$I$13,1,0)</f>
        <v/>
      </c>
      <c r="MB13" s="20">
        <f>IF(Simulation!MB13&lt;Obligors!$I$13,1,0)</f>
        <v/>
      </c>
      <c r="MC13" s="20">
        <f>IF(Simulation!MC13&lt;Obligors!$I$13,1,0)</f>
        <v/>
      </c>
      <c r="MD13" s="20">
        <f>IF(Simulation!MD13&lt;Obligors!$I$13,1,0)</f>
        <v/>
      </c>
      <c r="ME13" s="20">
        <f>IF(Simulation!ME13&lt;Obligors!$I$13,1,0)</f>
        <v/>
      </c>
      <c r="MF13" s="20">
        <f>IF(Simulation!MF13&lt;Obligors!$I$13,1,0)</f>
        <v/>
      </c>
      <c r="MG13" s="20">
        <f>IF(Simulation!MG13&lt;Obligors!$I$13,1,0)</f>
        <v/>
      </c>
      <c r="MH13" s="20">
        <f>IF(Simulation!MH13&lt;Obligors!$I$13,1,0)</f>
        <v/>
      </c>
      <c r="MI13" s="20">
        <f>IF(Simulation!MI13&lt;Obligors!$I$13,1,0)</f>
        <v/>
      </c>
      <c r="MJ13" s="20">
        <f>IF(Simulation!MJ13&lt;Obligors!$I$13,1,0)</f>
        <v/>
      </c>
      <c r="MK13" s="20">
        <f>IF(Simulation!MK13&lt;Obligors!$I$13,1,0)</f>
        <v/>
      </c>
      <c r="ML13" s="20">
        <f>IF(Simulation!ML13&lt;Obligors!$I$13,1,0)</f>
        <v/>
      </c>
      <c r="MM13" s="20">
        <f>IF(Simulation!MM13&lt;Obligors!$I$13,1,0)</f>
        <v/>
      </c>
      <c r="MN13" s="20">
        <f>IF(Simulation!MN13&lt;Obligors!$I$13,1,0)</f>
        <v/>
      </c>
      <c r="MO13" s="20">
        <f>IF(Simulation!MO13&lt;Obligors!$I$13,1,0)</f>
        <v/>
      </c>
      <c r="MP13" s="20">
        <f>IF(Simulation!MP13&lt;Obligors!$I$13,1,0)</f>
        <v/>
      </c>
      <c r="MQ13" s="20">
        <f>IF(Simulation!MQ13&lt;Obligors!$I$13,1,0)</f>
        <v/>
      </c>
      <c r="MR13" s="20">
        <f>IF(Simulation!MR13&lt;Obligors!$I$13,1,0)</f>
        <v/>
      </c>
      <c r="MS13" s="20">
        <f>IF(Simulation!MS13&lt;Obligors!$I$13,1,0)</f>
        <v/>
      </c>
      <c r="MT13" s="20">
        <f>IF(Simulation!MT13&lt;Obligors!$I$13,1,0)</f>
        <v/>
      </c>
      <c r="MU13" s="20">
        <f>IF(Simulation!MU13&lt;Obligors!$I$13,1,0)</f>
        <v/>
      </c>
      <c r="MV13" s="20">
        <f>IF(Simulation!MV13&lt;Obligors!$I$13,1,0)</f>
        <v/>
      </c>
      <c r="MW13" s="20">
        <f>IF(Simulation!MW13&lt;Obligors!$I$13,1,0)</f>
        <v/>
      </c>
      <c r="MX13" s="20">
        <f>IF(Simulation!MX13&lt;Obligors!$I$13,1,0)</f>
        <v/>
      </c>
      <c r="MY13" s="20">
        <f>IF(Simulation!MY13&lt;Obligors!$I$13,1,0)</f>
        <v/>
      </c>
      <c r="MZ13" s="20">
        <f>IF(Simulation!MZ13&lt;Obligors!$I$13,1,0)</f>
        <v/>
      </c>
      <c r="NA13" s="20">
        <f>IF(Simulation!NA13&lt;Obligors!$I$13,1,0)</f>
        <v/>
      </c>
      <c r="NB13" s="20">
        <f>IF(Simulation!NB13&lt;Obligors!$I$13,1,0)</f>
        <v/>
      </c>
      <c r="NC13" s="20">
        <f>IF(Simulation!NC13&lt;Obligors!$I$13,1,0)</f>
        <v/>
      </c>
      <c r="ND13" s="20">
        <f>IF(Simulation!ND13&lt;Obligors!$I$13,1,0)</f>
        <v/>
      </c>
      <c r="NE13" s="20">
        <f>IF(Simulation!NE13&lt;Obligors!$I$13,1,0)</f>
        <v/>
      </c>
      <c r="NF13" s="20">
        <f>IF(Simulation!NF13&lt;Obligors!$I$13,1,0)</f>
        <v/>
      </c>
      <c r="NG13" s="20">
        <f>IF(Simulation!NG13&lt;Obligors!$I$13,1,0)</f>
        <v/>
      </c>
      <c r="NH13" s="20">
        <f>IF(Simulation!NH13&lt;Obligors!$I$13,1,0)</f>
        <v/>
      </c>
      <c r="NI13" s="20">
        <f>IF(Simulation!NI13&lt;Obligors!$I$13,1,0)</f>
        <v/>
      </c>
      <c r="NJ13" s="20">
        <f>IF(Simulation!NJ13&lt;Obligors!$I$13,1,0)</f>
        <v/>
      </c>
      <c r="NK13" s="20">
        <f>IF(Simulation!NK13&lt;Obligors!$I$13,1,0)</f>
        <v/>
      </c>
      <c r="NL13" s="20">
        <f>IF(Simulation!NL13&lt;Obligors!$I$13,1,0)</f>
        <v/>
      </c>
      <c r="NM13" s="20">
        <f>IF(Simulation!NM13&lt;Obligors!$I$13,1,0)</f>
        <v/>
      </c>
      <c r="NN13" s="20">
        <f>IF(Simulation!NN13&lt;Obligors!$I$13,1,0)</f>
        <v/>
      </c>
      <c r="NO13" s="20">
        <f>IF(Simulation!NO13&lt;Obligors!$I$13,1,0)</f>
        <v/>
      </c>
      <c r="NP13" s="20">
        <f>IF(Simulation!NP13&lt;Obligors!$I$13,1,0)</f>
        <v/>
      </c>
      <c r="NQ13" s="20">
        <f>IF(Simulation!NQ13&lt;Obligors!$I$13,1,0)</f>
        <v/>
      </c>
      <c r="NR13" s="20">
        <f>IF(Simulation!NR13&lt;Obligors!$I$13,1,0)</f>
        <v/>
      </c>
      <c r="NS13" s="20">
        <f>IF(Simulation!NS13&lt;Obligors!$I$13,1,0)</f>
        <v/>
      </c>
      <c r="NT13" s="20">
        <f>IF(Simulation!NT13&lt;Obligors!$I$13,1,0)</f>
        <v/>
      </c>
      <c r="NU13" s="20">
        <f>IF(Simulation!NU13&lt;Obligors!$I$13,1,0)</f>
        <v/>
      </c>
      <c r="NV13" s="20">
        <f>IF(Simulation!NV13&lt;Obligors!$I$13,1,0)</f>
        <v/>
      </c>
      <c r="NW13" s="20">
        <f>IF(Simulation!NW13&lt;Obligors!$I$13,1,0)</f>
        <v/>
      </c>
      <c r="NX13" s="20">
        <f>IF(Simulation!NX13&lt;Obligors!$I$13,1,0)</f>
        <v/>
      </c>
      <c r="NY13" s="20">
        <f>IF(Simulation!NY13&lt;Obligors!$I$13,1,0)</f>
        <v/>
      </c>
      <c r="NZ13" s="20">
        <f>IF(Simulation!NZ13&lt;Obligors!$I$13,1,0)</f>
        <v/>
      </c>
      <c r="OA13" s="20">
        <f>IF(Simulation!OA13&lt;Obligors!$I$13,1,0)</f>
        <v/>
      </c>
      <c r="OB13" s="20">
        <f>IF(Simulation!OB13&lt;Obligors!$I$13,1,0)</f>
        <v/>
      </c>
      <c r="OC13" s="20">
        <f>IF(Simulation!OC13&lt;Obligors!$I$13,1,0)</f>
        <v/>
      </c>
      <c r="OD13" s="20">
        <f>IF(Simulation!OD13&lt;Obligors!$I$13,1,0)</f>
        <v/>
      </c>
      <c r="OE13" s="20">
        <f>IF(Simulation!OE13&lt;Obligors!$I$13,1,0)</f>
        <v/>
      </c>
      <c r="OF13" s="20">
        <f>IF(Simulation!OF13&lt;Obligors!$I$13,1,0)</f>
        <v/>
      </c>
      <c r="OG13" s="20">
        <f>IF(Simulation!OG13&lt;Obligors!$I$13,1,0)</f>
        <v/>
      </c>
      <c r="OH13" s="20">
        <f>IF(Simulation!OH13&lt;Obligors!$I$13,1,0)</f>
        <v/>
      </c>
      <c r="OI13" s="20">
        <f>IF(Simulation!OI13&lt;Obligors!$I$13,1,0)</f>
        <v/>
      </c>
      <c r="OJ13" s="20">
        <f>IF(Simulation!OJ13&lt;Obligors!$I$13,1,0)</f>
        <v/>
      </c>
      <c r="OK13" s="20">
        <f>IF(Simulation!OK13&lt;Obligors!$I$13,1,0)</f>
        <v/>
      </c>
      <c r="OL13" s="20">
        <f>IF(Simulation!OL13&lt;Obligors!$I$13,1,0)</f>
        <v/>
      </c>
      <c r="OM13" s="20">
        <f>IF(Simulation!OM13&lt;Obligors!$I$13,1,0)</f>
        <v/>
      </c>
      <c r="ON13" s="20">
        <f>IF(Simulation!ON13&lt;Obligors!$I$13,1,0)</f>
        <v/>
      </c>
      <c r="OO13" s="20">
        <f>IF(Simulation!OO13&lt;Obligors!$I$13,1,0)</f>
        <v/>
      </c>
      <c r="OP13" s="20">
        <f>IF(Simulation!OP13&lt;Obligors!$I$13,1,0)</f>
        <v/>
      </c>
      <c r="OQ13" s="20">
        <f>IF(Simulation!OQ13&lt;Obligors!$I$13,1,0)</f>
        <v/>
      </c>
      <c r="OR13" s="20">
        <f>IF(Simulation!OR13&lt;Obligors!$I$13,1,0)</f>
        <v/>
      </c>
      <c r="OS13" s="20">
        <f>IF(Simulation!OS13&lt;Obligors!$I$13,1,0)</f>
        <v/>
      </c>
      <c r="OT13" s="20">
        <f>IF(Simulation!OT13&lt;Obligors!$I$13,1,0)</f>
        <v/>
      </c>
      <c r="OU13" s="20">
        <f>IF(Simulation!OU13&lt;Obligors!$I$13,1,0)</f>
        <v/>
      </c>
      <c r="OV13" s="20">
        <f>IF(Simulation!OV13&lt;Obligors!$I$13,1,0)</f>
        <v/>
      </c>
      <c r="OW13" s="20">
        <f>IF(Simulation!OW13&lt;Obligors!$I$13,1,0)</f>
        <v/>
      </c>
      <c r="OX13" s="20">
        <f>IF(Simulation!OX13&lt;Obligors!$I$13,1,0)</f>
        <v/>
      </c>
      <c r="OY13" s="20">
        <f>IF(Simulation!OY13&lt;Obligors!$I$13,1,0)</f>
        <v/>
      </c>
      <c r="OZ13" s="20">
        <f>IF(Simulation!OZ13&lt;Obligors!$I$13,1,0)</f>
        <v/>
      </c>
      <c r="PA13" s="20">
        <f>IF(Simulation!PA13&lt;Obligors!$I$13,1,0)</f>
        <v/>
      </c>
      <c r="PB13" s="20">
        <f>IF(Simulation!PB13&lt;Obligors!$I$13,1,0)</f>
        <v/>
      </c>
      <c r="PC13" s="20">
        <f>IF(Simulation!PC13&lt;Obligors!$I$13,1,0)</f>
        <v/>
      </c>
      <c r="PD13" s="20">
        <f>IF(Simulation!PD13&lt;Obligors!$I$13,1,0)</f>
        <v/>
      </c>
      <c r="PE13" s="20">
        <f>IF(Simulation!PE13&lt;Obligors!$I$13,1,0)</f>
        <v/>
      </c>
      <c r="PF13" s="20">
        <f>IF(Simulation!PF13&lt;Obligors!$I$13,1,0)</f>
        <v/>
      </c>
      <c r="PG13" s="20">
        <f>IF(Simulation!PG13&lt;Obligors!$I$13,1,0)</f>
        <v/>
      </c>
      <c r="PH13" s="20">
        <f>IF(Simulation!PH13&lt;Obligors!$I$13,1,0)</f>
        <v/>
      </c>
      <c r="PI13" s="20">
        <f>IF(Simulation!PI13&lt;Obligors!$I$13,1,0)</f>
        <v/>
      </c>
      <c r="PJ13" s="20">
        <f>IF(Simulation!PJ13&lt;Obligors!$I$13,1,0)</f>
        <v/>
      </c>
      <c r="PK13" s="20">
        <f>IF(Simulation!PK13&lt;Obligors!$I$13,1,0)</f>
        <v/>
      </c>
      <c r="PL13" s="20">
        <f>IF(Simulation!PL13&lt;Obligors!$I$13,1,0)</f>
        <v/>
      </c>
      <c r="PM13" s="20">
        <f>IF(Simulation!PM13&lt;Obligors!$I$13,1,0)</f>
        <v/>
      </c>
      <c r="PN13" s="20">
        <f>IF(Simulation!PN13&lt;Obligors!$I$13,1,0)</f>
        <v/>
      </c>
      <c r="PO13" s="20">
        <f>IF(Simulation!PO13&lt;Obligors!$I$13,1,0)</f>
        <v/>
      </c>
      <c r="PP13" s="20">
        <f>IF(Simulation!PP13&lt;Obligors!$I$13,1,0)</f>
        <v/>
      </c>
      <c r="PQ13" s="20">
        <f>IF(Simulation!PQ13&lt;Obligors!$I$13,1,0)</f>
        <v/>
      </c>
      <c r="PR13" s="20">
        <f>IF(Simulation!PR13&lt;Obligors!$I$13,1,0)</f>
        <v/>
      </c>
      <c r="PS13" s="20">
        <f>IF(Simulation!PS13&lt;Obligors!$I$13,1,0)</f>
        <v/>
      </c>
      <c r="PT13" s="20">
        <f>IF(Simulation!PT13&lt;Obligors!$I$13,1,0)</f>
        <v/>
      </c>
      <c r="PU13" s="20">
        <f>IF(Simulation!PU13&lt;Obligors!$I$13,1,0)</f>
        <v/>
      </c>
      <c r="PV13" s="20">
        <f>IF(Simulation!PV13&lt;Obligors!$I$13,1,0)</f>
        <v/>
      </c>
      <c r="PW13" s="20">
        <f>IF(Simulation!PW13&lt;Obligors!$I$13,1,0)</f>
        <v/>
      </c>
      <c r="PX13" s="20">
        <f>IF(Simulation!PX13&lt;Obligors!$I$13,1,0)</f>
        <v/>
      </c>
      <c r="PY13" s="20">
        <f>IF(Simulation!PY13&lt;Obligors!$I$13,1,0)</f>
        <v/>
      </c>
      <c r="PZ13" s="20">
        <f>IF(Simulation!PZ13&lt;Obligors!$I$13,1,0)</f>
        <v/>
      </c>
      <c r="QA13" s="20">
        <f>IF(Simulation!QA13&lt;Obligors!$I$13,1,0)</f>
        <v/>
      </c>
      <c r="QB13" s="20">
        <f>IF(Simulation!QB13&lt;Obligors!$I$13,1,0)</f>
        <v/>
      </c>
      <c r="QC13" s="20">
        <f>IF(Simulation!QC13&lt;Obligors!$I$13,1,0)</f>
        <v/>
      </c>
      <c r="QD13" s="20">
        <f>IF(Simulation!QD13&lt;Obligors!$I$13,1,0)</f>
        <v/>
      </c>
      <c r="QE13" s="20">
        <f>IF(Simulation!QE13&lt;Obligors!$I$13,1,0)</f>
        <v/>
      </c>
      <c r="QF13" s="20">
        <f>IF(Simulation!QF13&lt;Obligors!$I$13,1,0)</f>
        <v/>
      </c>
      <c r="QG13" s="20">
        <f>IF(Simulation!QG13&lt;Obligors!$I$13,1,0)</f>
        <v/>
      </c>
      <c r="QH13" s="20">
        <f>IF(Simulation!QH13&lt;Obligors!$I$13,1,0)</f>
        <v/>
      </c>
      <c r="QI13" s="20">
        <f>IF(Simulation!QI13&lt;Obligors!$I$13,1,0)</f>
        <v/>
      </c>
      <c r="QJ13" s="20">
        <f>IF(Simulation!QJ13&lt;Obligors!$I$13,1,0)</f>
        <v/>
      </c>
      <c r="QK13" s="20">
        <f>IF(Simulation!QK13&lt;Obligors!$I$13,1,0)</f>
        <v/>
      </c>
      <c r="QL13" s="20">
        <f>IF(Simulation!QL13&lt;Obligors!$I$13,1,0)</f>
        <v/>
      </c>
      <c r="QM13" s="20">
        <f>IF(Simulation!QM13&lt;Obligors!$I$13,1,0)</f>
        <v/>
      </c>
      <c r="QN13" s="20">
        <f>IF(Simulation!QN13&lt;Obligors!$I$13,1,0)</f>
        <v/>
      </c>
      <c r="QO13" s="20">
        <f>IF(Simulation!QO13&lt;Obligors!$I$13,1,0)</f>
        <v/>
      </c>
      <c r="QP13" s="20">
        <f>IF(Simulation!QP13&lt;Obligors!$I$13,1,0)</f>
        <v/>
      </c>
      <c r="QQ13" s="20">
        <f>IF(Simulation!QQ13&lt;Obligors!$I$13,1,0)</f>
        <v/>
      </c>
      <c r="QR13" s="20">
        <f>IF(Simulation!QR13&lt;Obligors!$I$13,1,0)</f>
        <v/>
      </c>
      <c r="QS13" s="20">
        <f>IF(Simulation!QS13&lt;Obligors!$I$13,1,0)</f>
        <v/>
      </c>
      <c r="QT13" s="20">
        <f>IF(Simulation!QT13&lt;Obligors!$I$13,1,0)</f>
        <v/>
      </c>
      <c r="QU13" s="20">
        <f>IF(Simulation!QU13&lt;Obligors!$I$13,1,0)</f>
        <v/>
      </c>
      <c r="QV13" s="20">
        <f>IF(Simulation!QV13&lt;Obligors!$I$13,1,0)</f>
        <v/>
      </c>
      <c r="QW13" s="20">
        <f>IF(Simulation!QW13&lt;Obligors!$I$13,1,0)</f>
        <v/>
      </c>
      <c r="QX13" s="20">
        <f>IF(Simulation!QX13&lt;Obligors!$I$13,1,0)</f>
        <v/>
      </c>
      <c r="QY13" s="20">
        <f>IF(Simulation!QY13&lt;Obligors!$I$13,1,0)</f>
        <v/>
      </c>
      <c r="QZ13" s="20">
        <f>IF(Simulation!QZ13&lt;Obligors!$I$13,1,0)</f>
        <v/>
      </c>
      <c r="RA13" s="20">
        <f>IF(Simulation!RA13&lt;Obligors!$I$13,1,0)</f>
        <v/>
      </c>
      <c r="RB13" s="20">
        <f>IF(Simulation!RB13&lt;Obligors!$I$13,1,0)</f>
        <v/>
      </c>
      <c r="RC13" s="20">
        <f>IF(Simulation!RC13&lt;Obligors!$I$13,1,0)</f>
        <v/>
      </c>
      <c r="RD13" s="20">
        <f>IF(Simulation!RD13&lt;Obligors!$I$13,1,0)</f>
        <v/>
      </c>
      <c r="RE13" s="20">
        <f>IF(Simulation!RE13&lt;Obligors!$I$13,1,0)</f>
        <v/>
      </c>
      <c r="RF13" s="20">
        <f>IF(Simulation!RF13&lt;Obligors!$I$13,1,0)</f>
        <v/>
      </c>
      <c r="RG13" s="20">
        <f>IF(Simulation!RG13&lt;Obligors!$I$13,1,0)</f>
        <v/>
      </c>
      <c r="RH13" s="20">
        <f>IF(Simulation!RH13&lt;Obligors!$I$13,1,0)</f>
        <v/>
      </c>
      <c r="RI13" s="20">
        <f>IF(Simulation!RI13&lt;Obligors!$I$13,1,0)</f>
        <v/>
      </c>
      <c r="RJ13" s="20">
        <f>IF(Simulation!RJ13&lt;Obligors!$I$13,1,0)</f>
        <v/>
      </c>
      <c r="RK13" s="20">
        <f>IF(Simulation!RK13&lt;Obligors!$I$13,1,0)</f>
        <v/>
      </c>
      <c r="RL13" s="20">
        <f>IF(Simulation!RL13&lt;Obligors!$I$13,1,0)</f>
        <v/>
      </c>
      <c r="RM13" s="20">
        <f>IF(Simulation!RM13&lt;Obligors!$I$13,1,0)</f>
        <v/>
      </c>
      <c r="RN13" s="20">
        <f>IF(Simulation!RN13&lt;Obligors!$I$13,1,0)</f>
        <v/>
      </c>
      <c r="RO13" s="20">
        <f>IF(Simulation!RO13&lt;Obligors!$I$13,1,0)</f>
        <v/>
      </c>
      <c r="RP13" s="20">
        <f>IF(Simulation!RP13&lt;Obligors!$I$13,1,0)</f>
        <v/>
      </c>
      <c r="RQ13" s="20">
        <f>IF(Simulation!RQ13&lt;Obligors!$I$13,1,0)</f>
        <v/>
      </c>
      <c r="RR13" s="20">
        <f>IF(Simulation!RR13&lt;Obligors!$I$13,1,0)</f>
        <v/>
      </c>
      <c r="RS13" s="20">
        <f>IF(Simulation!RS13&lt;Obligors!$I$13,1,0)</f>
        <v/>
      </c>
      <c r="RT13" s="20">
        <f>IF(Simulation!RT13&lt;Obligors!$I$13,1,0)</f>
        <v/>
      </c>
      <c r="RU13" s="20">
        <f>IF(Simulation!RU13&lt;Obligors!$I$13,1,0)</f>
        <v/>
      </c>
      <c r="RV13" s="20">
        <f>IF(Simulation!RV13&lt;Obligors!$I$13,1,0)</f>
        <v/>
      </c>
      <c r="RW13" s="20">
        <f>IF(Simulation!RW13&lt;Obligors!$I$13,1,0)</f>
        <v/>
      </c>
      <c r="RX13" s="20">
        <f>IF(Simulation!RX13&lt;Obligors!$I$13,1,0)</f>
        <v/>
      </c>
      <c r="RY13" s="20">
        <f>IF(Simulation!RY13&lt;Obligors!$I$13,1,0)</f>
        <v/>
      </c>
      <c r="RZ13" s="20">
        <f>IF(Simulation!RZ13&lt;Obligors!$I$13,1,0)</f>
        <v/>
      </c>
      <c r="SA13" s="20">
        <f>IF(Simulation!SA13&lt;Obligors!$I$13,1,0)</f>
        <v/>
      </c>
      <c r="SB13" s="20">
        <f>IF(Simulation!SB13&lt;Obligors!$I$13,1,0)</f>
        <v/>
      </c>
      <c r="SC13" s="20">
        <f>IF(Simulation!SC13&lt;Obligors!$I$13,1,0)</f>
        <v/>
      </c>
      <c r="SD13" s="20">
        <f>IF(Simulation!SD13&lt;Obligors!$I$13,1,0)</f>
        <v/>
      </c>
      <c r="SE13" s="20">
        <f>IF(Simulation!SE13&lt;Obligors!$I$13,1,0)</f>
        <v/>
      </c>
      <c r="SF13" s="20">
        <f>IF(Simulation!SF13&lt;Obligors!$I$13,1,0)</f>
        <v/>
      </c>
      <c r="SG13" s="20">
        <f>IF(Simulation!SG13&lt;Obligors!$I$13,1,0)</f>
        <v/>
      </c>
    </row>
    <row r="14">
      <c r="A14" s="17" t="inlineStr">
        <is>
          <t>OBL-013</t>
        </is>
      </c>
      <c r="B14" s="20">
        <f>IF(Simulation!B14&lt;Obligors!$I$14,1,0)</f>
        <v/>
      </c>
      <c r="C14" s="20">
        <f>IF(Simulation!C14&lt;Obligors!$I$14,1,0)</f>
        <v/>
      </c>
      <c r="D14" s="20">
        <f>IF(Simulation!D14&lt;Obligors!$I$14,1,0)</f>
        <v/>
      </c>
      <c r="E14" s="20">
        <f>IF(Simulation!E14&lt;Obligors!$I$14,1,0)</f>
        <v/>
      </c>
      <c r="F14" s="20">
        <f>IF(Simulation!F14&lt;Obligors!$I$14,1,0)</f>
        <v/>
      </c>
      <c r="G14" s="20">
        <f>IF(Simulation!G14&lt;Obligors!$I$14,1,0)</f>
        <v/>
      </c>
      <c r="H14" s="20">
        <f>IF(Simulation!H14&lt;Obligors!$I$14,1,0)</f>
        <v/>
      </c>
      <c r="I14" s="20">
        <f>IF(Simulation!I14&lt;Obligors!$I$14,1,0)</f>
        <v/>
      </c>
      <c r="J14" s="20">
        <f>IF(Simulation!J14&lt;Obligors!$I$14,1,0)</f>
        <v/>
      </c>
      <c r="K14" s="20">
        <f>IF(Simulation!K14&lt;Obligors!$I$14,1,0)</f>
        <v/>
      </c>
      <c r="L14" s="20">
        <f>IF(Simulation!L14&lt;Obligors!$I$14,1,0)</f>
        <v/>
      </c>
      <c r="M14" s="20">
        <f>IF(Simulation!M14&lt;Obligors!$I$14,1,0)</f>
        <v/>
      </c>
      <c r="N14" s="20">
        <f>IF(Simulation!N14&lt;Obligors!$I$14,1,0)</f>
        <v/>
      </c>
      <c r="O14" s="20">
        <f>IF(Simulation!O14&lt;Obligors!$I$14,1,0)</f>
        <v/>
      </c>
      <c r="P14" s="20">
        <f>IF(Simulation!P14&lt;Obligors!$I$14,1,0)</f>
        <v/>
      </c>
      <c r="Q14" s="20">
        <f>IF(Simulation!Q14&lt;Obligors!$I$14,1,0)</f>
        <v/>
      </c>
      <c r="R14" s="20">
        <f>IF(Simulation!R14&lt;Obligors!$I$14,1,0)</f>
        <v/>
      </c>
      <c r="S14" s="20">
        <f>IF(Simulation!S14&lt;Obligors!$I$14,1,0)</f>
        <v/>
      </c>
      <c r="T14" s="20">
        <f>IF(Simulation!T14&lt;Obligors!$I$14,1,0)</f>
        <v/>
      </c>
      <c r="U14" s="20">
        <f>IF(Simulation!U14&lt;Obligors!$I$14,1,0)</f>
        <v/>
      </c>
      <c r="V14" s="20">
        <f>IF(Simulation!V14&lt;Obligors!$I$14,1,0)</f>
        <v/>
      </c>
      <c r="W14" s="20">
        <f>IF(Simulation!W14&lt;Obligors!$I$14,1,0)</f>
        <v/>
      </c>
      <c r="X14" s="20">
        <f>IF(Simulation!X14&lt;Obligors!$I$14,1,0)</f>
        <v/>
      </c>
      <c r="Y14" s="20">
        <f>IF(Simulation!Y14&lt;Obligors!$I$14,1,0)</f>
        <v/>
      </c>
      <c r="Z14" s="20">
        <f>IF(Simulation!Z14&lt;Obligors!$I$14,1,0)</f>
        <v/>
      </c>
      <c r="AA14" s="20">
        <f>IF(Simulation!AA14&lt;Obligors!$I$14,1,0)</f>
        <v/>
      </c>
      <c r="AB14" s="20">
        <f>IF(Simulation!AB14&lt;Obligors!$I$14,1,0)</f>
        <v/>
      </c>
      <c r="AC14" s="20">
        <f>IF(Simulation!AC14&lt;Obligors!$I$14,1,0)</f>
        <v/>
      </c>
      <c r="AD14" s="20">
        <f>IF(Simulation!AD14&lt;Obligors!$I$14,1,0)</f>
        <v/>
      </c>
      <c r="AE14" s="20">
        <f>IF(Simulation!AE14&lt;Obligors!$I$14,1,0)</f>
        <v/>
      </c>
      <c r="AF14" s="20">
        <f>IF(Simulation!AF14&lt;Obligors!$I$14,1,0)</f>
        <v/>
      </c>
      <c r="AG14" s="20">
        <f>IF(Simulation!AG14&lt;Obligors!$I$14,1,0)</f>
        <v/>
      </c>
      <c r="AH14" s="20">
        <f>IF(Simulation!AH14&lt;Obligors!$I$14,1,0)</f>
        <v/>
      </c>
      <c r="AI14" s="20">
        <f>IF(Simulation!AI14&lt;Obligors!$I$14,1,0)</f>
        <v/>
      </c>
      <c r="AJ14" s="20">
        <f>IF(Simulation!AJ14&lt;Obligors!$I$14,1,0)</f>
        <v/>
      </c>
      <c r="AK14" s="20">
        <f>IF(Simulation!AK14&lt;Obligors!$I$14,1,0)</f>
        <v/>
      </c>
      <c r="AL14" s="20">
        <f>IF(Simulation!AL14&lt;Obligors!$I$14,1,0)</f>
        <v/>
      </c>
      <c r="AM14" s="20">
        <f>IF(Simulation!AM14&lt;Obligors!$I$14,1,0)</f>
        <v/>
      </c>
      <c r="AN14" s="20">
        <f>IF(Simulation!AN14&lt;Obligors!$I$14,1,0)</f>
        <v/>
      </c>
      <c r="AO14" s="20">
        <f>IF(Simulation!AO14&lt;Obligors!$I$14,1,0)</f>
        <v/>
      </c>
      <c r="AP14" s="20">
        <f>IF(Simulation!AP14&lt;Obligors!$I$14,1,0)</f>
        <v/>
      </c>
      <c r="AQ14" s="20">
        <f>IF(Simulation!AQ14&lt;Obligors!$I$14,1,0)</f>
        <v/>
      </c>
      <c r="AR14" s="20">
        <f>IF(Simulation!AR14&lt;Obligors!$I$14,1,0)</f>
        <v/>
      </c>
      <c r="AS14" s="20">
        <f>IF(Simulation!AS14&lt;Obligors!$I$14,1,0)</f>
        <v/>
      </c>
      <c r="AT14" s="20">
        <f>IF(Simulation!AT14&lt;Obligors!$I$14,1,0)</f>
        <v/>
      </c>
      <c r="AU14" s="20">
        <f>IF(Simulation!AU14&lt;Obligors!$I$14,1,0)</f>
        <v/>
      </c>
      <c r="AV14" s="20">
        <f>IF(Simulation!AV14&lt;Obligors!$I$14,1,0)</f>
        <v/>
      </c>
      <c r="AW14" s="20">
        <f>IF(Simulation!AW14&lt;Obligors!$I$14,1,0)</f>
        <v/>
      </c>
      <c r="AX14" s="20">
        <f>IF(Simulation!AX14&lt;Obligors!$I$14,1,0)</f>
        <v/>
      </c>
      <c r="AY14" s="20">
        <f>IF(Simulation!AY14&lt;Obligors!$I$14,1,0)</f>
        <v/>
      </c>
      <c r="AZ14" s="20">
        <f>IF(Simulation!AZ14&lt;Obligors!$I$14,1,0)</f>
        <v/>
      </c>
      <c r="BA14" s="20">
        <f>IF(Simulation!BA14&lt;Obligors!$I$14,1,0)</f>
        <v/>
      </c>
      <c r="BB14" s="20">
        <f>IF(Simulation!BB14&lt;Obligors!$I$14,1,0)</f>
        <v/>
      </c>
      <c r="BC14" s="20">
        <f>IF(Simulation!BC14&lt;Obligors!$I$14,1,0)</f>
        <v/>
      </c>
      <c r="BD14" s="20">
        <f>IF(Simulation!BD14&lt;Obligors!$I$14,1,0)</f>
        <v/>
      </c>
      <c r="BE14" s="20">
        <f>IF(Simulation!BE14&lt;Obligors!$I$14,1,0)</f>
        <v/>
      </c>
      <c r="BF14" s="20">
        <f>IF(Simulation!BF14&lt;Obligors!$I$14,1,0)</f>
        <v/>
      </c>
      <c r="BG14" s="20">
        <f>IF(Simulation!BG14&lt;Obligors!$I$14,1,0)</f>
        <v/>
      </c>
      <c r="BH14" s="20">
        <f>IF(Simulation!BH14&lt;Obligors!$I$14,1,0)</f>
        <v/>
      </c>
      <c r="BI14" s="20">
        <f>IF(Simulation!BI14&lt;Obligors!$I$14,1,0)</f>
        <v/>
      </c>
      <c r="BJ14" s="20">
        <f>IF(Simulation!BJ14&lt;Obligors!$I$14,1,0)</f>
        <v/>
      </c>
      <c r="BK14" s="20">
        <f>IF(Simulation!BK14&lt;Obligors!$I$14,1,0)</f>
        <v/>
      </c>
      <c r="BL14" s="20">
        <f>IF(Simulation!BL14&lt;Obligors!$I$14,1,0)</f>
        <v/>
      </c>
      <c r="BM14" s="20">
        <f>IF(Simulation!BM14&lt;Obligors!$I$14,1,0)</f>
        <v/>
      </c>
      <c r="BN14" s="20">
        <f>IF(Simulation!BN14&lt;Obligors!$I$14,1,0)</f>
        <v/>
      </c>
      <c r="BO14" s="20">
        <f>IF(Simulation!BO14&lt;Obligors!$I$14,1,0)</f>
        <v/>
      </c>
      <c r="BP14" s="20">
        <f>IF(Simulation!BP14&lt;Obligors!$I$14,1,0)</f>
        <v/>
      </c>
      <c r="BQ14" s="20">
        <f>IF(Simulation!BQ14&lt;Obligors!$I$14,1,0)</f>
        <v/>
      </c>
      <c r="BR14" s="20">
        <f>IF(Simulation!BR14&lt;Obligors!$I$14,1,0)</f>
        <v/>
      </c>
      <c r="BS14" s="20">
        <f>IF(Simulation!BS14&lt;Obligors!$I$14,1,0)</f>
        <v/>
      </c>
      <c r="BT14" s="20">
        <f>IF(Simulation!BT14&lt;Obligors!$I$14,1,0)</f>
        <v/>
      </c>
      <c r="BU14" s="20">
        <f>IF(Simulation!BU14&lt;Obligors!$I$14,1,0)</f>
        <v/>
      </c>
      <c r="BV14" s="20">
        <f>IF(Simulation!BV14&lt;Obligors!$I$14,1,0)</f>
        <v/>
      </c>
      <c r="BW14" s="20">
        <f>IF(Simulation!BW14&lt;Obligors!$I$14,1,0)</f>
        <v/>
      </c>
      <c r="BX14" s="20">
        <f>IF(Simulation!BX14&lt;Obligors!$I$14,1,0)</f>
        <v/>
      </c>
      <c r="BY14" s="20">
        <f>IF(Simulation!BY14&lt;Obligors!$I$14,1,0)</f>
        <v/>
      </c>
      <c r="BZ14" s="20">
        <f>IF(Simulation!BZ14&lt;Obligors!$I$14,1,0)</f>
        <v/>
      </c>
      <c r="CA14" s="20">
        <f>IF(Simulation!CA14&lt;Obligors!$I$14,1,0)</f>
        <v/>
      </c>
      <c r="CB14" s="20">
        <f>IF(Simulation!CB14&lt;Obligors!$I$14,1,0)</f>
        <v/>
      </c>
      <c r="CC14" s="20">
        <f>IF(Simulation!CC14&lt;Obligors!$I$14,1,0)</f>
        <v/>
      </c>
      <c r="CD14" s="20">
        <f>IF(Simulation!CD14&lt;Obligors!$I$14,1,0)</f>
        <v/>
      </c>
      <c r="CE14" s="20">
        <f>IF(Simulation!CE14&lt;Obligors!$I$14,1,0)</f>
        <v/>
      </c>
      <c r="CF14" s="20">
        <f>IF(Simulation!CF14&lt;Obligors!$I$14,1,0)</f>
        <v/>
      </c>
      <c r="CG14" s="20">
        <f>IF(Simulation!CG14&lt;Obligors!$I$14,1,0)</f>
        <v/>
      </c>
      <c r="CH14" s="20">
        <f>IF(Simulation!CH14&lt;Obligors!$I$14,1,0)</f>
        <v/>
      </c>
      <c r="CI14" s="20">
        <f>IF(Simulation!CI14&lt;Obligors!$I$14,1,0)</f>
        <v/>
      </c>
      <c r="CJ14" s="20">
        <f>IF(Simulation!CJ14&lt;Obligors!$I$14,1,0)</f>
        <v/>
      </c>
      <c r="CK14" s="20">
        <f>IF(Simulation!CK14&lt;Obligors!$I$14,1,0)</f>
        <v/>
      </c>
      <c r="CL14" s="20">
        <f>IF(Simulation!CL14&lt;Obligors!$I$14,1,0)</f>
        <v/>
      </c>
      <c r="CM14" s="20">
        <f>IF(Simulation!CM14&lt;Obligors!$I$14,1,0)</f>
        <v/>
      </c>
      <c r="CN14" s="20">
        <f>IF(Simulation!CN14&lt;Obligors!$I$14,1,0)</f>
        <v/>
      </c>
      <c r="CO14" s="20">
        <f>IF(Simulation!CO14&lt;Obligors!$I$14,1,0)</f>
        <v/>
      </c>
      <c r="CP14" s="20">
        <f>IF(Simulation!CP14&lt;Obligors!$I$14,1,0)</f>
        <v/>
      </c>
      <c r="CQ14" s="20">
        <f>IF(Simulation!CQ14&lt;Obligors!$I$14,1,0)</f>
        <v/>
      </c>
      <c r="CR14" s="20">
        <f>IF(Simulation!CR14&lt;Obligors!$I$14,1,0)</f>
        <v/>
      </c>
      <c r="CS14" s="20">
        <f>IF(Simulation!CS14&lt;Obligors!$I$14,1,0)</f>
        <v/>
      </c>
      <c r="CT14" s="20">
        <f>IF(Simulation!CT14&lt;Obligors!$I$14,1,0)</f>
        <v/>
      </c>
      <c r="CU14" s="20">
        <f>IF(Simulation!CU14&lt;Obligors!$I$14,1,0)</f>
        <v/>
      </c>
      <c r="CV14" s="20">
        <f>IF(Simulation!CV14&lt;Obligors!$I$14,1,0)</f>
        <v/>
      </c>
      <c r="CW14" s="20">
        <f>IF(Simulation!CW14&lt;Obligors!$I$14,1,0)</f>
        <v/>
      </c>
      <c r="CX14" s="20">
        <f>IF(Simulation!CX14&lt;Obligors!$I$14,1,0)</f>
        <v/>
      </c>
      <c r="CY14" s="20">
        <f>IF(Simulation!CY14&lt;Obligors!$I$14,1,0)</f>
        <v/>
      </c>
      <c r="CZ14" s="20">
        <f>IF(Simulation!CZ14&lt;Obligors!$I$14,1,0)</f>
        <v/>
      </c>
      <c r="DA14" s="20">
        <f>IF(Simulation!DA14&lt;Obligors!$I$14,1,0)</f>
        <v/>
      </c>
      <c r="DB14" s="20">
        <f>IF(Simulation!DB14&lt;Obligors!$I$14,1,0)</f>
        <v/>
      </c>
      <c r="DC14" s="20">
        <f>IF(Simulation!DC14&lt;Obligors!$I$14,1,0)</f>
        <v/>
      </c>
      <c r="DD14" s="20">
        <f>IF(Simulation!DD14&lt;Obligors!$I$14,1,0)</f>
        <v/>
      </c>
      <c r="DE14" s="20">
        <f>IF(Simulation!DE14&lt;Obligors!$I$14,1,0)</f>
        <v/>
      </c>
      <c r="DF14" s="20">
        <f>IF(Simulation!DF14&lt;Obligors!$I$14,1,0)</f>
        <v/>
      </c>
      <c r="DG14" s="20">
        <f>IF(Simulation!DG14&lt;Obligors!$I$14,1,0)</f>
        <v/>
      </c>
      <c r="DH14" s="20">
        <f>IF(Simulation!DH14&lt;Obligors!$I$14,1,0)</f>
        <v/>
      </c>
      <c r="DI14" s="20">
        <f>IF(Simulation!DI14&lt;Obligors!$I$14,1,0)</f>
        <v/>
      </c>
      <c r="DJ14" s="20">
        <f>IF(Simulation!DJ14&lt;Obligors!$I$14,1,0)</f>
        <v/>
      </c>
      <c r="DK14" s="20">
        <f>IF(Simulation!DK14&lt;Obligors!$I$14,1,0)</f>
        <v/>
      </c>
      <c r="DL14" s="20">
        <f>IF(Simulation!DL14&lt;Obligors!$I$14,1,0)</f>
        <v/>
      </c>
      <c r="DM14" s="20">
        <f>IF(Simulation!DM14&lt;Obligors!$I$14,1,0)</f>
        <v/>
      </c>
      <c r="DN14" s="20">
        <f>IF(Simulation!DN14&lt;Obligors!$I$14,1,0)</f>
        <v/>
      </c>
      <c r="DO14" s="20">
        <f>IF(Simulation!DO14&lt;Obligors!$I$14,1,0)</f>
        <v/>
      </c>
      <c r="DP14" s="20">
        <f>IF(Simulation!DP14&lt;Obligors!$I$14,1,0)</f>
        <v/>
      </c>
      <c r="DQ14" s="20">
        <f>IF(Simulation!DQ14&lt;Obligors!$I$14,1,0)</f>
        <v/>
      </c>
      <c r="DR14" s="20">
        <f>IF(Simulation!DR14&lt;Obligors!$I$14,1,0)</f>
        <v/>
      </c>
      <c r="DS14" s="20">
        <f>IF(Simulation!DS14&lt;Obligors!$I$14,1,0)</f>
        <v/>
      </c>
      <c r="DT14" s="20">
        <f>IF(Simulation!DT14&lt;Obligors!$I$14,1,0)</f>
        <v/>
      </c>
      <c r="DU14" s="20">
        <f>IF(Simulation!DU14&lt;Obligors!$I$14,1,0)</f>
        <v/>
      </c>
      <c r="DV14" s="20">
        <f>IF(Simulation!DV14&lt;Obligors!$I$14,1,0)</f>
        <v/>
      </c>
      <c r="DW14" s="20">
        <f>IF(Simulation!DW14&lt;Obligors!$I$14,1,0)</f>
        <v/>
      </c>
      <c r="DX14" s="20">
        <f>IF(Simulation!DX14&lt;Obligors!$I$14,1,0)</f>
        <v/>
      </c>
      <c r="DY14" s="20">
        <f>IF(Simulation!DY14&lt;Obligors!$I$14,1,0)</f>
        <v/>
      </c>
      <c r="DZ14" s="20">
        <f>IF(Simulation!DZ14&lt;Obligors!$I$14,1,0)</f>
        <v/>
      </c>
      <c r="EA14" s="20">
        <f>IF(Simulation!EA14&lt;Obligors!$I$14,1,0)</f>
        <v/>
      </c>
      <c r="EB14" s="20">
        <f>IF(Simulation!EB14&lt;Obligors!$I$14,1,0)</f>
        <v/>
      </c>
      <c r="EC14" s="20">
        <f>IF(Simulation!EC14&lt;Obligors!$I$14,1,0)</f>
        <v/>
      </c>
      <c r="ED14" s="20">
        <f>IF(Simulation!ED14&lt;Obligors!$I$14,1,0)</f>
        <v/>
      </c>
      <c r="EE14" s="20">
        <f>IF(Simulation!EE14&lt;Obligors!$I$14,1,0)</f>
        <v/>
      </c>
      <c r="EF14" s="20">
        <f>IF(Simulation!EF14&lt;Obligors!$I$14,1,0)</f>
        <v/>
      </c>
      <c r="EG14" s="20">
        <f>IF(Simulation!EG14&lt;Obligors!$I$14,1,0)</f>
        <v/>
      </c>
      <c r="EH14" s="20">
        <f>IF(Simulation!EH14&lt;Obligors!$I$14,1,0)</f>
        <v/>
      </c>
      <c r="EI14" s="20">
        <f>IF(Simulation!EI14&lt;Obligors!$I$14,1,0)</f>
        <v/>
      </c>
      <c r="EJ14" s="20">
        <f>IF(Simulation!EJ14&lt;Obligors!$I$14,1,0)</f>
        <v/>
      </c>
      <c r="EK14" s="20">
        <f>IF(Simulation!EK14&lt;Obligors!$I$14,1,0)</f>
        <v/>
      </c>
      <c r="EL14" s="20">
        <f>IF(Simulation!EL14&lt;Obligors!$I$14,1,0)</f>
        <v/>
      </c>
      <c r="EM14" s="20">
        <f>IF(Simulation!EM14&lt;Obligors!$I$14,1,0)</f>
        <v/>
      </c>
      <c r="EN14" s="20">
        <f>IF(Simulation!EN14&lt;Obligors!$I$14,1,0)</f>
        <v/>
      </c>
      <c r="EO14" s="20">
        <f>IF(Simulation!EO14&lt;Obligors!$I$14,1,0)</f>
        <v/>
      </c>
      <c r="EP14" s="20">
        <f>IF(Simulation!EP14&lt;Obligors!$I$14,1,0)</f>
        <v/>
      </c>
      <c r="EQ14" s="20">
        <f>IF(Simulation!EQ14&lt;Obligors!$I$14,1,0)</f>
        <v/>
      </c>
      <c r="ER14" s="20">
        <f>IF(Simulation!ER14&lt;Obligors!$I$14,1,0)</f>
        <v/>
      </c>
      <c r="ES14" s="20">
        <f>IF(Simulation!ES14&lt;Obligors!$I$14,1,0)</f>
        <v/>
      </c>
      <c r="ET14" s="20">
        <f>IF(Simulation!ET14&lt;Obligors!$I$14,1,0)</f>
        <v/>
      </c>
      <c r="EU14" s="20">
        <f>IF(Simulation!EU14&lt;Obligors!$I$14,1,0)</f>
        <v/>
      </c>
      <c r="EV14" s="20">
        <f>IF(Simulation!EV14&lt;Obligors!$I$14,1,0)</f>
        <v/>
      </c>
      <c r="EW14" s="20">
        <f>IF(Simulation!EW14&lt;Obligors!$I$14,1,0)</f>
        <v/>
      </c>
      <c r="EX14" s="20">
        <f>IF(Simulation!EX14&lt;Obligors!$I$14,1,0)</f>
        <v/>
      </c>
      <c r="EY14" s="20">
        <f>IF(Simulation!EY14&lt;Obligors!$I$14,1,0)</f>
        <v/>
      </c>
      <c r="EZ14" s="20">
        <f>IF(Simulation!EZ14&lt;Obligors!$I$14,1,0)</f>
        <v/>
      </c>
      <c r="FA14" s="20">
        <f>IF(Simulation!FA14&lt;Obligors!$I$14,1,0)</f>
        <v/>
      </c>
      <c r="FB14" s="20">
        <f>IF(Simulation!FB14&lt;Obligors!$I$14,1,0)</f>
        <v/>
      </c>
      <c r="FC14" s="20">
        <f>IF(Simulation!FC14&lt;Obligors!$I$14,1,0)</f>
        <v/>
      </c>
      <c r="FD14" s="20">
        <f>IF(Simulation!FD14&lt;Obligors!$I$14,1,0)</f>
        <v/>
      </c>
      <c r="FE14" s="20">
        <f>IF(Simulation!FE14&lt;Obligors!$I$14,1,0)</f>
        <v/>
      </c>
      <c r="FF14" s="20">
        <f>IF(Simulation!FF14&lt;Obligors!$I$14,1,0)</f>
        <v/>
      </c>
      <c r="FG14" s="20">
        <f>IF(Simulation!FG14&lt;Obligors!$I$14,1,0)</f>
        <v/>
      </c>
      <c r="FH14" s="20">
        <f>IF(Simulation!FH14&lt;Obligors!$I$14,1,0)</f>
        <v/>
      </c>
      <c r="FI14" s="20">
        <f>IF(Simulation!FI14&lt;Obligors!$I$14,1,0)</f>
        <v/>
      </c>
      <c r="FJ14" s="20">
        <f>IF(Simulation!FJ14&lt;Obligors!$I$14,1,0)</f>
        <v/>
      </c>
      <c r="FK14" s="20">
        <f>IF(Simulation!FK14&lt;Obligors!$I$14,1,0)</f>
        <v/>
      </c>
      <c r="FL14" s="20">
        <f>IF(Simulation!FL14&lt;Obligors!$I$14,1,0)</f>
        <v/>
      </c>
      <c r="FM14" s="20">
        <f>IF(Simulation!FM14&lt;Obligors!$I$14,1,0)</f>
        <v/>
      </c>
      <c r="FN14" s="20">
        <f>IF(Simulation!FN14&lt;Obligors!$I$14,1,0)</f>
        <v/>
      </c>
      <c r="FO14" s="20">
        <f>IF(Simulation!FO14&lt;Obligors!$I$14,1,0)</f>
        <v/>
      </c>
      <c r="FP14" s="20">
        <f>IF(Simulation!FP14&lt;Obligors!$I$14,1,0)</f>
        <v/>
      </c>
      <c r="FQ14" s="20">
        <f>IF(Simulation!FQ14&lt;Obligors!$I$14,1,0)</f>
        <v/>
      </c>
      <c r="FR14" s="20">
        <f>IF(Simulation!FR14&lt;Obligors!$I$14,1,0)</f>
        <v/>
      </c>
      <c r="FS14" s="20">
        <f>IF(Simulation!FS14&lt;Obligors!$I$14,1,0)</f>
        <v/>
      </c>
      <c r="FT14" s="20">
        <f>IF(Simulation!FT14&lt;Obligors!$I$14,1,0)</f>
        <v/>
      </c>
      <c r="FU14" s="20">
        <f>IF(Simulation!FU14&lt;Obligors!$I$14,1,0)</f>
        <v/>
      </c>
      <c r="FV14" s="20">
        <f>IF(Simulation!FV14&lt;Obligors!$I$14,1,0)</f>
        <v/>
      </c>
      <c r="FW14" s="20">
        <f>IF(Simulation!FW14&lt;Obligors!$I$14,1,0)</f>
        <v/>
      </c>
      <c r="FX14" s="20">
        <f>IF(Simulation!FX14&lt;Obligors!$I$14,1,0)</f>
        <v/>
      </c>
      <c r="FY14" s="20">
        <f>IF(Simulation!FY14&lt;Obligors!$I$14,1,0)</f>
        <v/>
      </c>
      <c r="FZ14" s="20">
        <f>IF(Simulation!FZ14&lt;Obligors!$I$14,1,0)</f>
        <v/>
      </c>
      <c r="GA14" s="20">
        <f>IF(Simulation!GA14&lt;Obligors!$I$14,1,0)</f>
        <v/>
      </c>
      <c r="GB14" s="20">
        <f>IF(Simulation!GB14&lt;Obligors!$I$14,1,0)</f>
        <v/>
      </c>
      <c r="GC14" s="20">
        <f>IF(Simulation!GC14&lt;Obligors!$I$14,1,0)</f>
        <v/>
      </c>
      <c r="GD14" s="20">
        <f>IF(Simulation!GD14&lt;Obligors!$I$14,1,0)</f>
        <v/>
      </c>
      <c r="GE14" s="20">
        <f>IF(Simulation!GE14&lt;Obligors!$I$14,1,0)</f>
        <v/>
      </c>
      <c r="GF14" s="20">
        <f>IF(Simulation!GF14&lt;Obligors!$I$14,1,0)</f>
        <v/>
      </c>
      <c r="GG14" s="20">
        <f>IF(Simulation!GG14&lt;Obligors!$I$14,1,0)</f>
        <v/>
      </c>
      <c r="GH14" s="20">
        <f>IF(Simulation!GH14&lt;Obligors!$I$14,1,0)</f>
        <v/>
      </c>
      <c r="GI14" s="20">
        <f>IF(Simulation!GI14&lt;Obligors!$I$14,1,0)</f>
        <v/>
      </c>
      <c r="GJ14" s="20">
        <f>IF(Simulation!GJ14&lt;Obligors!$I$14,1,0)</f>
        <v/>
      </c>
      <c r="GK14" s="20">
        <f>IF(Simulation!GK14&lt;Obligors!$I$14,1,0)</f>
        <v/>
      </c>
      <c r="GL14" s="20">
        <f>IF(Simulation!GL14&lt;Obligors!$I$14,1,0)</f>
        <v/>
      </c>
      <c r="GM14" s="20">
        <f>IF(Simulation!GM14&lt;Obligors!$I$14,1,0)</f>
        <v/>
      </c>
      <c r="GN14" s="20">
        <f>IF(Simulation!GN14&lt;Obligors!$I$14,1,0)</f>
        <v/>
      </c>
      <c r="GO14" s="20">
        <f>IF(Simulation!GO14&lt;Obligors!$I$14,1,0)</f>
        <v/>
      </c>
      <c r="GP14" s="20">
        <f>IF(Simulation!GP14&lt;Obligors!$I$14,1,0)</f>
        <v/>
      </c>
      <c r="GQ14" s="20">
        <f>IF(Simulation!GQ14&lt;Obligors!$I$14,1,0)</f>
        <v/>
      </c>
      <c r="GR14" s="20">
        <f>IF(Simulation!GR14&lt;Obligors!$I$14,1,0)</f>
        <v/>
      </c>
      <c r="GS14" s="20">
        <f>IF(Simulation!GS14&lt;Obligors!$I$14,1,0)</f>
        <v/>
      </c>
      <c r="GT14" s="20">
        <f>IF(Simulation!GT14&lt;Obligors!$I$14,1,0)</f>
        <v/>
      </c>
      <c r="GU14" s="20">
        <f>IF(Simulation!GU14&lt;Obligors!$I$14,1,0)</f>
        <v/>
      </c>
      <c r="GV14" s="20">
        <f>IF(Simulation!GV14&lt;Obligors!$I$14,1,0)</f>
        <v/>
      </c>
      <c r="GW14" s="20">
        <f>IF(Simulation!GW14&lt;Obligors!$I$14,1,0)</f>
        <v/>
      </c>
      <c r="GX14" s="20">
        <f>IF(Simulation!GX14&lt;Obligors!$I$14,1,0)</f>
        <v/>
      </c>
      <c r="GY14" s="20">
        <f>IF(Simulation!GY14&lt;Obligors!$I$14,1,0)</f>
        <v/>
      </c>
      <c r="GZ14" s="20">
        <f>IF(Simulation!GZ14&lt;Obligors!$I$14,1,0)</f>
        <v/>
      </c>
      <c r="HA14" s="20">
        <f>IF(Simulation!HA14&lt;Obligors!$I$14,1,0)</f>
        <v/>
      </c>
      <c r="HB14" s="20">
        <f>IF(Simulation!HB14&lt;Obligors!$I$14,1,0)</f>
        <v/>
      </c>
      <c r="HC14" s="20">
        <f>IF(Simulation!HC14&lt;Obligors!$I$14,1,0)</f>
        <v/>
      </c>
      <c r="HD14" s="20">
        <f>IF(Simulation!HD14&lt;Obligors!$I$14,1,0)</f>
        <v/>
      </c>
      <c r="HE14" s="20">
        <f>IF(Simulation!HE14&lt;Obligors!$I$14,1,0)</f>
        <v/>
      </c>
      <c r="HF14" s="20">
        <f>IF(Simulation!HF14&lt;Obligors!$I$14,1,0)</f>
        <v/>
      </c>
      <c r="HG14" s="20">
        <f>IF(Simulation!HG14&lt;Obligors!$I$14,1,0)</f>
        <v/>
      </c>
      <c r="HH14" s="20">
        <f>IF(Simulation!HH14&lt;Obligors!$I$14,1,0)</f>
        <v/>
      </c>
      <c r="HI14" s="20">
        <f>IF(Simulation!HI14&lt;Obligors!$I$14,1,0)</f>
        <v/>
      </c>
      <c r="HJ14" s="20">
        <f>IF(Simulation!HJ14&lt;Obligors!$I$14,1,0)</f>
        <v/>
      </c>
      <c r="HK14" s="20">
        <f>IF(Simulation!HK14&lt;Obligors!$I$14,1,0)</f>
        <v/>
      </c>
      <c r="HL14" s="20">
        <f>IF(Simulation!HL14&lt;Obligors!$I$14,1,0)</f>
        <v/>
      </c>
      <c r="HM14" s="20">
        <f>IF(Simulation!HM14&lt;Obligors!$I$14,1,0)</f>
        <v/>
      </c>
      <c r="HN14" s="20">
        <f>IF(Simulation!HN14&lt;Obligors!$I$14,1,0)</f>
        <v/>
      </c>
      <c r="HO14" s="20">
        <f>IF(Simulation!HO14&lt;Obligors!$I$14,1,0)</f>
        <v/>
      </c>
      <c r="HP14" s="20">
        <f>IF(Simulation!HP14&lt;Obligors!$I$14,1,0)</f>
        <v/>
      </c>
      <c r="HQ14" s="20">
        <f>IF(Simulation!HQ14&lt;Obligors!$I$14,1,0)</f>
        <v/>
      </c>
      <c r="HR14" s="20">
        <f>IF(Simulation!HR14&lt;Obligors!$I$14,1,0)</f>
        <v/>
      </c>
      <c r="HS14" s="20">
        <f>IF(Simulation!HS14&lt;Obligors!$I$14,1,0)</f>
        <v/>
      </c>
      <c r="HT14" s="20">
        <f>IF(Simulation!HT14&lt;Obligors!$I$14,1,0)</f>
        <v/>
      </c>
      <c r="HU14" s="20">
        <f>IF(Simulation!HU14&lt;Obligors!$I$14,1,0)</f>
        <v/>
      </c>
      <c r="HV14" s="20">
        <f>IF(Simulation!HV14&lt;Obligors!$I$14,1,0)</f>
        <v/>
      </c>
      <c r="HW14" s="20">
        <f>IF(Simulation!HW14&lt;Obligors!$I$14,1,0)</f>
        <v/>
      </c>
      <c r="HX14" s="20">
        <f>IF(Simulation!HX14&lt;Obligors!$I$14,1,0)</f>
        <v/>
      </c>
      <c r="HY14" s="20">
        <f>IF(Simulation!HY14&lt;Obligors!$I$14,1,0)</f>
        <v/>
      </c>
      <c r="HZ14" s="20">
        <f>IF(Simulation!HZ14&lt;Obligors!$I$14,1,0)</f>
        <v/>
      </c>
      <c r="IA14" s="20">
        <f>IF(Simulation!IA14&lt;Obligors!$I$14,1,0)</f>
        <v/>
      </c>
      <c r="IB14" s="20">
        <f>IF(Simulation!IB14&lt;Obligors!$I$14,1,0)</f>
        <v/>
      </c>
      <c r="IC14" s="20">
        <f>IF(Simulation!IC14&lt;Obligors!$I$14,1,0)</f>
        <v/>
      </c>
      <c r="ID14" s="20">
        <f>IF(Simulation!ID14&lt;Obligors!$I$14,1,0)</f>
        <v/>
      </c>
      <c r="IE14" s="20">
        <f>IF(Simulation!IE14&lt;Obligors!$I$14,1,0)</f>
        <v/>
      </c>
      <c r="IF14" s="20">
        <f>IF(Simulation!IF14&lt;Obligors!$I$14,1,0)</f>
        <v/>
      </c>
      <c r="IG14" s="20">
        <f>IF(Simulation!IG14&lt;Obligors!$I$14,1,0)</f>
        <v/>
      </c>
      <c r="IH14" s="20">
        <f>IF(Simulation!IH14&lt;Obligors!$I$14,1,0)</f>
        <v/>
      </c>
      <c r="II14" s="20">
        <f>IF(Simulation!II14&lt;Obligors!$I$14,1,0)</f>
        <v/>
      </c>
      <c r="IJ14" s="20">
        <f>IF(Simulation!IJ14&lt;Obligors!$I$14,1,0)</f>
        <v/>
      </c>
      <c r="IK14" s="20">
        <f>IF(Simulation!IK14&lt;Obligors!$I$14,1,0)</f>
        <v/>
      </c>
      <c r="IL14" s="20">
        <f>IF(Simulation!IL14&lt;Obligors!$I$14,1,0)</f>
        <v/>
      </c>
      <c r="IM14" s="20">
        <f>IF(Simulation!IM14&lt;Obligors!$I$14,1,0)</f>
        <v/>
      </c>
      <c r="IN14" s="20">
        <f>IF(Simulation!IN14&lt;Obligors!$I$14,1,0)</f>
        <v/>
      </c>
      <c r="IO14" s="20">
        <f>IF(Simulation!IO14&lt;Obligors!$I$14,1,0)</f>
        <v/>
      </c>
      <c r="IP14" s="20">
        <f>IF(Simulation!IP14&lt;Obligors!$I$14,1,0)</f>
        <v/>
      </c>
      <c r="IQ14" s="20">
        <f>IF(Simulation!IQ14&lt;Obligors!$I$14,1,0)</f>
        <v/>
      </c>
      <c r="IR14" s="20">
        <f>IF(Simulation!IR14&lt;Obligors!$I$14,1,0)</f>
        <v/>
      </c>
      <c r="IS14" s="20">
        <f>IF(Simulation!IS14&lt;Obligors!$I$14,1,0)</f>
        <v/>
      </c>
      <c r="IT14" s="20">
        <f>IF(Simulation!IT14&lt;Obligors!$I$14,1,0)</f>
        <v/>
      </c>
      <c r="IU14" s="20">
        <f>IF(Simulation!IU14&lt;Obligors!$I$14,1,0)</f>
        <v/>
      </c>
      <c r="IV14" s="20">
        <f>IF(Simulation!IV14&lt;Obligors!$I$14,1,0)</f>
        <v/>
      </c>
      <c r="IW14" s="20">
        <f>IF(Simulation!IW14&lt;Obligors!$I$14,1,0)</f>
        <v/>
      </c>
      <c r="IX14" s="20">
        <f>IF(Simulation!IX14&lt;Obligors!$I$14,1,0)</f>
        <v/>
      </c>
      <c r="IY14" s="20">
        <f>IF(Simulation!IY14&lt;Obligors!$I$14,1,0)</f>
        <v/>
      </c>
      <c r="IZ14" s="20">
        <f>IF(Simulation!IZ14&lt;Obligors!$I$14,1,0)</f>
        <v/>
      </c>
      <c r="JA14" s="20">
        <f>IF(Simulation!JA14&lt;Obligors!$I$14,1,0)</f>
        <v/>
      </c>
      <c r="JB14" s="20">
        <f>IF(Simulation!JB14&lt;Obligors!$I$14,1,0)</f>
        <v/>
      </c>
      <c r="JC14" s="20">
        <f>IF(Simulation!JC14&lt;Obligors!$I$14,1,0)</f>
        <v/>
      </c>
      <c r="JD14" s="20">
        <f>IF(Simulation!JD14&lt;Obligors!$I$14,1,0)</f>
        <v/>
      </c>
      <c r="JE14" s="20">
        <f>IF(Simulation!JE14&lt;Obligors!$I$14,1,0)</f>
        <v/>
      </c>
      <c r="JF14" s="20">
        <f>IF(Simulation!JF14&lt;Obligors!$I$14,1,0)</f>
        <v/>
      </c>
      <c r="JG14" s="20">
        <f>IF(Simulation!JG14&lt;Obligors!$I$14,1,0)</f>
        <v/>
      </c>
      <c r="JH14" s="20">
        <f>IF(Simulation!JH14&lt;Obligors!$I$14,1,0)</f>
        <v/>
      </c>
      <c r="JI14" s="20">
        <f>IF(Simulation!JI14&lt;Obligors!$I$14,1,0)</f>
        <v/>
      </c>
      <c r="JJ14" s="20">
        <f>IF(Simulation!JJ14&lt;Obligors!$I$14,1,0)</f>
        <v/>
      </c>
      <c r="JK14" s="20">
        <f>IF(Simulation!JK14&lt;Obligors!$I$14,1,0)</f>
        <v/>
      </c>
      <c r="JL14" s="20">
        <f>IF(Simulation!JL14&lt;Obligors!$I$14,1,0)</f>
        <v/>
      </c>
      <c r="JM14" s="20">
        <f>IF(Simulation!JM14&lt;Obligors!$I$14,1,0)</f>
        <v/>
      </c>
      <c r="JN14" s="20">
        <f>IF(Simulation!JN14&lt;Obligors!$I$14,1,0)</f>
        <v/>
      </c>
      <c r="JO14" s="20">
        <f>IF(Simulation!JO14&lt;Obligors!$I$14,1,0)</f>
        <v/>
      </c>
      <c r="JP14" s="20">
        <f>IF(Simulation!JP14&lt;Obligors!$I$14,1,0)</f>
        <v/>
      </c>
      <c r="JQ14" s="20">
        <f>IF(Simulation!JQ14&lt;Obligors!$I$14,1,0)</f>
        <v/>
      </c>
      <c r="JR14" s="20">
        <f>IF(Simulation!JR14&lt;Obligors!$I$14,1,0)</f>
        <v/>
      </c>
      <c r="JS14" s="20">
        <f>IF(Simulation!JS14&lt;Obligors!$I$14,1,0)</f>
        <v/>
      </c>
      <c r="JT14" s="20">
        <f>IF(Simulation!JT14&lt;Obligors!$I$14,1,0)</f>
        <v/>
      </c>
      <c r="JU14" s="20">
        <f>IF(Simulation!JU14&lt;Obligors!$I$14,1,0)</f>
        <v/>
      </c>
      <c r="JV14" s="20">
        <f>IF(Simulation!JV14&lt;Obligors!$I$14,1,0)</f>
        <v/>
      </c>
      <c r="JW14" s="20">
        <f>IF(Simulation!JW14&lt;Obligors!$I$14,1,0)</f>
        <v/>
      </c>
      <c r="JX14" s="20">
        <f>IF(Simulation!JX14&lt;Obligors!$I$14,1,0)</f>
        <v/>
      </c>
      <c r="JY14" s="20">
        <f>IF(Simulation!JY14&lt;Obligors!$I$14,1,0)</f>
        <v/>
      </c>
      <c r="JZ14" s="20">
        <f>IF(Simulation!JZ14&lt;Obligors!$I$14,1,0)</f>
        <v/>
      </c>
      <c r="KA14" s="20">
        <f>IF(Simulation!KA14&lt;Obligors!$I$14,1,0)</f>
        <v/>
      </c>
      <c r="KB14" s="20">
        <f>IF(Simulation!KB14&lt;Obligors!$I$14,1,0)</f>
        <v/>
      </c>
      <c r="KC14" s="20">
        <f>IF(Simulation!KC14&lt;Obligors!$I$14,1,0)</f>
        <v/>
      </c>
      <c r="KD14" s="20">
        <f>IF(Simulation!KD14&lt;Obligors!$I$14,1,0)</f>
        <v/>
      </c>
      <c r="KE14" s="20">
        <f>IF(Simulation!KE14&lt;Obligors!$I$14,1,0)</f>
        <v/>
      </c>
      <c r="KF14" s="20">
        <f>IF(Simulation!KF14&lt;Obligors!$I$14,1,0)</f>
        <v/>
      </c>
      <c r="KG14" s="20">
        <f>IF(Simulation!KG14&lt;Obligors!$I$14,1,0)</f>
        <v/>
      </c>
      <c r="KH14" s="20">
        <f>IF(Simulation!KH14&lt;Obligors!$I$14,1,0)</f>
        <v/>
      </c>
      <c r="KI14" s="20">
        <f>IF(Simulation!KI14&lt;Obligors!$I$14,1,0)</f>
        <v/>
      </c>
      <c r="KJ14" s="20">
        <f>IF(Simulation!KJ14&lt;Obligors!$I$14,1,0)</f>
        <v/>
      </c>
      <c r="KK14" s="20">
        <f>IF(Simulation!KK14&lt;Obligors!$I$14,1,0)</f>
        <v/>
      </c>
      <c r="KL14" s="20">
        <f>IF(Simulation!KL14&lt;Obligors!$I$14,1,0)</f>
        <v/>
      </c>
      <c r="KM14" s="20">
        <f>IF(Simulation!KM14&lt;Obligors!$I$14,1,0)</f>
        <v/>
      </c>
      <c r="KN14" s="20">
        <f>IF(Simulation!KN14&lt;Obligors!$I$14,1,0)</f>
        <v/>
      </c>
      <c r="KO14" s="20">
        <f>IF(Simulation!KO14&lt;Obligors!$I$14,1,0)</f>
        <v/>
      </c>
      <c r="KP14" s="20">
        <f>IF(Simulation!KP14&lt;Obligors!$I$14,1,0)</f>
        <v/>
      </c>
      <c r="KQ14" s="20">
        <f>IF(Simulation!KQ14&lt;Obligors!$I$14,1,0)</f>
        <v/>
      </c>
      <c r="KR14" s="20">
        <f>IF(Simulation!KR14&lt;Obligors!$I$14,1,0)</f>
        <v/>
      </c>
      <c r="KS14" s="20">
        <f>IF(Simulation!KS14&lt;Obligors!$I$14,1,0)</f>
        <v/>
      </c>
      <c r="KT14" s="20">
        <f>IF(Simulation!KT14&lt;Obligors!$I$14,1,0)</f>
        <v/>
      </c>
      <c r="KU14" s="20">
        <f>IF(Simulation!KU14&lt;Obligors!$I$14,1,0)</f>
        <v/>
      </c>
      <c r="KV14" s="20">
        <f>IF(Simulation!KV14&lt;Obligors!$I$14,1,0)</f>
        <v/>
      </c>
      <c r="KW14" s="20">
        <f>IF(Simulation!KW14&lt;Obligors!$I$14,1,0)</f>
        <v/>
      </c>
      <c r="KX14" s="20">
        <f>IF(Simulation!KX14&lt;Obligors!$I$14,1,0)</f>
        <v/>
      </c>
      <c r="KY14" s="20">
        <f>IF(Simulation!KY14&lt;Obligors!$I$14,1,0)</f>
        <v/>
      </c>
      <c r="KZ14" s="20">
        <f>IF(Simulation!KZ14&lt;Obligors!$I$14,1,0)</f>
        <v/>
      </c>
      <c r="LA14" s="20">
        <f>IF(Simulation!LA14&lt;Obligors!$I$14,1,0)</f>
        <v/>
      </c>
      <c r="LB14" s="20">
        <f>IF(Simulation!LB14&lt;Obligors!$I$14,1,0)</f>
        <v/>
      </c>
      <c r="LC14" s="20">
        <f>IF(Simulation!LC14&lt;Obligors!$I$14,1,0)</f>
        <v/>
      </c>
      <c r="LD14" s="20">
        <f>IF(Simulation!LD14&lt;Obligors!$I$14,1,0)</f>
        <v/>
      </c>
      <c r="LE14" s="20">
        <f>IF(Simulation!LE14&lt;Obligors!$I$14,1,0)</f>
        <v/>
      </c>
      <c r="LF14" s="20">
        <f>IF(Simulation!LF14&lt;Obligors!$I$14,1,0)</f>
        <v/>
      </c>
      <c r="LG14" s="20">
        <f>IF(Simulation!LG14&lt;Obligors!$I$14,1,0)</f>
        <v/>
      </c>
      <c r="LH14" s="20">
        <f>IF(Simulation!LH14&lt;Obligors!$I$14,1,0)</f>
        <v/>
      </c>
      <c r="LI14" s="20">
        <f>IF(Simulation!LI14&lt;Obligors!$I$14,1,0)</f>
        <v/>
      </c>
      <c r="LJ14" s="20">
        <f>IF(Simulation!LJ14&lt;Obligors!$I$14,1,0)</f>
        <v/>
      </c>
      <c r="LK14" s="20">
        <f>IF(Simulation!LK14&lt;Obligors!$I$14,1,0)</f>
        <v/>
      </c>
      <c r="LL14" s="20">
        <f>IF(Simulation!LL14&lt;Obligors!$I$14,1,0)</f>
        <v/>
      </c>
      <c r="LM14" s="20">
        <f>IF(Simulation!LM14&lt;Obligors!$I$14,1,0)</f>
        <v/>
      </c>
      <c r="LN14" s="20">
        <f>IF(Simulation!LN14&lt;Obligors!$I$14,1,0)</f>
        <v/>
      </c>
      <c r="LO14" s="20">
        <f>IF(Simulation!LO14&lt;Obligors!$I$14,1,0)</f>
        <v/>
      </c>
      <c r="LP14" s="20">
        <f>IF(Simulation!LP14&lt;Obligors!$I$14,1,0)</f>
        <v/>
      </c>
      <c r="LQ14" s="20">
        <f>IF(Simulation!LQ14&lt;Obligors!$I$14,1,0)</f>
        <v/>
      </c>
      <c r="LR14" s="20">
        <f>IF(Simulation!LR14&lt;Obligors!$I$14,1,0)</f>
        <v/>
      </c>
      <c r="LS14" s="20">
        <f>IF(Simulation!LS14&lt;Obligors!$I$14,1,0)</f>
        <v/>
      </c>
      <c r="LT14" s="20">
        <f>IF(Simulation!LT14&lt;Obligors!$I$14,1,0)</f>
        <v/>
      </c>
      <c r="LU14" s="20">
        <f>IF(Simulation!LU14&lt;Obligors!$I$14,1,0)</f>
        <v/>
      </c>
      <c r="LV14" s="20">
        <f>IF(Simulation!LV14&lt;Obligors!$I$14,1,0)</f>
        <v/>
      </c>
      <c r="LW14" s="20">
        <f>IF(Simulation!LW14&lt;Obligors!$I$14,1,0)</f>
        <v/>
      </c>
      <c r="LX14" s="20">
        <f>IF(Simulation!LX14&lt;Obligors!$I$14,1,0)</f>
        <v/>
      </c>
      <c r="LY14" s="20">
        <f>IF(Simulation!LY14&lt;Obligors!$I$14,1,0)</f>
        <v/>
      </c>
      <c r="LZ14" s="20">
        <f>IF(Simulation!LZ14&lt;Obligors!$I$14,1,0)</f>
        <v/>
      </c>
      <c r="MA14" s="20">
        <f>IF(Simulation!MA14&lt;Obligors!$I$14,1,0)</f>
        <v/>
      </c>
      <c r="MB14" s="20">
        <f>IF(Simulation!MB14&lt;Obligors!$I$14,1,0)</f>
        <v/>
      </c>
      <c r="MC14" s="20">
        <f>IF(Simulation!MC14&lt;Obligors!$I$14,1,0)</f>
        <v/>
      </c>
      <c r="MD14" s="20">
        <f>IF(Simulation!MD14&lt;Obligors!$I$14,1,0)</f>
        <v/>
      </c>
      <c r="ME14" s="20">
        <f>IF(Simulation!ME14&lt;Obligors!$I$14,1,0)</f>
        <v/>
      </c>
      <c r="MF14" s="20">
        <f>IF(Simulation!MF14&lt;Obligors!$I$14,1,0)</f>
        <v/>
      </c>
      <c r="MG14" s="20">
        <f>IF(Simulation!MG14&lt;Obligors!$I$14,1,0)</f>
        <v/>
      </c>
      <c r="MH14" s="20">
        <f>IF(Simulation!MH14&lt;Obligors!$I$14,1,0)</f>
        <v/>
      </c>
      <c r="MI14" s="20">
        <f>IF(Simulation!MI14&lt;Obligors!$I$14,1,0)</f>
        <v/>
      </c>
      <c r="MJ14" s="20">
        <f>IF(Simulation!MJ14&lt;Obligors!$I$14,1,0)</f>
        <v/>
      </c>
      <c r="MK14" s="20">
        <f>IF(Simulation!MK14&lt;Obligors!$I$14,1,0)</f>
        <v/>
      </c>
      <c r="ML14" s="20">
        <f>IF(Simulation!ML14&lt;Obligors!$I$14,1,0)</f>
        <v/>
      </c>
      <c r="MM14" s="20">
        <f>IF(Simulation!MM14&lt;Obligors!$I$14,1,0)</f>
        <v/>
      </c>
      <c r="MN14" s="20">
        <f>IF(Simulation!MN14&lt;Obligors!$I$14,1,0)</f>
        <v/>
      </c>
      <c r="MO14" s="20">
        <f>IF(Simulation!MO14&lt;Obligors!$I$14,1,0)</f>
        <v/>
      </c>
      <c r="MP14" s="20">
        <f>IF(Simulation!MP14&lt;Obligors!$I$14,1,0)</f>
        <v/>
      </c>
      <c r="MQ14" s="20">
        <f>IF(Simulation!MQ14&lt;Obligors!$I$14,1,0)</f>
        <v/>
      </c>
      <c r="MR14" s="20">
        <f>IF(Simulation!MR14&lt;Obligors!$I$14,1,0)</f>
        <v/>
      </c>
      <c r="MS14" s="20">
        <f>IF(Simulation!MS14&lt;Obligors!$I$14,1,0)</f>
        <v/>
      </c>
      <c r="MT14" s="20">
        <f>IF(Simulation!MT14&lt;Obligors!$I$14,1,0)</f>
        <v/>
      </c>
      <c r="MU14" s="20">
        <f>IF(Simulation!MU14&lt;Obligors!$I$14,1,0)</f>
        <v/>
      </c>
      <c r="MV14" s="20">
        <f>IF(Simulation!MV14&lt;Obligors!$I$14,1,0)</f>
        <v/>
      </c>
      <c r="MW14" s="20">
        <f>IF(Simulation!MW14&lt;Obligors!$I$14,1,0)</f>
        <v/>
      </c>
      <c r="MX14" s="20">
        <f>IF(Simulation!MX14&lt;Obligors!$I$14,1,0)</f>
        <v/>
      </c>
      <c r="MY14" s="20">
        <f>IF(Simulation!MY14&lt;Obligors!$I$14,1,0)</f>
        <v/>
      </c>
      <c r="MZ14" s="20">
        <f>IF(Simulation!MZ14&lt;Obligors!$I$14,1,0)</f>
        <v/>
      </c>
      <c r="NA14" s="20">
        <f>IF(Simulation!NA14&lt;Obligors!$I$14,1,0)</f>
        <v/>
      </c>
      <c r="NB14" s="20">
        <f>IF(Simulation!NB14&lt;Obligors!$I$14,1,0)</f>
        <v/>
      </c>
      <c r="NC14" s="20">
        <f>IF(Simulation!NC14&lt;Obligors!$I$14,1,0)</f>
        <v/>
      </c>
      <c r="ND14" s="20">
        <f>IF(Simulation!ND14&lt;Obligors!$I$14,1,0)</f>
        <v/>
      </c>
      <c r="NE14" s="20">
        <f>IF(Simulation!NE14&lt;Obligors!$I$14,1,0)</f>
        <v/>
      </c>
      <c r="NF14" s="20">
        <f>IF(Simulation!NF14&lt;Obligors!$I$14,1,0)</f>
        <v/>
      </c>
      <c r="NG14" s="20">
        <f>IF(Simulation!NG14&lt;Obligors!$I$14,1,0)</f>
        <v/>
      </c>
      <c r="NH14" s="20">
        <f>IF(Simulation!NH14&lt;Obligors!$I$14,1,0)</f>
        <v/>
      </c>
      <c r="NI14" s="20">
        <f>IF(Simulation!NI14&lt;Obligors!$I$14,1,0)</f>
        <v/>
      </c>
      <c r="NJ14" s="20">
        <f>IF(Simulation!NJ14&lt;Obligors!$I$14,1,0)</f>
        <v/>
      </c>
      <c r="NK14" s="20">
        <f>IF(Simulation!NK14&lt;Obligors!$I$14,1,0)</f>
        <v/>
      </c>
      <c r="NL14" s="20">
        <f>IF(Simulation!NL14&lt;Obligors!$I$14,1,0)</f>
        <v/>
      </c>
      <c r="NM14" s="20">
        <f>IF(Simulation!NM14&lt;Obligors!$I$14,1,0)</f>
        <v/>
      </c>
      <c r="NN14" s="20">
        <f>IF(Simulation!NN14&lt;Obligors!$I$14,1,0)</f>
        <v/>
      </c>
      <c r="NO14" s="20">
        <f>IF(Simulation!NO14&lt;Obligors!$I$14,1,0)</f>
        <v/>
      </c>
      <c r="NP14" s="20">
        <f>IF(Simulation!NP14&lt;Obligors!$I$14,1,0)</f>
        <v/>
      </c>
      <c r="NQ14" s="20">
        <f>IF(Simulation!NQ14&lt;Obligors!$I$14,1,0)</f>
        <v/>
      </c>
      <c r="NR14" s="20">
        <f>IF(Simulation!NR14&lt;Obligors!$I$14,1,0)</f>
        <v/>
      </c>
      <c r="NS14" s="20">
        <f>IF(Simulation!NS14&lt;Obligors!$I$14,1,0)</f>
        <v/>
      </c>
      <c r="NT14" s="20">
        <f>IF(Simulation!NT14&lt;Obligors!$I$14,1,0)</f>
        <v/>
      </c>
      <c r="NU14" s="20">
        <f>IF(Simulation!NU14&lt;Obligors!$I$14,1,0)</f>
        <v/>
      </c>
      <c r="NV14" s="20">
        <f>IF(Simulation!NV14&lt;Obligors!$I$14,1,0)</f>
        <v/>
      </c>
      <c r="NW14" s="20">
        <f>IF(Simulation!NW14&lt;Obligors!$I$14,1,0)</f>
        <v/>
      </c>
      <c r="NX14" s="20">
        <f>IF(Simulation!NX14&lt;Obligors!$I$14,1,0)</f>
        <v/>
      </c>
      <c r="NY14" s="20">
        <f>IF(Simulation!NY14&lt;Obligors!$I$14,1,0)</f>
        <v/>
      </c>
      <c r="NZ14" s="20">
        <f>IF(Simulation!NZ14&lt;Obligors!$I$14,1,0)</f>
        <v/>
      </c>
      <c r="OA14" s="20">
        <f>IF(Simulation!OA14&lt;Obligors!$I$14,1,0)</f>
        <v/>
      </c>
      <c r="OB14" s="20">
        <f>IF(Simulation!OB14&lt;Obligors!$I$14,1,0)</f>
        <v/>
      </c>
      <c r="OC14" s="20">
        <f>IF(Simulation!OC14&lt;Obligors!$I$14,1,0)</f>
        <v/>
      </c>
      <c r="OD14" s="20">
        <f>IF(Simulation!OD14&lt;Obligors!$I$14,1,0)</f>
        <v/>
      </c>
      <c r="OE14" s="20">
        <f>IF(Simulation!OE14&lt;Obligors!$I$14,1,0)</f>
        <v/>
      </c>
      <c r="OF14" s="20">
        <f>IF(Simulation!OF14&lt;Obligors!$I$14,1,0)</f>
        <v/>
      </c>
      <c r="OG14" s="20">
        <f>IF(Simulation!OG14&lt;Obligors!$I$14,1,0)</f>
        <v/>
      </c>
      <c r="OH14" s="20">
        <f>IF(Simulation!OH14&lt;Obligors!$I$14,1,0)</f>
        <v/>
      </c>
      <c r="OI14" s="20">
        <f>IF(Simulation!OI14&lt;Obligors!$I$14,1,0)</f>
        <v/>
      </c>
      <c r="OJ14" s="20">
        <f>IF(Simulation!OJ14&lt;Obligors!$I$14,1,0)</f>
        <v/>
      </c>
      <c r="OK14" s="20">
        <f>IF(Simulation!OK14&lt;Obligors!$I$14,1,0)</f>
        <v/>
      </c>
      <c r="OL14" s="20">
        <f>IF(Simulation!OL14&lt;Obligors!$I$14,1,0)</f>
        <v/>
      </c>
      <c r="OM14" s="20">
        <f>IF(Simulation!OM14&lt;Obligors!$I$14,1,0)</f>
        <v/>
      </c>
      <c r="ON14" s="20">
        <f>IF(Simulation!ON14&lt;Obligors!$I$14,1,0)</f>
        <v/>
      </c>
      <c r="OO14" s="20">
        <f>IF(Simulation!OO14&lt;Obligors!$I$14,1,0)</f>
        <v/>
      </c>
      <c r="OP14" s="20">
        <f>IF(Simulation!OP14&lt;Obligors!$I$14,1,0)</f>
        <v/>
      </c>
      <c r="OQ14" s="20">
        <f>IF(Simulation!OQ14&lt;Obligors!$I$14,1,0)</f>
        <v/>
      </c>
      <c r="OR14" s="20">
        <f>IF(Simulation!OR14&lt;Obligors!$I$14,1,0)</f>
        <v/>
      </c>
      <c r="OS14" s="20">
        <f>IF(Simulation!OS14&lt;Obligors!$I$14,1,0)</f>
        <v/>
      </c>
      <c r="OT14" s="20">
        <f>IF(Simulation!OT14&lt;Obligors!$I$14,1,0)</f>
        <v/>
      </c>
      <c r="OU14" s="20">
        <f>IF(Simulation!OU14&lt;Obligors!$I$14,1,0)</f>
        <v/>
      </c>
      <c r="OV14" s="20">
        <f>IF(Simulation!OV14&lt;Obligors!$I$14,1,0)</f>
        <v/>
      </c>
      <c r="OW14" s="20">
        <f>IF(Simulation!OW14&lt;Obligors!$I$14,1,0)</f>
        <v/>
      </c>
      <c r="OX14" s="20">
        <f>IF(Simulation!OX14&lt;Obligors!$I$14,1,0)</f>
        <v/>
      </c>
      <c r="OY14" s="20">
        <f>IF(Simulation!OY14&lt;Obligors!$I$14,1,0)</f>
        <v/>
      </c>
      <c r="OZ14" s="20">
        <f>IF(Simulation!OZ14&lt;Obligors!$I$14,1,0)</f>
        <v/>
      </c>
      <c r="PA14" s="20">
        <f>IF(Simulation!PA14&lt;Obligors!$I$14,1,0)</f>
        <v/>
      </c>
      <c r="PB14" s="20">
        <f>IF(Simulation!PB14&lt;Obligors!$I$14,1,0)</f>
        <v/>
      </c>
      <c r="PC14" s="20">
        <f>IF(Simulation!PC14&lt;Obligors!$I$14,1,0)</f>
        <v/>
      </c>
      <c r="PD14" s="20">
        <f>IF(Simulation!PD14&lt;Obligors!$I$14,1,0)</f>
        <v/>
      </c>
      <c r="PE14" s="20">
        <f>IF(Simulation!PE14&lt;Obligors!$I$14,1,0)</f>
        <v/>
      </c>
      <c r="PF14" s="20">
        <f>IF(Simulation!PF14&lt;Obligors!$I$14,1,0)</f>
        <v/>
      </c>
      <c r="PG14" s="20">
        <f>IF(Simulation!PG14&lt;Obligors!$I$14,1,0)</f>
        <v/>
      </c>
      <c r="PH14" s="20">
        <f>IF(Simulation!PH14&lt;Obligors!$I$14,1,0)</f>
        <v/>
      </c>
      <c r="PI14" s="20">
        <f>IF(Simulation!PI14&lt;Obligors!$I$14,1,0)</f>
        <v/>
      </c>
      <c r="PJ14" s="20">
        <f>IF(Simulation!PJ14&lt;Obligors!$I$14,1,0)</f>
        <v/>
      </c>
      <c r="PK14" s="20">
        <f>IF(Simulation!PK14&lt;Obligors!$I$14,1,0)</f>
        <v/>
      </c>
      <c r="PL14" s="20">
        <f>IF(Simulation!PL14&lt;Obligors!$I$14,1,0)</f>
        <v/>
      </c>
      <c r="PM14" s="20">
        <f>IF(Simulation!PM14&lt;Obligors!$I$14,1,0)</f>
        <v/>
      </c>
      <c r="PN14" s="20">
        <f>IF(Simulation!PN14&lt;Obligors!$I$14,1,0)</f>
        <v/>
      </c>
      <c r="PO14" s="20">
        <f>IF(Simulation!PO14&lt;Obligors!$I$14,1,0)</f>
        <v/>
      </c>
      <c r="PP14" s="20">
        <f>IF(Simulation!PP14&lt;Obligors!$I$14,1,0)</f>
        <v/>
      </c>
      <c r="PQ14" s="20">
        <f>IF(Simulation!PQ14&lt;Obligors!$I$14,1,0)</f>
        <v/>
      </c>
      <c r="PR14" s="20">
        <f>IF(Simulation!PR14&lt;Obligors!$I$14,1,0)</f>
        <v/>
      </c>
      <c r="PS14" s="20">
        <f>IF(Simulation!PS14&lt;Obligors!$I$14,1,0)</f>
        <v/>
      </c>
      <c r="PT14" s="20">
        <f>IF(Simulation!PT14&lt;Obligors!$I$14,1,0)</f>
        <v/>
      </c>
      <c r="PU14" s="20">
        <f>IF(Simulation!PU14&lt;Obligors!$I$14,1,0)</f>
        <v/>
      </c>
      <c r="PV14" s="20">
        <f>IF(Simulation!PV14&lt;Obligors!$I$14,1,0)</f>
        <v/>
      </c>
      <c r="PW14" s="20">
        <f>IF(Simulation!PW14&lt;Obligors!$I$14,1,0)</f>
        <v/>
      </c>
      <c r="PX14" s="20">
        <f>IF(Simulation!PX14&lt;Obligors!$I$14,1,0)</f>
        <v/>
      </c>
      <c r="PY14" s="20">
        <f>IF(Simulation!PY14&lt;Obligors!$I$14,1,0)</f>
        <v/>
      </c>
      <c r="PZ14" s="20">
        <f>IF(Simulation!PZ14&lt;Obligors!$I$14,1,0)</f>
        <v/>
      </c>
      <c r="QA14" s="20">
        <f>IF(Simulation!QA14&lt;Obligors!$I$14,1,0)</f>
        <v/>
      </c>
      <c r="QB14" s="20">
        <f>IF(Simulation!QB14&lt;Obligors!$I$14,1,0)</f>
        <v/>
      </c>
      <c r="QC14" s="20">
        <f>IF(Simulation!QC14&lt;Obligors!$I$14,1,0)</f>
        <v/>
      </c>
      <c r="QD14" s="20">
        <f>IF(Simulation!QD14&lt;Obligors!$I$14,1,0)</f>
        <v/>
      </c>
      <c r="QE14" s="20">
        <f>IF(Simulation!QE14&lt;Obligors!$I$14,1,0)</f>
        <v/>
      </c>
      <c r="QF14" s="20">
        <f>IF(Simulation!QF14&lt;Obligors!$I$14,1,0)</f>
        <v/>
      </c>
      <c r="QG14" s="20">
        <f>IF(Simulation!QG14&lt;Obligors!$I$14,1,0)</f>
        <v/>
      </c>
      <c r="QH14" s="20">
        <f>IF(Simulation!QH14&lt;Obligors!$I$14,1,0)</f>
        <v/>
      </c>
      <c r="QI14" s="20">
        <f>IF(Simulation!QI14&lt;Obligors!$I$14,1,0)</f>
        <v/>
      </c>
      <c r="QJ14" s="20">
        <f>IF(Simulation!QJ14&lt;Obligors!$I$14,1,0)</f>
        <v/>
      </c>
      <c r="QK14" s="20">
        <f>IF(Simulation!QK14&lt;Obligors!$I$14,1,0)</f>
        <v/>
      </c>
      <c r="QL14" s="20">
        <f>IF(Simulation!QL14&lt;Obligors!$I$14,1,0)</f>
        <v/>
      </c>
      <c r="QM14" s="20">
        <f>IF(Simulation!QM14&lt;Obligors!$I$14,1,0)</f>
        <v/>
      </c>
      <c r="QN14" s="20">
        <f>IF(Simulation!QN14&lt;Obligors!$I$14,1,0)</f>
        <v/>
      </c>
      <c r="QO14" s="20">
        <f>IF(Simulation!QO14&lt;Obligors!$I$14,1,0)</f>
        <v/>
      </c>
      <c r="QP14" s="20">
        <f>IF(Simulation!QP14&lt;Obligors!$I$14,1,0)</f>
        <v/>
      </c>
      <c r="QQ14" s="20">
        <f>IF(Simulation!QQ14&lt;Obligors!$I$14,1,0)</f>
        <v/>
      </c>
      <c r="QR14" s="20">
        <f>IF(Simulation!QR14&lt;Obligors!$I$14,1,0)</f>
        <v/>
      </c>
      <c r="QS14" s="20">
        <f>IF(Simulation!QS14&lt;Obligors!$I$14,1,0)</f>
        <v/>
      </c>
      <c r="QT14" s="20">
        <f>IF(Simulation!QT14&lt;Obligors!$I$14,1,0)</f>
        <v/>
      </c>
      <c r="QU14" s="20">
        <f>IF(Simulation!QU14&lt;Obligors!$I$14,1,0)</f>
        <v/>
      </c>
      <c r="QV14" s="20">
        <f>IF(Simulation!QV14&lt;Obligors!$I$14,1,0)</f>
        <v/>
      </c>
      <c r="QW14" s="20">
        <f>IF(Simulation!QW14&lt;Obligors!$I$14,1,0)</f>
        <v/>
      </c>
      <c r="QX14" s="20">
        <f>IF(Simulation!QX14&lt;Obligors!$I$14,1,0)</f>
        <v/>
      </c>
      <c r="QY14" s="20">
        <f>IF(Simulation!QY14&lt;Obligors!$I$14,1,0)</f>
        <v/>
      </c>
      <c r="QZ14" s="20">
        <f>IF(Simulation!QZ14&lt;Obligors!$I$14,1,0)</f>
        <v/>
      </c>
      <c r="RA14" s="20">
        <f>IF(Simulation!RA14&lt;Obligors!$I$14,1,0)</f>
        <v/>
      </c>
      <c r="RB14" s="20">
        <f>IF(Simulation!RB14&lt;Obligors!$I$14,1,0)</f>
        <v/>
      </c>
      <c r="RC14" s="20">
        <f>IF(Simulation!RC14&lt;Obligors!$I$14,1,0)</f>
        <v/>
      </c>
      <c r="RD14" s="20">
        <f>IF(Simulation!RD14&lt;Obligors!$I$14,1,0)</f>
        <v/>
      </c>
      <c r="RE14" s="20">
        <f>IF(Simulation!RE14&lt;Obligors!$I$14,1,0)</f>
        <v/>
      </c>
      <c r="RF14" s="20">
        <f>IF(Simulation!RF14&lt;Obligors!$I$14,1,0)</f>
        <v/>
      </c>
      <c r="RG14" s="20">
        <f>IF(Simulation!RG14&lt;Obligors!$I$14,1,0)</f>
        <v/>
      </c>
      <c r="RH14" s="20">
        <f>IF(Simulation!RH14&lt;Obligors!$I$14,1,0)</f>
        <v/>
      </c>
      <c r="RI14" s="20">
        <f>IF(Simulation!RI14&lt;Obligors!$I$14,1,0)</f>
        <v/>
      </c>
      <c r="RJ14" s="20">
        <f>IF(Simulation!RJ14&lt;Obligors!$I$14,1,0)</f>
        <v/>
      </c>
      <c r="RK14" s="20">
        <f>IF(Simulation!RK14&lt;Obligors!$I$14,1,0)</f>
        <v/>
      </c>
      <c r="RL14" s="20">
        <f>IF(Simulation!RL14&lt;Obligors!$I$14,1,0)</f>
        <v/>
      </c>
      <c r="RM14" s="20">
        <f>IF(Simulation!RM14&lt;Obligors!$I$14,1,0)</f>
        <v/>
      </c>
      <c r="RN14" s="20">
        <f>IF(Simulation!RN14&lt;Obligors!$I$14,1,0)</f>
        <v/>
      </c>
      <c r="RO14" s="20">
        <f>IF(Simulation!RO14&lt;Obligors!$I$14,1,0)</f>
        <v/>
      </c>
      <c r="RP14" s="20">
        <f>IF(Simulation!RP14&lt;Obligors!$I$14,1,0)</f>
        <v/>
      </c>
      <c r="RQ14" s="20">
        <f>IF(Simulation!RQ14&lt;Obligors!$I$14,1,0)</f>
        <v/>
      </c>
      <c r="RR14" s="20">
        <f>IF(Simulation!RR14&lt;Obligors!$I$14,1,0)</f>
        <v/>
      </c>
      <c r="RS14" s="20">
        <f>IF(Simulation!RS14&lt;Obligors!$I$14,1,0)</f>
        <v/>
      </c>
      <c r="RT14" s="20">
        <f>IF(Simulation!RT14&lt;Obligors!$I$14,1,0)</f>
        <v/>
      </c>
      <c r="RU14" s="20">
        <f>IF(Simulation!RU14&lt;Obligors!$I$14,1,0)</f>
        <v/>
      </c>
      <c r="RV14" s="20">
        <f>IF(Simulation!RV14&lt;Obligors!$I$14,1,0)</f>
        <v/>
      </c>
      <c r="RW14" s="20">
        <f>IF(Simulation!RW14&lt;Obligors!$I$14,1,0)</f>
        <v/>
      </c>
      <c r="RX14" s="20">
        <f>IF(Simulation!RX14&lt;Obligors!$I$14,1,0)</f>
        <v/>
      </c>
      <c r="RY14" s="20">
        <f>IF(Simulation!RY14&lt;Obligors!$I$14,1,0)</f>
        <v/>
      </c>
      <c r="RZ14" s="20">
        <f>IF(Simulation!RZ14&lt;Obligors!$I$14,1,0)</f>
        <v/>
      </c>
      <c r="SA14" s="20">
        <f>IF(Simulation!SA14&lt;Obligors!$I$14,1,0)</f>
        <v/>
      </c>
      <c r="SB14" s="20">
        <f>IF(Simulation!SB14&lt;Obligors!$I$14,1,0)</f>
        <v/>
      </c>
      <c r="SC14" s="20">
        <f>IF(Simulation!SC14&lt;Obligors!$I$14,1,0)</f>
        <v/>
      </c>
      <c r="SD14" s="20">
        <f>IF(Simulation!SD14&lt;Obligors!$I$14,1,0)</f>
        <v/>
      </c>
      <c r="SE14" s="20">
        <f>IF(Simulation!SE14&lt;Obligors!$I$14,1,0)</f>
        <v/>
      </c>
      <c r="SF14" s="20">
        <f>IF(Simulation!SF14&lt;Obligors!$I$14,1,0)</f>
        <v/>
      </c>
      <c r="SG14" s="20">
        <f>IF(Simulation!SG14&lt;Obligors!$I$14,1,0)</f>
        <v/>
      </c>
    </row>
    <row r="15">
      <c r="A15" s="17" t="inlineStr">
        <is>
          <t>OBL-014</t>
        </is>
      </c>
      <c r="B15" s="20">
        <f>IF(Simulation!B15&lt;Obligors!$I$15,1,0)</f>
        <v/>
      </c>
      <c r="C15" s="20">
        <f>IF(Simulation!C15&lt;Obligors!$I$15,1,0)</f>
        <v/>
      </c>
      <c r="D15" s="20">
        <f>IF(Simulation!D15&lt;Obligors!$I$15,1,0)</f>
        <v/>
      </c>
      <c r="E15" s="20">
        <f>IF(Simulation!E15&lt;Obligors!$I$15,1,0)</f>
        <v/>
      </c>
      <c r="F15" s="20">
        <f>IF(Simulation!F15&lt;Obligors!$I$15,1,0)</f>
        <v/>
      </c>
      <c r="G15" s="20">
        <f>IF(Simulation!G15&lt;Obligors!$I$15,1,0)</f>
        <v/>
      </c>
      <c r="H15" s="20">
        <f>IF(Simulation!H15&lt;Obligors!$I$15,1,0)</f>
        <v/>
      </c>
      <c r="I15" s="20">
        <f>IF(Simulation!I15&lt;Obligors!$I$15,1,0)</f>
        <v/>
      </c>
      <c r="J15" s="20">
        <f>IF(Simulation!J15&lt;Obligors!$I$15,1,0)</f>
        <v/>
      </c>
      <c r="K15" s="20">
        <f>IF(Simulation!K15&lt;Obligors!$I$15,1,0)</f>
        <v/>
      </c>
      <c r="L15" s="20">
        <f>IF(Simulation!L15&lt;Obligors!$I$15,1,0)</f>
        <v/>
      </c>
      <c r="M15" s="20">
        <f>IF(Simulation!M15&lt;Obligors!$I$15,1,0)</f>
        <v/>
      </c>
      <c r="N15" s="20">
        <f>IF(Simulation!N15&lt;Obligors!$I$15,1,0)</f>
        <v/>
      </c>
      <c r="O15" s="20">
        <f>IF(Simulation!O15&lt;Obligors!$I$15,1,0)</f>
        <v/>
      </c>
      <c r="P15" s="20">
        <f>IF(Simulation!P15&lt;Obligors!$I$15,1,0)</f>
        <v/>
      </c>
      <c r="Q15" s="20">
        <f>IF(Simulation!Q15&lt;Obligors!$I$15,1,0)</f>
        <v/>
      </c>
      <c r="R15" s="20">
        <f>IF(Simulation!R15&lt;Obligors!$I$15,1,0)</f>
        <v/>
      </c>
      <c r="S15" s="20">
        <f>IF(Simulation!S15&lt;Obligors!$I$15,1,0)</f>
        <v/>
      </c>
      <c r="T15" s="20">
        <f>IF(Simulation!T15&lt;Obligors!$I$15,1,0)</f>
        <v/>
      </c>
      <c r="U15" s="20">
        <f>IF(Simulation!U15&lt;Obligors!$I$15,1,0)</f>
        <v/>
      </c>
      <c r="V15" s="20">
        <f>IF(Simulation!V15&lt;Obligors!$I$15,1,0)</f>
        <v/>
      </c>
      <c r="W15" s="20">
        <f>IF(Simulation!W15&lt;Obligors!$I$15,1,0)</f>
        <v/>
      </c>
      <c r="X15" s="20">
        <f>IF(Simulation!X15&lt;Obligors!$I$15,1,0)</f>
        <v/>
      </c>
      <c r="Y15" s="20">
        <f>IF(Simulation!Y15&lt;Obligors!$I$15,1,0)</f>
        <v/>
      </c>
      <c r="Z15" s="20">
        <f>IF(Simulation!Z15&lt;Obligors!$I$15,1,0)</f>
        <v/>
      </c>
      <c r="AA15" s="20">
        <f>IF(Simulation!AA15&lt;Obligors!$I$15,1,0)</f>
        <v/>
      </c>
      <c r="AB15" s="20">
        <f>IF(Simulation!AB15&lt;Obligors!$I$15,1,0)</f>
        <v/>
      </c>
      <c r="AC15" s="20">
        <f>IF(Simulation!AC15&lt;Obligors!$I$15,1,0)</f>
        <v/>
      </c>
      <c r="AD15" s="20">
        <f>IF(Simulation!AD15&lt;Obligors!$I$15,1,0)</f>
        <v/>
      </c>
      <c r="AE15" s="20">
        <f>IF(Simulation!AE15&lt;Obligors!$I$15,1,0)</f>
        <v/>
      </c>
      <c r="AF15" s="20">
        <f>IF(Simulation!AF15&lt;Obligors!$I$15,1,0)</f>
        <v/>
      </c>
      <c r="AG15" s="20">
        <f>IF(Simulation!AG15&lt;Obligors!$I$15,1,0)</f>
        <v/>
      </c>
      <c r="AH15" s="20">
        <f>IF(Simulation!AH15&lt;Obligors!$I$15,1,0)</f>
        <v/>
      </c>
      <c r="AI15" s="20">
        <f>IF(Simulation!AI15&lt;Obligors!$I$15,1,0)</f>
        <v/>
      </c>
      <c r="AJ15" s="20">
        <f>IF(Simulation!AJ15&lt;Obligors!$I$15,1,0)</f>
        <v/>
      </c>
      <c r="AK15" s="20">
        <f>IF(Simulation!AK15&lt;Obligors!$I$15,1,0)</f>
        <v/>
      </c>
      <c r="AL15" s="20">
        <f>IF(Simulation!AL15&lt;Obligors!$I$15,1,0)</f>
        <v/>
      </c>
      <c r="AM15" s="20">
        <f>IF(Simulation!AM15&lt;Obligors!$I$15,1,0)</f>
        <v/>
      </c>
      <c r="AN15" s="20">
        <f>IF(Simulation!AN15&lt;Obligors!$I$15,1,0)</f>
        <v/>
      </c>
      <c r="AO15" s="20">
        <f>IF(Simulation!AO15&lt;Obligors!$I$15,1,0)</f>
        <v/>
      </c>
      <c r="AP15" s="20">
        <f>IF(Simulation!AP15&lt;Obligors!$I$15,1,0)</f>
        <v/>
      </c>
      <c r="AQ15" s="20">
        <f>IF(Simulation!AQ15&lt;Obligors!$I$15,1,0)</f>
        <v/>
      </c>
      <c r="AR15" s="20">
        <f>IF(Simulation!AR15&lt;Obligors!$I$15,1,0)</f>
        <v/>
      </c>
      <c r="AS15" s="20">
        <f>IF(Simulation!AS15&lt;Obligors!$I$15,1,0)</f>
        <v/>
      </c>
      <c r="AT15" s="20">
        <f>IF(Simulation!AT15&lt;Obligors!$I$15,1,0)</f>
        <v/>
      </c>
      <c r="AU15" s="20">
        <f>IF(Simulation!AU15&lt;Obligors!$I$15,1,0)</f>
        <v/>
      </c>
      <c r="AV15" s="20">
        <f>IF(Simulation!AV15&lt;Obligors!$I$15,1,0)</f>
        <v/>
      </c>
      <c r="AW15" s="20">
        <f>IF(Simulation!AW15&lt;Obligors!$I$15,1,0)</f>
        <v/>
      </c>
      <c r="AX15" s="20">
        <f>IF(Simulation!AX15&lt;Obligors!$I$15,1,0)</f>
        <v/>
      </c>
      <c r="AY15" s="20">
        <f>IF(Simulation!AY15&lt;Obligors!$I$15,1,0)</f>
        <v/>
      </c>
      <c r="AZ15" s="20">
        <f>IF(Simulation!AZ15&lt;Obligors!$I$15,1,0)</f>
        <v/>
      </c>
      <c r="BA15" s="20">
        <f>IF(Simulation!BA15&lt;Obligors!$I$15,1,0)</f>
        <v/>
      </c>
      <c r="BB15" s="20">
        <f>IF(Simulation!BB15&lt;Obligors!$I$15,1,0)</f>
        <v/>
      </c>
      <c r="BC15" s="20">
        <f>IF(Simulation!BC15&lt;Obligors!$I$15,1,0)</f>
        <v/>
      </c>
      <c r="BD15" s="20">
        <f>IF(Simulation!BD15&lt;Obligors!$I$15,1,0)</f>
        <v/>
      </c>
      <c r="BE15" s="20">
        <f>IF(Simulation!BE15&lt;Obligors!$I$15,1,0)</f>
        <v/>
      </c>
      <c r="BF15" s="20">
        <f>IF(Simulation!BF15&lt;Obligors!$I$15,1,0)</f>
        <v/>
      </c>
      <c r="BG15" s="20">
        <f>IF(Simulation!BG15&lt;Obligors!$I$15,1,0)</f>
        <v/>
      </c>
      <c r="BH15" s="20">
        <f>IF(Simulation!BH15&lt;Obligors!$I$15,1,0)</f>
        <v/>
      </c>
      <c r="BI15" s="20">
        <f>IF(Simulation!BI15&lt;Obligors!$I$15,1,0)</f>
        <v/>
      </c>
      <c r="BJ15" s="20">
        <f>IF(Simulation!BJ15&lt;Obligors!$I$15,1,0)</f>
        <v/>
      </c>
      <c r="BK15" s="20">
        <f>IF(Simulation!BK15&lt;Obligors!$I$15,1,0)</f>
        <v/>
      </c>
      <c r="BL15" s="20">
        <f>IF(Simulation!BL15&lt;Obligors!$I$15,1,0)</f>
        <v/>
      </c>
      <c r="BM15" s="20">
        <f>IF(Simulation!BM15&lt;Obligors!$I$15,1,0)</f>
        <v/>
      </c>
      <c r="BN15" s="20">
        <f>IF(Simulation!BN15&lt;Obligors!$I$15,1,0)</f>
        <v/>
      </c>
      <c r="BO15" s="20">
        <f>IF(Simulation!BO15&lt;Obligors!$I$15,1,0)</f>
        <v/>
      </c>
      <c r="BP15" s="20">
        <f>IF(Simulation!BP15&lt;Obligors!$I$15,1,0)</f>
        <v/>
      </c>
      <c r="BQ15" s="20">
        <f>IF(Simulation!BQ15&lt;Obligors!$I$15,1,0)</f>
        <v/>
      </c>
      <c r="BR15" s="20">
        <f>IF(Simulation!BR15&lt;Obligors!$I$15,1,0)</f>
        <v/>
      </c>
      <c r="BS15" s="20">
        <f>IF(Simulation!BS15&lt;Obligors!$I$15,1,0)</f>
        <v/>
      </c>
      <c r="BT15" s="20">
        <f>IF(Simulation!BT15&lt;Obligors!$I$15,1,0)</f>
        <v/>
      </c>
      <c r="BU15" s="20">
        <f>IF(Simulation!BU15&lt;Obligors!$I$15,1,0)</f>
        <v/>
      </c>
      <c r="BV15" s="20">
        <f>IF(Simulation!BV15&lt;Obligors!$I$15,1,0)</f>
        <v/>
      </c>
      <c r="BW15" s="20">
        <f>IF(Simulation!BW15&lt;Obligors!$I$15,1,0)</f>
        <v/>
      </c>
      <c r="BX15" s="20">
        <f>IF(Simulation!BX15&lt;Obligors!$I$15,1,0)</f>
        <v/>
      </c>
      <c r="BY15" s="20">
        <f>IF(Simulation!BY15&lt;Obligors!$I$15,1,0)</f>
        <v/>
      </c>
      <c r="BZ15" s="20">
        <f>IF(Simulation!BZ15&lt;Obligors!$I$15,1,0)</f>
        <v/>
      </c>
      <c r="CA15" s="20">
        <f>IF(Simulation!CA15&lt;Obligors!$I$15,1,0)</f>
        <v/>
      </c>
      <c r="CB15" s="20">
        <f>IF(Simulation!CB15&lt;Obligors!$I$15,1,0)</f>
        <v/>
      </c>
      <c r="CC15" s="20">
        <f>IF(Simulation!CC15&lt;Obligors!$I$15,1,0)</f>
        <v/>
      </c>
      <c r="CD15" s="20">
        <f>IF(Simulation!CD15&lt;Obligors!$I$15,1,0)</f>
        <v/>
      </c>
      <c r="CE15" s="20">
        <f>IF(Simulation!CE15&lt;Obligors!$I$15,1,0)</f>
        <v/>
      </c>
      <c r="CF15" s="20">
        <f>IF(Simulation!CF15&lt;Obligors!$I$15,1,0)</f>
        <v/>
      </c>
      <c r="CG15" s="20">
        <f>IF(Simulation!CG15&lt;Obligors!$I$15,1,0)</f>
        <v/>
      </c>
      <c r="CH15" s="20">
        <f>IF(Simulation!CH15&lt;Obligors!$I$15,1,0)</f>
        <v/>
      </c>
      <c r="CI15" s="20">
        <f>IF(Simulation!CI15&lt;Obligors!$I$15,1,0)</f>
        <v/>
      </c>
      <c r="CJ15" s="20">
        <f>IF(Simulation!CJ15&lt;Obligors!$I$15,1,0)</f>
        <v/>
      </c>
      <c r="CK15" s="20">
        <f>IF(Simulation!CK15&lt;Obligors!$I$15,1,0)</f>
        <v/>
      </c>
      <c r="CL15" s="20">
        <f>IF(Simulation!CL15&lt;Obligors!$I$15,1,0)</f>
        <v/>
      </c>
      <c r="CM15" s="20">
        <f>IF(Simulation!CM15&lt;Obligors!$I$15,1,0)</f>
        <v/>
      </c>
      <c r="CN15" s="20">
        <f>IF(Simulation!CN15&lt;Obligors!$I$15,1,0)</f>
        <v/>
      </c>
      <c r="CO15" s="20">
        <f>IF(Simulation!CO15&lt;Obligors!$I$15,1,0)</f>
        <v/>
      </c>
      <c r="CP15" s="20">
        <f>IF(Simulation!CP15&lt;Obligors!$I$15,1,0)</f>
        <v/>
      </c>
      <c r="CQ15" s="20">
        <f>IF(Simulation!CQ15&lt;Obligors!$I$15,1,0)</f>
        <v/>
      </c>
      <c r="CR15" s="20">
        <f>IF(Simulation!CR15&lt;Obligors!$I$15,1,0)</f>
        <v/>
      </c>
      <c r="CS15" s="20">
        <f>IF(Simulation!CS15&lt;Obligors!$I$15,1,0)</f>
        <v/>
      </c>
      <c r="CT15" s="20">
        <f>IF(Simulation!CT15&lt;Obligors!$I$15,1,0)</f>
        <v/>
      </c>
      <c r="CU15" s="20">
        <f>IF(Simulation!CU15&lt;Obligors!$I$15,1,0)</f>
        <v/>
      </c>
      <c r="CV15" s="20">
        <f>IF(Simulation!CV15&lt;Obligors!$I$15,1,0)</f>
        <v/>
      </c>
      <c r="CW15" s="20">
        <f>IF(Simulation!CW15&lt;Obligors!$I$15,1,0)</f>
        <v/>
      </c>
      <c r="CX15" s="20">
        <f>IF(Simulation!CX15&lt;Obligors!$I$15,1,0)</f>
        <v/>
      </c>
      <c r="CY15" s="20">
        <f>IF(Simulation!CY15&lt;Obligors!$I$15,1,0)</f>
        <v/>
      </c>
      <c r="CZ15" s="20">
        <f>IF(Simulation!CZ15&lt;Obligors!$I$15,1,0)</f>
        <v/>
      </c>
      <c r="DA15" s="20">
        <f>IF(Simulation!DA15&lt;Obligors!$I$15,1,0)</f>
        <v/>
      </c>
      <c r="DB15" s="20">
        <f>IF(Simulation!DB15&lt;Obligors!$I$15,1,0)</f>
        <v/>
      </c>
      <c r="DC15" s="20">
        <f>IF(Simulation!DC15&lt;Obligors!$I$15,1,0)</f>
        <v/>
      </c>
      <c r="DD15" s="20">
        <f>IF(Simulation!DD15&lt;Obligors!$I$15,1,0)</f>
        <v/>
      </c>
      <c r="DE15" s="20">
        <f>IF(Simulation!DE15&lt;Obligors!$I$15,1,0)</f>
        <v/>
      </c>
      <c r="DF15" s="20">
        <f>IF(Simulation!DF15&lt;Obligors!$I$15,1,0)</f>
        <v/>
      </c>
      <c r="DG15" s="20">
        <f>IF(Simulation!DG15&lt;Obligors!$I$15,1,0)</f>
        <v/>
      </c>
      <c r="DH15" s="20">
        <f>IF(Simulation!DH15&lt;Obligors!$I$15,1,0)</f>
        <v/>
      </c>
      <c r="DI15" s="20">
        <f>IF(Simulation!DI15&lt;Obligors!$I$15,1,0)</f>
        <v/>
      </c>
      <c r="DJ15" s="20">
        <f>IF(Simulation!DJ15&lt;Obligors!$I$15,1,0)</f>
        <v/>
      </c>
      <c r="DK15" s="20">
        <f>IF(Simulation!DK15&lt;Obligors!$I$15,1,0)</f>
        <v/>
      </c>
      <c r="DL15" s="20">
        <f>IF(Simulation!DL15&lt;Obligors!$I$15,1,0)</f>
        <v/>
      </c>
      <c r="DM15" s="20">
        <f>IF(Simulation!DM15&lt;Obligors!$I$15,1,0)</f>
        <v/>
      </c>
      <c r="DN15" s="20">
        <f>IF(Simulation!DN15&lt;Obligors!$I$15,1,0)</f>
        <v/>
      </c>
      <c r="DO15" s="20">
        <f>IF(Simulation!DO15&lt;Obligors!$I$15,1,0)</f>
        <v/>
      </c>
      <c r="DP15" s="20">
        <f>IF(Simulation!DP15&lt;Obligors!$I$15,1,0)</f>
        <v/>
      </c>
      <c r="DQ15" s="20">
        <f>IF(Simulation!DQ15&lt;Obligors!$I$15,1,0)</f>
        <v/>
      </c>
      <c r="DR15" s="20">
        <f>IF(Simulation!DR15&lt;Obligors!$I$15,1,0)</f>
        <v/>
      </c>
      <c r="DS15" s="20">
        <f>IF(Simulation!DS15&lt;Obligors!$I$15,1,0)</f>
        <v/>
      </c>
      <c r="DT15" s="20">
        <f>IF(Simulation!DT15&lt;Obligors!$I$15,1,0)</f>
        <v/>
      </c>
      <c r="DU15" s="20">
        <f>IF(Simulation!DU15&lt;Obligors!$I$15,1,0)</f>
        <v/>
      </c>
      <c r="DV15" s="20">
        <f>IF(Simulation!DV15&lt;Obligors!$I$15,1,0)</f>
        <v/>
      </c>
      <c r="DW15" s="20">
        <f>IF(Simulation!DW15&lt;Obligors!$I$15,1,0)</f>
        <v/>
      </c>
      <c r="DX15" s="20">
        <f>IF(Simulation!DX15&lt;Obligors!$I$15,1,0)</f>
        <v/>
      </c>
      <c r="DY15" s="20">
        <f>IF(Simulation!DY15&lt;Obligors!$I$15,1,0)</f>
        <v/>
      </c>
      <c r="DZ15" s="20">
        <f>IF(Simulation!DZ15&lt;Obligors!$I$15,1,0)</f>
        <v/>
      </c>
      <c r="EA15" s="20">
        <f>IF(Simulation!EA15&lt;Obligors!$I$15,1,0)</f>
        <v/>
      </c>
      <c r="EB15" s="20">
        <f>IF(Simulation!EB15&lt;Obligors!$I$15,1,0)</f>
        <v/>
      </c>
      <c r="EC15" s="20">
        <f>IF(Simulation!EC15&lt;Obligors!$I$15,1,0)</f>
        <v/>
      </c>
      <c r="ED15" s="20">
        <f>IF(Simulation!ED15&lt;Obligors!$I$15,1,0)</f>
        <v/>
      </c>
      <c r="EE15" s="20">
        <f>IF(Simulation!EE15&lt;Obligors!$I$15,1,0)</f>
        <v/>
      </c>
      <c r="EF15" s="20">
        <f>IF(Simulation!EF15&lt;Obligors!$I$15,1,0)</f>
        <v/>
      </c>
      <c r="EG15" s="20">
        <f>IF(Simulation!EG15&lt;Obligors!$I$15,1,0)</f>
        <v/>
      </c>
      <c r="EH15" s="20">
        <f>IF(Simulation!EH15&lt;Obligors!$I$15,1,0)</f>
        <v/>
      </c>
      <c r="EI15" s="20">
        <f>IF(Simulation!EI15&lt;Obligors!$I$15,1,0)</f>
        <v/>
      </c>
      <c r="EJ15" s="20">
        <f>IF(Simulation!EJ15&lt;Obligors!$I$15,1,0)</f>
        <v/>
      </c>
      <c r="EK15" s="20">
        <f>IF(Simulation!EK15&lt;Obligors!$I$15,1,0)</f>
        <v/>
      </c>
      <c r="EL15" s="20">
        <f>IF(Simulation!EL15&lt;Obligors!$I$15,1,0)</f>
        <v/>
      </c>
      <c r="EM15" s="20">
        <f>IF(Simulation!EM15&lt;Obligors!$I$15,1,0)</f>
        <v/>
      </c>
      <c r="EN15" s="20">
        <f>IF(Simulation!EN15&lt;Obligors!$I$15,1,0)</f>
        <v/>
      </c>
      <c r="EO15" s="20">
        <f>IF(Simulation!EO15&lt;Obligors!$I$15,1,0)</f>
        <v/>
      </c>
      <c r="EP15" s="20">
        <f>IF(Simulation!EP15&lt;Obligors!$I$15,1,0)</f>
        <v/>
      </c>
      <c r="EQ15" s="20">
        <f>IF(Simulation!EQ15&lt;Obligors!$I$15,1,0)</f>
        <v/>
      </c>
      <c r="ER15" s="20">
        <f>IF(Simulation!ER15&lt;Obligors!$I$15,1,0)</f>
        <v/>
      </c>
      <c r="ES15" s="20">
        <f>IF(Simulation!ES15&lt;Obligors!$I$15,1,0)</f>
        <v/>
      </c>
      <c r="ET15" s="20">
        <f>IF(Simulation!ET15&lt;Obligors!$I$15,1,0)</f>
        <v/>
      </c>
      <c r="EU15" s="20">
        <f>IF(Simulation!EU15&lt;Obligors!$I$15,1,0)</f>
        <v/>
      </c>
      <c r="EV15" s="20">
        <f>IF(Simulation!EV15&lt;Obligors!$I$15,1,0)</f>
        <v/>
      </c>
      <c r="EW15" s="20">
        <f>IF(Simulation!EW15&lt;Obligors!$I$15,1,0)</f>
        <v/>
      </c>
      <c r="EX15" s="20">
        <f>IF(Simulation!EX15&lt;Obligors!$I$15,1,0)</f>
        <v/>
      </c>
      <c r="EY15" s="20">
        <f>IF(Simulation!EY15&lt;Obligors!$I$15,1,0)</f>
        <v/>
      </c>
      <c r="EZ15" s="20">
        <f>IF(Simulation!EZ15&lt;Obligors!$I$15,1,0)</f>
        <v/>
      </c>
      <c r="FA15" s="20">
        <f>IF(Simulation!FA15&lt;Obligors!$I$15,1,0)</f>
        <v/>
      </c>
      <c r="FB15" s="20">
        <f>IF(Simulation!FB15&lt;Obligors!$I$15,1,0)</f>
        <v/>
      </c>
      <c r="FC15" s="20">
        <f>IF(Simulation!FC15&lt;Obligors!$I$15,1,0)</f>
        <v/>
      </c>
      <c r="FD15" s="20">
        <f>IF(Simulation!FD15&lt;Obligors!$I$15,1,0)</f>
        <v/>
      </c>
      <c r="FE15" s="20">
        <f>IF(Simulation!FE15&lt;Obligors!$I$15,1,0)</f>
        <v/>
      </c>
      <c r="FF15" s="20">
        <f>IF(Simulation!FF15&lt;Obligors!$I$15,1,0)</f>
        <v/>
      </c>
      <c r="FG15" s="20">
        <f>IF(Simulation!FG15&lt;Obligors!$I$15,1,0)</f>
        <v/>
      </c>
      <c r="FH15" s="20">
        <f>IF(Simulation!FH15&lt;Obligors!$I$15,1,0)</f>
        <v/>
      </c>
      <c r="FI15" s="20">
        <f>IF(Simulation!FI15&lt;Obligors!$I$15,1,0)</f>
        <v/>
      </c>
      <c r="FJ15" s="20">
        <f>IF(Simulation!FJ15&lt;Obligors!$I$15,1,0)</f>
        <v/>
      </c>
      <c r="FK15" s="20">
        <f>IF(Simulation!FK15&lt;Obligors!$I$15,1,0)</f>
        <v/>
      </c>
      <c r="FL15" s="20">
        <f>IF(Simulation!FL15&lt;Obligors!$I$15,1,0)</f>
        <v/>
      </c>
      <c r="FM15" s="20">
        <f>IF(Simulation!FM15&lt;Obligors!$I$15,1,0)</f>
        <v/>
      </c>
      <c r="FN15" s="20">
        <f>IF(Simulation!FN15&lt;Obligors!$I$15,1,0)</f>
        <v/>
      </c>
      <c r="FO15" s="20">
        <f>IF(Simulation!FO15&lt;Obligors!$I$15,1,0)</f>
        <v/>
      </c>
      <c r="FP15" s="20">
        <f>IF(Simulation!FP15&lt;Obligors!$I$15,1,0)</f>
        <v/>
      </c>
      <c r="FQ15" s="20">
        <f>IF(Simulation!FQ15&lt;Obligors!$I$15,1,0)</f>
        <v/>
      </c>
      <c r="FR15" s="20">
        <f>IF(Simulation!FR15&lt;Obligors!$I$15,1,0)</f>
        <v/>
      </c>
      <c r="FS15" s="20">
        <f>IF(Simulation!FS15&lt;Obligors!$I$15,1,0)</f>
        <v/>
      </c>
      <c r="FT15" s="20">
        <f>IF(Simulation!FT15&lt;Obligors!$I$15,1,0)</f>
        <v/>
      </c>
      <c r="FU15" s="20">
        <f>IF(Simulation!FU15&lt;Obligors!$I$15,1,0)</f>
        <v/>
      </c>
      <c r="FV15" s="20">
        <f>IF(Simulation!FV15&lt;Obligors!$I$15,1,0)</f>
        <v/>
      </c>
      <c r="FW15" s="20">
        <f>IF(Simulation!FW15&lt;Obligors!$I$15,1,0)</f>
        <v/>
      </c>
      <c r="FX15" s="20">
        <f>IF(Simulation!FX15&lt;Obligors!$I$15,1,0)</f>
        <v/>
      </c>
      <c r="FY15" s="20">
        <f>IF(Simulation!FY15&lt;Obligors!$I$15,1,0)</f>
        <v/>
      </c>
      <c r="FZ15" s="20">
        <f>IF(Simulation!FZ15&lt;Obligors!$I$15,1,0)</f>
        <v/>
      </c>
      <c r="GA15" s="20">
        <f>IF(Simulation!GA15&lt;Obligors!$I$15,1,0)</f>
        <v/>
      </c>
      <c r="GB15" s="20">
        <f>IF(Simulation!GB15&lt;Obligors!$I$15,1,0)</f>
        <v/>
      </c>
      <c r="GC15" s="20">
        <f>IF(Simulation!GC15&lt;Obligors!$I$15,1,0)</f>
        <v/>
      </c>
      <c r="GD15" s="20">
        <f>IF(Simulation!GD15&lt;Obligors!$I$15,1,0)</f>
        <v/>
      </c>
      <c r="GE15" s="20">
        <f>IF(Simulation!GE15&lt;Obligors!$I$15,1,0)</f>
        <v/>
      </c>
      <c r="GF15" s="20">
        <f>IF(Simulation!GF15&lt;Obligors!$I$15,1,0)</f>
        <v/>
      </c>
      <c r="GG15" s="20">
        <f>IF(Simulation!GG15&lt;Obligors!$I$15,1,0)</f>
        <v/>
      </c>
      <c r="GH15" s="20">
        <f>IF(Simulation!GH15&lt;Obligors!$I$15,1,0)</f>
        <v/>
      </c>
      <c r="GI15" s="20">
        <f>IF(Simulation!GI15&lt;Obligors!$I$15,1,0)</f>
        <v/>
      </c>
      <c r="GJ15" s="20">
        <f>IF(Simulation!GJ15&lt;Obligors!$I$15,1,0)</f>
        <v/>
      </c>
      <c r="GK15" s="20">
        <f>IF(Simulation!GK15&lt;Obligors!$I$15,1,0)</f>
        <v/>
      </c>
      <c r="GL15" s="20">
        <f>IF(Simulation!GL15&lt;Obligors!$I$15,1,0)</f>
        <v/>
      </c>
      <c r="GM15" s="20">
        <f>IF(Simulation!GM15&lt;Obligors!$I$15,1,0)</f>
        <v/>
      </c>
      <c r="GN15" s="20">
        <f>IF(Simulation!GN15&lt;Obligors!$I$15,1,0)</f>
        <v/>
      </c>
      <c r="GO15" s="20">
        <f>IF(Simulation!GO15&lt;Obligors!$I$15,1,0)</f>
        <v/>
      </c>
      <c r="GP15" s="20">
        <f>IF(Simulation!GP15&lt;Obligors!$I$15,1,0)</f>
        <v/>
      </c>
      <c r="GQ15" s="20">
        <f>IF(Simulation!GQ15&lt;Obligors!$I$15,1,0)</f>
        <v/>
      </c>
      <c r="GR15" s="20">
        <f>IF(Simulation!GR15&lt;Obligors!$I$15,1,0)</f>
        <v/>
      </c>
      <c r="GS15" s="20">
        <f>IF(Simulation!GS15&lt;Obligors!$I$15,1,0)</f>
        <v/>
      </c>
      <c r="GT15" s="20">
        <f>IF(Simulation!GT15&lt;Obligors!$I$15,1,0)</f>
        <v/>
      </c>
      <c r="GU15" s="20">
        <f>IF(Simulation!GU15&lt;Obligors!$I$15,1,0)</f>
        <v/>
      </c>
      <c r="GV15" s="20">
        <f>IF(Simulation!GV15&lt;Obligors!$I$15,1,0)</f>
        <v/>
      </c>
      <c r="GW15" s="20">
        <f>IF(Simulation!GW15&lt;Obligors!$I$15,1,0)</f>
        <v/>
      </c>
      <c r="GX15" s="20">
        <f>IF(Simulation!GX15&lt;Obligors!$I$15,1,0)</f>
        <v/>
      </c>
      <c r="GY15" s="20">
        <f>IF(Simulation!GY15&lt;Obligors!$I$15,1,0)</f>
        <v/>
      </c>
      <c r="GZ15" s="20">
        <f>IF(Simulation!GZ15&lt;Obligors!$I$15,1,0)</f>
        <v/>
      </c>
      <c r="HA15" s="20">
        <f>IF(Simulation!HA15&lt;Obligors!$I$15,1,0)</f>
        <v/>
      </c>
      <c r="HB15" s="20">
        <f>IF(Simulation!HB15&lt;Obligors!$I$15,1,0)</f>
        <v/>
      </c>
      <c r="HC15" s="20">
        <f>IF(Simulation!HC15&lt;Obligors!$I$15,1,0)</f>
        <v/>
      </c>
      <c r="HD15" s="20">
        <f>IF(Simulation!HD15&lt;Obligors!$I$15,1,0)</f>
        <v/>
      </c>
      <c r="HE15" s="20">
        <f>IF(Simulation!HE15&lt;Obligors!$I$15,1,0)</f>
        <v/>
      </c>
      <c r="HF15" s="20">
        <f>IF(Simulation!HF15&lt;Obligors!$I$15,1,0)</f>
        <v/>
      </c>
      <c r="HG15" s="20">
        <f>IF(Simulation!HG15&lt;Obligors!$I$15,1,0)</f>
        <v/>
      </c>
      <c r="HH15" s="20">
        <f>IF(Simulation!HH15&lt;Obligors!$I$15,1,0)</f>
        <v/>
      </c>
      <c r="HI15" s="20">
        <f>IF(Simulation!HI15&lt;Obligors!$I$15,1,0)</f>
        <v/>
      </c>
      <c r="HJ15" s="20">
        <f>IF(Simulation!HJ15&lt;Obligors!$I$15,1,0)</f>
        <v/>
      </c>
      <c r="HK15" s="20">
        <f>IF(Simulation!HK15&lt;Obligors!$I$15,1,0)</f>
        <v/>
      </c>
      <c r="HL15" s="20">
        <f>IF(Simulation!HL15&lt;Obligors!$I$15,1,0)</f>
        <v/>
      </c>
      <c r="HM15" s="20">
        <f>IF(Simulation!HM15&lt;Obligors!$I$15,1,0)</f>
        <v/>
      </c>
      <c r="HN15" s="20">
        <f>IF(Simulation!HN15&lt;Obligors!$I$15,1,0)</f>
        <v/>
      </c>
      <c r="HO15" s="20">
        <f>IF(Simulation!HO15&lt;Obligors!$I$15,1,0)</f>
        <v/>
      </c>
      <c r="HP15" s="20">
        <f>IF(Simulation!HP15&lt;Obligors!$I$15,1,0)</f>
        <v/>
      </c>
      <c r="HQ15" s="20">
        <f>IF(Simulation!HQ15&lt;Obligors!$I$15,1,0)</f>
        <v/>
      </c>
      <c r="HR15" s="20">
        <f>IF(Simulation!HR15&lt;Obligors!$I$15,1,0)</f>
        <v/>
      </c>
      <c r="HS15" s="20">
        <f>IF(Simulation!HS15&lt;Obligors!$I$15,1,0)</f>
        <v/>
      </c>
      <c r="HT15" s="20">
        <f>IF(Simulation!HT15&lt;Obligors!$I$15,1,0)</f>
        <v/>
      </c>
      <c r="HU15" s="20">
        <f>IF(Simulation!HU15&lt;Obligors!$I$15,1,0)</f>
        <v/>
      </c>
      <c r="HV15" s="20">
        <f>IF(Simulation!HV15&lt;Obligors!$I$15,1,0)</f>
        <v/>
      </c>
      <c r="HW15" s="20">
        <f>IF(Simulation!HW15&lt;Obligors!$I$15,1,0)</f>
        <v/>
      </c>
      <c r="HX15" s="20">
        <f>IF(Simulation!HX15&lt;Obligors!$I$15,1,0)</f>
        <v/>
      </c>
      <c r="HY15" s="20">
        <f>IF(Simulation!HY15&lt;Obligors!$I$15,1,0)</f>
        <v/>
      </c>
      <c r="HZ15" s="20">
        <f>IF(Simulation!HZ15&lt;Obligors!$I$15,1,0)</f>
        <v/>
      </c>
      <c r="IA15" s="20">
        <f>IF(Simulation!IA15&lt;Obligors!$I$15,1,0)</f>
        <v/>
      </c>
      <c r="IB15" s="20">
        <f>IF(Simulation!IB15&lt;Obligors!$I$15,1,0)</f>
        <v/>
      </c>
      <c r="IC15" s="20">
        <f>IF(Simulation!IC15&lt;Obligors!$I$15,1,0)</f>
        <v/>
      </c>
      <c r="ID15" s="20">
        <f>IF(Simulation!ID15&lt;Obligors!$I$15,1,0)</f>
        <v/>
      </c>
      <c r="IE15" s="20">
        <f>IF(Simulation!IE15&lt;Obligors!$I$15,1,0)</f>
        <v/>
      </c>
      <c r="IF15" s="20">
        <f>IF(Simulation!IF15&lt;Obligors!$I$15,1,0)</f>
        <v/>
      </c>
      <c r="IG15" s="20">
        <f>IF(Simulation!IG15&lt;Obligors!$I$15,1,0)</f>
        <v/>
      </c>
      <c r="IH15" s="20">
        <f>IF(Simulation!IH15&lt;Obligors!$I$15,1,0)</f>
        <v/>
      </c>
      <c r="II15" s="20">
        <f>IF(Simulation!II15&lt;Obligors!$I$15,1,0)</f>
        <v/>
      </c>
      <c r="IJ15" s="20">
        <f>IF(Simulation!IJ15&lt;Obligors!$I$15,1,0)</f>
        <v/>
      </c>
      <c r="IK15" s="20">
        <f>IF(Simulation!IK15&lt;Obligors!$I$15,1,0)</f>
        <v/>
      </c>
      <c r="IL15" s="20">
        <f>IF(Simulation!IL15&lt;Obligors!$I$15,1,0)</f>
        <v/>
      </c>
      <c r="IM15" s="20">
        <f>IF(Simulation!IM15&lt;Obligors!$I$15,1,0)</f>
        <v/>
      </c>
      <c r="IN15" s="20">
        <f>IF(Simulation!IN15&lt;Obligors!$I$15,1,0)</f>
        <v/>
      </c>
      <c r="IO15" s="20">
        <f>IF(Simulation!IO15&lt;Obligors!$I$15,1,0)</f>
        <v/>
      </c>
      <c r="IP15" s="20">
        <f>IF(Simulation!IP15&lt;Obligors!$I$15,1,0)</f>
        <v/>
      </c>
      <c r="IQ15" s="20">
        <f>IF(Simulation!IQ15&lt;Obligors!$I$15,1,0)</f>
        <v/>
      </c>
      <c r="IR15" s="20">
        <f>IF(Simulation!IR15&lt;Obligors!$I$15,1,0)</f>
        <v/>
      </c>
      <c r="IS15" s="20">
        <f>IF(Simulation!IS15&lt;Obligors!$I$15,1,0)</f>
        <v/>
      </c>
      <c r="IT15" s="20">
        <f>IF(Simulation!IT15&lt;Obligors!$I$15,1,0)</f>
        <v/>
      </c>
      <c r="IU15" s="20">
        <f>IF(Simulation!IU15&lt;Obligors!$I$15,1,0)</f>
        <v/>
      </c>
      <c r="IV15" s="20">
        <f>IF(Simulation!IV15&lt;Obligors!$I$15,1,0)</f>
        <v/>
      </c>
      <c r="IW15" s="20">
        <f>IF(Simulation!IW15&lt;Obligors!$I$15,1,0)</f>
        <v/>
      </c>
      <c r="IX15" s="20">
        <f>IF(Simulation!IX15&lt;Obligors!$I$15,1,0)</f>
        <v/>
      </c>
      <c r="IY15" s="20">
        <f>IF(Simulation!IY15&lt;Obligors!$I$15,1,0)</f>
        <v/>
      </c>
      <c r="IZ15" s="20">
        <f>IF(Simulation!IZ15&lt;Obligors!$I$15,1,0)</f>
        <v/>
      </c>
      <c r="JA15" s="20">
        <f>IF(Simulation!JA15&lt;Obligors!$I$15,1,0)</f>
        <v/>
      </c>
      <c r="JB15" s="20">
        <f>IF(Simulation!JB15&lt;Obligors!$I$15,1,0)</f>
        <v/>
      </c>
      <c r="JC15" s="20">
        <f>IF(Simulation!JC15&lt;Obligors!$I$15,1,0)</f>
        <v/>
      </c>
      <c r="JD15" s="20">
        <f>IF(Simulation!JD15&lt;Obligors!$I$15,1,0)</f>
        <v/>
      </c>
      <c r="JE15" s="20">
        <f>IF(Simulation!JE15&lt;Obligors!$I$15,1,0)</f>
        <v/>
      </c>
      <c r="JF15" s="20">
        <f>IF(Simulation!JF15&lt;Obligors!$I$15,1,0)</f>
        <v/>
      </c>
      <c r="JG15" s="20">
        <f>IF(Simulation!JG15&lt;Obligors!$I$15,1,0)</f>
        <v/>
      </c>
      <c r="JH15" s="20">
        <f>IF(Simulation!JH15&lt;Obligors!$I$15,1,0)</f>
        <v/>
      </c>
      <c r="JI15" s="20">
        <f>IF(Simulation!JI15&lt;Obligors!$I$15,1,0)</f>
        <v/>
      </c>
      <c r="JJ15" s="20">
        <f>IF(Simulation!JJ15&lt;Obligors!$I$15,1,0)</f>
        <v/>
      </c>
      <c r="JK15" s="20">
        <f>IF(Simulation!JK15&lt;Obligors!$I$15,1,0)</f>
        <v/>
      </c>
      <c r="JL15" s="20">
        <f>IF(Simulation!JL15&lt;Obligors!$I$15,1,0)</f>
        <v/>
      </c>
      <c r="JM15" s="20">
        <f>IF(Simulation!JM15&lt;Obligors!$I$15,1,0)</f>
        <v/>
      </c>
      <c r="JN15" s="20">
        <f>IF(Simulation!JN15&lt;Obligors!$I$15,1,0)</f>
        <v/>
      </c>
      <c r="JO15" s="20">
        <f>IF(Simulation!JO15&lt;Obligors!$I$15,1,0)</f>
        <v/>
      </c>
      <c r="JP15" s="20">
        <f>IF(Simulation!JP15&lt;Obligors!$I$15,1,0)</f>
        <v/>
      </c>
      <c r="JQ15" s="20">
        <f>IF(Simulation!JQ15&lt;Obligors!$I$15,1,0)</f>
        <v/>
      </c>
      <c r="JR15" s="20">
        <f>IF(Simulation!JR15&lt;Obligors!$I$15,1,0)</f>
        <v/>
      </c>
      <c r="JS15" s="20">
        <f>IF(Simulation!JS15&lt;Obligors!$I$15,1,0)</f>
        <v/>
      </c>
      <c r="JT15" s="20">
        <f>IF(Simulation!JT15&lt;Obligors!$I$15,1,0)</f>
        <v/>
      </c>
      <c r="JU15" s="20">
        <f>IF(Simulation!JU15&lt;Obligors!$I$15,1,0)</f>
        <v/>
      </c>
      <c r="JV15" s="20">
        <f>IF(Simulation!JV15&lt;Obligors!$I$15,1,0)</f>
        <v/>
      </c>
      <c r="JW15" s="20">
        <f>IF(Simulation!JW15&lt;Obligors!$I$15,1,0)</f>
        <v/>
      </c>
      <c r="JX15" s="20">
        <f>IF(Simulation!JX15&lt;Obligors!$I$15,1,0)</f>
        <v/>
      </c>
      <c r="JY15" s="20">
        <f>IF(Simulation!JY15&lt;Obligors!$I$15,1,0)</f>
        <v/>
      </c>
      <c r="JZ15" s="20">
        <f>IF(Simulation!JZ15&lt;Obligors!$I$15,1,0)</f>
        <v/>
      </c>
      <c r="KA15" s="20">
        <f>IF(Simulation!KA15&lt;Obligors!$I$15,1,0)</f>
        <v/>
      </c>
      <c r="KB15" s="20">
        <f>IF(Simulation!KB15&lt;Obligors!$I$15,1,0)</f>
        <v/>
      </c>
      <c r="KC15" s="20">
        <f>IF(Simulation!KC15&lt;Obligors!$I$15,1,0)</f>
        <v/>
      </c>
      <c r="KD15" s="20">
        <f>IF(Simulation!KD15&lt;Obligors!$I$15,1,0)</f>
        <v/>
      </c>
      <c r="KE15" s="20">
        <f>IF(Simulation!KE15&lt;Obligors!$I$15,1,0)</f>
        <v/>
      </c>
      <c r="KF15" s="20">
        <f>IF(Simulation!KF15&lt;Obligors!$I$15,1,0)</f>
        <v/>
      </c>
      <c r="KG15" s="20">
        <f>IF(Simulation!KG15&lt;Obligors!$I$15,1,0)</f>
        <v/>
      </c>
      <c r="KH15" s="20">
        <f>IF(Simulation!KH15&lt;Obligors!$I$15,1,0)</f>
        <v/>
      </c>
      <c r="KI15" s="20">
        <f>IF(Simulation!KI15&lt;Obligors!$I$15,1,0)</f>
        <v/>
      </c>
      <c r="KJ15" s="20">
        <f>IF(Simulation!KJ15&lt;Obligors!$I$15,1,0)</f>
        <v/>
      </c>
      <c r="KK15" s="20">
        <f>IF(Simulation!KK15&lt;Obligors!$I$15,1,0)</f>
        <v/>
      </c>
      <c r="KL15" s="20">
        <f>IF(Simulation!KL15&lt;Obligors!$I$15,1,0)</f>
        <v/>
      </c>
      <c r="KM15" s="20">
        <f>IF(Simulation!KM15&lt;Obligors!$I$15,1,0)</f>
        <v/>
      </c>
      <c r="KN15" s="20">
        <f>IF(Simulation!KN15&lt;Obligors!$I$15,1,0)</f>
        <v/>
      </c>
      <c r="KO15" s="20">
        <f>IF(Simulation!KO15&lt;Obligors!$I$15,1,0)</f>
        <v/>
      </c>
      <c r="KP15" s="20">
        <f>IF(Simulation!KP15&lt;Obligors!$I$15,1,0)</f>
        <v/>
      </c>
      <c r="KQ15" s="20">
        <f>IF(Simulation!KQ15&lt;Obligors!$I$15,1,0)</f>
        <v/>
      </c>
      <c r="KR15" s="20">
        <f>IF(Simulation!KR15&lt;Obligors!$I$15,1,0)</f>
        <v/>
      </c>
      <c r="KS15" s="20">
        <f>IF(Simulation!KS15&lt;Obligors!$I$15,1,0)</f>
        <v/>
      </c>
      <c r="KT15" s="20">
        <f>IF(Simulation!KT15&lt;Obligors!$I$15,1,0)</f>
        <v/>
      </c>
      <c r="KU15" s="20">
        <f>IF(Simulation!KU15&lt;Obligors!$I$15,1,0)</f>
        <v/>
      </c>
      <c r="KV15" s="20">
        <f>IF(Simulation!KV15&lt;Obligors!$I$15,1,0)</f>
        <v/>
      </c>
      <c r="KW15" s="20">
        <f>IF(Simulation!KW15&lt;Obligors!$I$15,1,0)</f>
        <v/>
      </c>
      <c r="KX15" s="20">
        <f>IF(Simulation!KX15&lt;Obligors!$I$15,1,0)</f>
        <v/>
      </c>
      <c r="KY15" s="20">
        <f>IF(Simulation!KY15&lt;Obligors!$I$15,1,0)</f>
        <v/>
      </c>
      <c r="KZ15" s="20">
        <f>IF(Simulation!KZ15&lt;Obligors!$I$15,1,0)</f>
        <v/>
      </c>
      <c r="LA15" s="20">
        <f>IF(Simulation!LA15&lt;Obligors!$I$15,1,0)</f>
        <v/>
      </c>
      <c r="LB15" s="20">
        <f>IF(Simulation!LB15&lt;Obligors!$I$15,1,0)</f>
        <v/>
      </c>
      <c r="LC15" s="20">
        <f>IF(Simulation!LC15&lt;Obligors!$I$15,1,0)</f>
        <v/>
      </c>
      <c r="LD15" s="20">
        <f>IF(Simulation!LD15&lt;Obligors!$I$15,1,0)</f>
        <v/>
      </c>
      <c r="LE15" s="20">
        <f>IF(Simulation!LE15&lt;Obligors!$I$15,1,0)</f>
        <v/>
      </c>
      <c r="LF15" s="20">
        <f>IF(Simulation!LF15&lt;Obligors!$I$15,1,0)</f>
        <v/>
      </c>
      <c r="LG15" s="20">
        <f>IF(Simulation!LG15&lt;Obligors!$I$15,1,0)</f>
        <v/>
      </c>
      <c r="LH15" s="20">
        <f>IF(Simulation!LH15&lt;Obligors!$I$15,1,0)</f>
        <v/>
      </c>
      <c r="LI15" s="20">
        <f>IF(Simulation!LI15&lt;Obligors!$I$15,1,0)</f>
        <v/>
      </c>
      <c r="LJ15" s="20">
        <f>IF(Simulation!LJ15&lt;Obligors!$I$15,1,0)</f>
        <v/>
      </c>
      <c r="LK15" s="20">
        <f>IF(Simulation!LK15&lt;Obligors!$I$15,1,0)</f>
        <v/>
      </c>
      <c r="LL15" s="20">
        <f>IF(Simulation!LL15&lt;Obligors!$I$15,1,0)</f>
        <v/>
      </c>
      <c r="LM15" s="20">
        <f>IF(Simulation!LM15&lt;Obligors!$I$15,1,0)</f>
        <v/>
      </c>
      <c r="LN15" s="20">
        <f>IF(Simulation!LN15&lt;Obligors!$I$15,1,0)</f>
        <v/>
      </c>
      <c r="LO15" s="20">
        <f>IF(Simulation!LO15&lt;Obligors!$I$15,1,0)</f>
        <v/>
      </c>
      <c r="LP15" s="20">
        <f>IF(Simulation!LP15&lt;Obligors!$I$15,1,0)</f>
        <v/>
      </c>
      <c r="LQ15" s="20">
        <f>IF(Simulation!LQ15&lt;Obligors!$I$15,1,0)</f>
        <v/>
      </c>
      <c r="LR15" s="20">
        <f>IF(Simulation!LR15&lt;Obligors!$I$15,1,0)</f>
        <v/>
      </c>
      <c r="LS15" s="20">
        <f>IF(Simulation!LS15&lt;Obligors!$I$15,1,0)</f>
        <v/>
      </c>
      <c r="LT15" s="20">
        <f>IF(Simulation!LT15&lt;Obligors!$I$15,1,0)</f>
        <v/>
      </c>
      <c r="LU15" s="20">
        <f>IF(Simulation!LU15&lt;Obligors!$I$15,1,0)</f>
        <v/>
      </c>
      <c r="LV15" s="20">
        <f>IF(Simulation!LV15&lt;Obligors!$I$15,1,0)</f>
        <v/>
      </c>
      <c r="LW15" s="20">
        <f>IF(Simulation!LW15&lt;Obligors!$I$15,1,0)</f>
        <v/>
      </c>
      <c r="LX15" s="20">
        <f>IF(Simulation!LX15&lt;Obligors!$I$15,1,0)</f>
        <v/>
      </c>
      <c r="LY15" s="20">
        <f>IF(Simulation!LY15&lt;Obligors!$I$15,1,0)</f>
        <v/>
      </c>
      <c r="LZ15" s="20">
        <f>IF(Simulation!LZ15&lt;Obligors!$I$15,1,0)</f>
        <v/>
      </c>
      <c r="MA15" s="20">
        <f>IF(Simulation!MA15&lt;Obligors!$I$15,1,0)</f>
        <v/>
      </c>
      <c r="MB15" s="20">
        <f>IF(Simulation!MB15&lt;Obligors!$I$15,1,0)</f>
        <v/>
      </c>
      <c r="MC15" s="20">
        <f>IF(Simulation!MC15&lt;Obligors!$I$15,1,0)</f>
        <v/>
      </c>
      <c r="MD15" s="20">
        <f>IF(Simulation!MD15&lt;Obligors!$I$15,1,0)</f>
        <v/>
      </c>
      <c r="ME15" s="20">
        <f>IF(Simulation!ME15&lt;Obligors!$I$15,1,0)</f>
        <v/>
      </c>
      <c r="MF15" s="20">
        <f>IF(Simulation!MF15&lt;Obligors!$I$15,1,0)</f>
        <v/>
      </c>
      <c r="MG15" s="20">
        <f>IF(Simulation!MG15&lt;Obligors!$I$15,1,0)</f>
        <v/>
      </c>
      <c r="MH15" s="20">
        <f>IF(Simulation!MH15&lt;Obligors!$I$15,1,0)</f>
        <v/>
      </c>
      <c r="MI15" s="20">
        <f>IF(Simulation!MI15&lt;Obligors!$I$15,1,0)</f>
        <v/>
      </c>
      <c r="MJ15" s="20">
        <f>IF(Simulation!MJ15&lt;Obligors!$I$15,1,0)</f>
        <v/>
      </c>
      <c r="MK15" s="20">
        <f>IF(Simulation!MK15&lt;Obligors!$I$15,1,0)</f>
        <v/>
      </c>
      <c r="ML15" s="20">
        <f>IF(Simulation!ML15&lt;Obligors!$I$15,1,0)</f>
        <v/>
      </c>
      <c r="MM15" s="20">
        <f>IF(Simulation!MM15&lt;Obligors!$I$15,1,0)</f>
        <v/>
      </c>
      <c r="MN15" s="20">
        <f>IF(Simulation!MN15&lt;Obligors!$I$15,1,0)</f>
        <v/>
      </c>
      <c r="MO15" s="20">
        <f>IF(Simulation!MO15&lt;Obligors!$I$15,1,0)</f>
        <v/>
      </c>
      <c r="MP15" s="20">
        <f>IF(Simulation!MP15&lt;Obligors!$I$15,1,0)</f>
        <v/>
      </c>
      <c r="MQ15" s="20">
        <f>IF(Simulation!MQ15&lt;Obligors!$I$15,1,0)</f>
        <v/>
      </c>
      <c r="MR15" s="20">
        <f>IF(Simulation!MR15&lt;Obligors!$I$15,1,0)</f>
        <v/>
      </c>
      <c r="MS15" s="20">
        <f>IF(Simulation!MS15&lt;Obligors!$I$15,1,0)</f>
        <v/>
      </c>
      <c r="MT15" s="20">
        <f>IF(Simulation!MT15&lt;Obligors!$I$15,1,0)</f>
        <v/>
      </c>
      <c r="MU15" s="20">
        <f>IF(Simulation!MU15&lt;Obligors!$I$15,1,0)</f>
        <v/>
      </c>
      <c r="MV15" s="20">
        <f>IF(Simulation!MV15&lt;Obligors!$I$15,1,0)</f>
        <v/>
      </c>
      <c r="MW15" s="20">
        <f>IF(Simulation!MW15&lt;Obligors!$I$15,1,0)</f>
        <v/>
      </c>
      <c r="MX15" s="20">
        <f>IF(Simulation!MX15&lt;Obligors!$I$15,1,0)</f>
        <v/>
      </c>
      <c r="MY15" s="20">
        <f>IF(Simulation!MY15&lt;Obligors!$I$15,1,0)</f>
        <v/>
      </c>
      <c r="MZ15" s="20">
        <f>IF(Simulation!MZ15&lt;Obligors!$I$15,1,0)</f>
        <v/>
      </c>
      <c r="NA15" s="20">
        <f>IF(Simulation!NA15&lt;Obligors!$I$15,1,0)</f>
        <v/>
      </c>
      <c r="NB15" s="20">
        <f>IF(Simulation!NB15&lt;Obligors!$I$15,1,0)</f>
        <v/>
      </c>
      <c r="NC15" s="20">
        <f>IF(Simulation!NC15&lt;Obligors!$I$15,1,0)</f>
        <v/>
      </c>
      <c r="ND15" s="20">
        <f>IF(Simulation!ND15&lt;Obligors!$I$15,1,0)</f>
        <v/>
      </c>
      <c r="NE15" s="20">
        <f>IF(Simulation!NE15&lt;Obligors!$I$15,1,0)</f>
        <v/>
      </c>
      <c r="NF15" s="20">
        <f>IF(Simulation!NF15&lt;Obligors!$I$15,1,0)</f>
        <v/>
      </c>
      <c r="NG15" s="20">
        <f>IF(Simulation!NG15&lt;Obligors!$I$15,1,0)</f>
        <v/>
      </c>
      <c r="NH15" s="20">
        <f>IF(Simulation!NH15&lt;Obligors!$I$15,1,0)</f>
        <v/>
      </c>
      <c r="NI15" s="20">
        <f>IF(Simulation!NI15&lt;Obligors!$I$15,1,0)</f>
        <v/>
      </c>
      <c r="NJ15" s="20">
        <f>IF(Simulation!NJ15&lt;Obligors!$I$15,1,0)</f>
        <v/>
      </c>
      <c r="NK15" s="20">
        <f>IF(Simulation!NK15&lt;Obligors!$I$15,1,0)</f>
        <v/>
      </c>
      <c r="NL15" s="20">
        <f>IF(Simulation!NL15&lt;Obligors!$I$15,1,0)</f>
        <v/>
      </c>
      <c r="NM15" s="20">
        <f>IF(Simulation!NM15&lt;Obligors!$I$15,1,0)</f>
        <v/>
      </c>
      <c r="NN15" s="20">
        <f>IF(Simulation!NN15&lt;Obligors!$I$15,1,0)</f>
        <v/>
      </c>
      <c r="NO15" s="20">
        <f>IF(Simulation!NO15&lt;Obligors!$I$15,1,0)</f>
        <v/>
      </c>
      <c r="NP15" s="20">
        <f>IF(Simulation!NP15&lt;Obligors!$I$15,1,0)</f>
        <v/>
      </c>
      <c r="NQ15" s="20">
        <f>IF(Simulation!NQ15&lt;Obligors!$I$15,1,0)</f>
        <v/>
      </c>
      <c r="NR15" s="20">
        <f>IF(Simulation!NR15&lt;Obligors!$I$15,1,0)</f>
        <v/>
      </c>
      <c r="NS15" s="20">
        <f>IF(Simulation!NS15&lt;Obligors!$I$15,1,0)</f>
        <v/>
      </c>
      <c r="NT15" s="20">
        <f>IF(Simulation!NT15&lt;Obligors!$I$15,1,0)</f>
        <v/>
      </c>
      <c r="NU15" s="20">
        <f>IF(Simulation!NU15&lt;Obligors!$I$15,1,0)</f>
        <v/>
      </c>
      <c r="NV15" s="20">
        <f>IF(Simulation!NV15&lt;Obligors!$I$15,1,0)</f>
        <v/>
      </c>
      <c r="NW15" s="20">
        <f>IF(Simulation!NW15&lt;Obligors!$I$15,1,0)</f>
        <v/>
      </c>
      <c r="NX15" s="20">
        <f>IF(Simulation!NX15&lt;Obligors!$I$15,1,0)</f>
        <v/>
      </c>
      <c r="NY15" s="20">
        <f>IF(Simulation!NY15&lt;Obligors!$I$15,1,0)</f>
        <v/>
      </c>
      <c r="NZ15" s="20">
        <f>IF(Simulation!NZ15&lt;Obligors!$I$15,1,0)</f>
        <v/>
      </c>
      <c r="OA15" s="20">
        <f>IF(Simulation!OA15&lt;Obligors!$I$15,1,0)</f>
        <v/>
      </c>
      <c r="OB15" s="20">
        <f>IF(Simulation!OB15&lt;Obligors!$I$15,1,0)</f>
        <v/>
      </c>
      <c r="OC15" s="20">
        <f>IF(Simulation!OC15&lt;Obligors!$I$15,1,0)</f>
        <v/>
      </c>
      <c r="OD15" s="20">
        <f>IF(Simulation!OD15&lt;Obligors!$I$15,1,0)</f>
        <v/>
      </c>
      <c r="OE15" s="20">
        <f>IF(Simulation!OE15&lt;Obligors!$I$15,1,0)</f>
        <v/>
      </c>
      <c r="OF15" s="20">
        <f>IF(Simulation!OF15&lt;Obligors!$I$15,1,0)</f>
        <v/>
      </c>
      <c r="OG15" s="20">
        <f>IF(Simulation!OG15&lt;Obligors!$I$15,1,0)</f>
        <v/>
      </c>
      <c r="OH15" s="20">
        <f>IF(Simulation!OH15&lt;Obligors!$I$15,1,0)</f>
        <v/>
      </c>
      <c r="OI15" s="20">
        <f>IF(Simulation!OI15&lt;Obligors!$I$15,1,0)</f>
        <v/>
      </c>
      <c r="OJ15" s="20">
        <f>IF(Simulation!OJ15&lt;Obligors!$I$15,1,0)</f>
        <v/>
      </c>
      <c r="OK15" s="20">
        <f>IF(Simulation!OK15&lt;Obligors!$I$15,1,0)</f>
        <v/>
      </c>
      <c r="OL15" s="20">
        <f>IF(Simulation!OL15&lt;Obligors!$I$15,1,0)</f>
        <v/>
      </c>
      <c r="OM15" s="20">
        <f>IF(Simulation!OM15&lt;Obligors!$I$15,1,0)</f>
        <v/>
      </c>
      <c r="ON15" s="20">
        <f>IF(Simulation!ON15&lt;Obligors!$I$15,1,0)</f>
        <v/>
      </c>
      <c r="OO15" s="20">
        <f>IF(Simulation!OO15&lt;Obligors!$I$15,1,0)</f>
        <v/>
      </c>
      <c r="OP15" s="20">
        <f>IF(Simulation!OP15&lt;Obligors!$I$15,1,0)</f>
        <v/>
      </c>
      <c r="OQ15" s="20">
        <f>IF(Simulation!OQ15&lt;Obligors!$I$15,1,0)</f>
        <v/>
      </c>
      <c r="OR15" s="20">
        <f>IF(Simulation!OR15&lt;Obligors!$I$15,1,0)</f>
        <v/>
      </c>
      <c r="OS15" s="20">
        <f>IF(Simulation!OS15&lt;Obligors!$I$15,1,0)</f>
        <v/>
      </c>
      <c r="OT15" s="20">
        <f>IF(Simulation!OT15&lt;Obligors!$I$15,1,0)</f>
        <v/>
      </c>
      <c r="OU15" s="20">
        <f>IF(Simulation!OU15&lt;Obligors!$I$15,1,0)</f>
        <v/>
      </c>
      <c r="OV15" s="20">
        <f>IF(Simulation!OV15&lt;Obligors!$I$15,1,0)</f>
        <v/>
      </c>
      <c r="OW15" s="20">
        <f>IF(Simulation!OW15&lt;Obligors!$I$15,1,0)</f>
        <v/>
      </c>
      <c r="OX15" s="20">
        <f>IF(Simulation!OX15&lt;Obligors!$I$15,1,0)</f>
        <v/>
      </c>
      <c r="OY15" s="20">
        <f>IF(Simulation!OY15&lt;Obligors!$I$15,1,0)</f>
        <v/>
      </c>
      <c r="OZ15" s="20">
        <f>IF(Simulation!OZ15&lt;Obligors!$I$15,1,0)</f>
        <v/>
      </c>
      <c r="PA15" s="20">
        <f>IF(Simulation!PA15&lt;Obligors!$I$15,1,0)</f>
        <v/>
      </c>
      <c r="PB15" s="20">
        <f>IF(Simulation!PB15&lt;Obligors!$I$15,1,0)</f>
        <v/>
      </c>
      <c r="PC15" s="20">
        <f>IF(Simulation!PC15&lt;Obligors!$I$15,1,0)</f>
        <v/>
      </c>
      <c r="PD15" s="20">
        <f>IF(Simulation!PD15&lt;Obligors!$I$15,1,0)</f>
        <v/>
      </c>
      <c r="PE15" s="20">
        <f>IF(Simulation!PE15&lt;Obligors!$I$15,1,0)</f>
        <v/>
      </c>
      <c r="PF15" s="20">
        <f>IF(Simulation!PF15&lt;Obligors!$I$15,1,0)</f>
        <v/>
      </c>
      <c r="PG15" s="20">
        <f>IF(Simulation!PG15&lt;Obligors!$I$15,1,0)</f>
        <v/>
      </c>
      <c r="PH15" s="20">
        <f>IF(Simulation!PH15&lt;Obligors!$I$15,1,0)</f>
        <v/>
      </c>
      <c r="PI15" s="20">
        <f>IF(Simulation!PI15&lt;Obligors!$I$15,1,0)</f>
        <v/>
      </c>
      <c r="PJ15" s="20">
        <f>IF(Simulation!PJ15&lt;Obligors!$I$15,1,0)</f>
        <v/>
      </c>
      <c r="PK15" s="20">
        <f>IF(Simulation!PK15&lt;Obligors!$I$15,1,0)</f>
        <v/>
      </c>
      <c r="PL15" s="20">
        <f>IF(Simulation!PL15&lt;Obligors!$I$15,1,0)</f>
        <v/>
      </c>
      <c r="PM15" s="20">
        <f>IF(Simulation!PM15&lt;Obligors!$I$15,1,0)</f>
        <v/>
      </c>
      <c r="PN15" s="20">
        <f>IF(Simulation!PN15&lt;Obligors!$I$15,1,0)</f>
        <v/>
      </c>
      <c r="PO15" s="20">
        <f>IF(Simulation!PO15&lt;Obligors!$I$15,1,0)</f>
        <v/>
      </c>
      <c r="PP15" s="20">
        <f>IF(Simulation!PP15&lt;Obligors!$I$15,1,0)</f>
        <v/>
      </c>
      <c r="PQ15" s="20">
        <f>IF(Simulation!PQ15&lt;Obligors!$I$15,1,0)</f>
        <v/>
      </c>
      <c r="PR15" s="20">
        <f>IF(Simulation!PR15&lt;Obligors!$I$15,1,0)</f>
        <v/>
      </c>
      <c r="PS15" s="20">
        <f>IF(Simulation!PS15&lt;Obligors!$I$15,1,0)</f>
        <v/>
      </c>
      <c r="PT15" s="20">
        <f>IF(Simulation!PT15&lt;Obligors!$I$15,1,0)</f>
        <v/>
      </c>
      <c r="PU15" s="20">
        <f>IF(Simulation!PU15&lt;Obligors!$I$15,1,0)</f>
        <v/>
      </c>
      <c r="PV15" s="20">
        <f>IF(Simulation!PV15&lt;Obligors!$I$15,1,0)</f>
        <v/>
      </c>
      <c r="PW15" s="20">
        <f>IF(Simulation!PW15&lt;Obligors!$I$15,1,0)</f>
        <v/>
      </c>
      <c r="PX15" s="20">
        <f>IF(Simulation!PX15&lt;Obligors!$I$15,1,0)</f>
        <v/>
      </c>
      <c r="PY15" s="20">
        <f>IF(Simulation!PY15&lt;Obligors!$I$15,1,0)</f>
        <v/>
      </c>
      <c r="PZ15" s="20">
        <f>IF(Simulation!PZ15&lt;Obligors!$I$15,1,0)</f>
        <v/>
      </c>
      <c r="QA15" s="20">
        <f>IF(Simulation!QA15&lt;Obligors!$I$15,1,0)</f>
        <v/>
      </c>
      <c r="QB15" s="20">
        <f>IF(Simulation!QB15&lt;Obligors!$I$15,1,0)</f>
        <v/>
      </c>
      <c r="QC15" s="20">
        <f>IF(Simulation!QC15&lt;Obligors!$I$15,1,0)</f>
        <v/>
      </c>
      <c r="QD15" s="20">
        <f>IF(Simulation!QD15&lt;Obligors!$I$15,1,0)</f>
        <v/>
      </c>
      <c r="QE15" s="20">
        <f>IF(Simulation!QE15&lt;Obligors!$I$15,1,0)</f>
        <v/>
      </c>
      <c r="QF15" s="20">
        <f>IF(Simulation!QF15&lt;Obligors!$I$15,1,0)</f>
        <v/>
      </c>
      <c r="QG15" s="20">
        <f>IF(Simulation!QG15&lt;Obligors!$I$15,1,0)</f>
        <v/>
      </c>
      <c r="QH15" s="20">
        <f>IF(Simulation!QH15&lt;Obligors!$I$15,1,0)</f>
        <v/>
      </c>
      <c r="QI15" s="20">
        <f>IF(Simulation!QI15&lt;Obligors!$I$15,1,0)</f>
        <v/>
      </c>
      <c r="QJ15" s="20">
        <f>IF(Simulation!QJ15&lt;Obligors!$I$15,1,0)</f>
        <v/>
      </c>
      <c r="QK15" s="20">
        <f>IF(Simulation!QK15&lt;Obligors!$I$15,1,0)</f>
        <v/>
      </c>
      <c r="QL15" s="20">
        <f>IF(Simulation!QL15&lt;Obligors!$I$15,1,0)</f>
        <v/>
      </c>
      <c r="QM15" s="20">
        <f>IF(Simulation!QM15&lt;Obligors!$I$15,1,0)</f>
        <v/>
      </c>
      <c r="QN15" s="20">
        <f>IF(Simulation!QN15&lt;Obligors!$I$15,1,0)</f>
        <v/>
      </c>
      <c r="QO15" s="20">
        <f>IF(Simulation!QO15&lt;Obligors!$I$15,1,0)</f>
        <v/>
      </c>
      <c r="QP15" s="20">
        <f>IF(Simulation!QP15&lt;Obligors!$I$15,1,0)</f>
        <v/>
      </c>
      <c r="QQ15" s="20">
        <f>IF(Simulation!QQ15&lt;Obligors!$I$15,1,0)</f>
        <v/>
      </c>
      <c r="QR15" s="20">
        <f>IF(Simulation!QR15&lt;Obligors!$I$15,1,0)</f>
        <v/>
      </c>
      <c r="QS15" s="20">
        <f>IF(Simulation!QS15&lt;Obligors!$I$15,1,0)</f>
        <v/>
      </c>
      <c r="QT15" s="20">
        <f>IF(Simulation!QT15&lt;Obligors!$I$15,1,0)</f>
        <v/>
      </c>
      <c r="QU15" s="20">
        <f>IF(Simulation!QU15&lt;Obligors!$I$15,1,0)</f>
        <v/>
      </c>
      <c r="QV15" s="20">
        <f>IF(Simulation!QV15&lt;Obligors!$I$15,1,0)</f>
        <v/>
      </c>
      <c r="QW15" s="20">
        <f>IF(Simulation!QW15&lt;Obligors!$I$15,1,0)</f>
        <v/>
      </c>
      <c r="QX15" s="20">
        <f>IF(Simulation!QX15&lt;Obligors!$I$15,1,0)</f>
        <v/>
      </c>
      <c r="QY15" s="20">
        <f>IF(Simulation!QY15&lt;Obligors!$I$15,1,0)</f>
        <v/>
      </c>
      <c r="QZ15" s="20">
        <f>IF(Simulation!QZ15&lt;Obligors!$I$15,1,0)</f>
        <v/>
      </c>
      <c r="RA15" s="20">
        <f>IF(Simulation!RA15&lt;Obligors!$I$15,1,0)</f>
        <v/>
      </c>
      <c r="RB15" s="20">
        <f>IF(Simulation!RB15&lt;Obligors!$I$15,1,0)</f>
        <v/>
      </c>
      <c r="RC15" s="20">
        <f>IF(Simulation!RC15&lt;Obligors!$I$15,1,0)</f>
        <v/>
      </c>
      <c r="RD15" s="20">
        <f>IF(Simulation!RD15&lt;Obligors!$I$15,1,0)</f>
        <v/>
      </c>
      <c r="RE15" s="20">
        <f>IF(Simulation!RE15&lt;Obligors!$I$15,1,0)</f>
        <v/>
      </c>
      <c r="RF15" s="20">
        <f>IF(Simulation!RF15&lt;Obligors!$I$15,1,0)</f>
        <v/>
      </c>
      <c r="RG15" s="20">
        <f>IF(Simulation!RG15&lt;Obligors!$I$15,1,0)</f>
        <v/>
      </c>
      <c r="RH15" s="20">
        <f>IF(Simulation!RH15&lt;Obligors!$I$15,1,0)</f>
        <v/>
      </c>
      <c r="RI15" s="20">
        <f>IF(Simulation!RI15&lt;Obligors!$I$15,1,0)</f>
        <v/>
      </c>
      <c r="RJ15" s="20">
        <f>IF(Simulation!RJ15&lt;Obligors!$I$15,1,0)</f>
        <v/>
      </c>
      <c r="RK15" s="20">
        <f>IF(Simulation!RK15&lt;Obligors!$I$15,1,0)</f>
        <v/>
      </c>
      <c r="RL15" s="20">
        <f>IF(Simulation!RL15&lt;Obligors!$I$15,1,0)</f>
        <v/>
      </c>
      <c r="RM15" s="20">
        <f>IF(Simulation!RM15&lt;Obligors!$I$15,1,0)</f>
        <v/>
      </c>
      <c r="RN15" s="20">
        <f>IF(Simulation!RN15&lt;Obligors!$I$15,1,0)</f>
        <v/>
      </c>
      <c r="RO15" s="20">
        <f>IF(Simulation!RO15&lt;Obligors!$I$15,1,0)</f>
        <v/>
      </c>
      <c r="RP15" s="20">
        <f>IF(Simulation!RP15&lt;Obligors!$I$15,1,0)</f>
        <v/>
      </c>
      <c r="RQ15" s="20">
        <f>IF(Simulation!RQ15&lt;Obligors!$I$15,1,0)</f>
        <v/>
      </c>
      <c r="RR15" s="20">
        <f>IF(Simulation!RR15&lt;Obligors!$I$15,1,0)</f>
        <v/>
      </c>
      <c r="RS15" s="20">
        <f>IF(Simulation!RS15&lt;Obligors!$I$15,1,0)</f>
        <v/>
      </c>
      <c r="RT15" s="20">
        <f>IF(Simulation!RT15&lt;Obligors!$I$15,1,0)</f>
        <v/>
      </c>
      <c r="RU15" s="20">
        <f>IF(Simulation!RU15&lt;Obligors!$I$15,1,0)</f>
        <v/>
      </c>
      <c r="RV15" s="20">
        <f>IF(Simulation!RV15&lt;Obligors!$I$15,1,0)</f>
        <v/>
      </c>
      <c r="RW15" s="20">
        <f>IF(Simulation!RW15&lt;Obligors!$I$15,1,0)</f>
        <v/>
      </c>
      <c r="RX15" s="20">
        <f>IF(Simulation!RX15&lt;Obligors!$I$15,1,0)</f>
        <v/>
      </c>
      <c r="RY15" s="20">
        <f>IF(Simulation!RY15&lt;Obligors!$I$15,1,0)</f>
        <v/>
      </c>
      <c r="RZ15" s="20">
        <f>IF(Simulation!RZ15&lt;Obligors!$I$15,1,0)</f>
        <v/>
      </c>
      <c r="SA15" s="20">
        <f>IF(Simulation!SA15&lt;Obligors!$I$15,1,0)</f>
        <v/>
      </c>
      <c r="SB15" s="20">
        <f>IF(Simulation!SB15&lt;Obligors!$I$15,1,0)</f>
        <v/>
      </c>
      <c r="SC15" s="20">
        <f>IF(Simulation!SC15&lt;Obligors!$I$15,1,0)</f>
        <v/>
      </c>
      <c r="SD15" s="20">
        <f>IF(Simulation!SD15&lt;Obligors!$I$15,1,0)</f>
        <v/>
      </c>
      <c r="SE15" s="20">
        <f>IF(Simulation!SE15&lt;Obligors!$I$15,1,0)</f>
        <v/>
      </c>
      <c r="SF15" s="20">
        <f>IF(Simulation!SF15&lt;Obligors!$I$15,1,0)</f>
        <v/>
      </c>
      <c r="SG15" s="20">
        <f>IF(Simulation!SG15&lt;Obligors!$I$15,1,0)</f>
        <v/>
      </c>
    </row>
    <row r="16">
      <c r="A16" s="17" t="inlineStr">
        <is>
          <t>OBL-015</t>
        </is>
      </c>
      <c r="B16" s="20">
        <f>IF(Simulation!B16&lt;Obligors!$I$16,1,0)</f>
        <v/>
      </c>
      <c r="C16" s="20">
        <f>IF(Simulation!C16&lt;Obligors!$I$16,1,0)</f>
        <v/>
      </c>
      <c r="D16" s="20">
        <f>IF(Simulation!D16&lt;Obligors!$I$16,1,0)</f>
        <v/>
      </c>
      <c r="E16" s="20">
        <f>IF(Simulation!E16&lt;Obligors!$I$16,1,0)</f>
        <v/>
      </c>
      <c r="F16" s="20">
        <f>IF(Simulation!F16&lt;Obligors!$I$16,1,0)</f>
        <v/>
      </c>
      <c r="G16" s="20">
        <f>IF(Simulation!G16&lt;Obligors!$I$16,1,0)</f>
        <v/>
      </c>
      <c r="H16" s="20">
        <f>IF(Simulation!H16&lt;Obligors!$I$16,1,0)</f>
        <v/>
      </c>
      <c r="I16" s="20">
        <f>IF(Simulation!I16&lt;Obligors!$I$16,1,0)</f>
        <v/>
      </c>
      <c r="J16" s="20">
        <f>IF(Simulation!J16&lt;Obligors!$I$16,1,0)</f>
        <v/>
      </c>
      <c r="K16" s="20">
        <f>IF(Simulation!K16&lt;Obligors!$I$16,1,0)</f>
        <v/>
      </c>
      <c r="L16" s="20">
        <f>IF(Simulation!L16&lt;Obligors!$I$16,1,0)</f>
        <v/>
      </c>
      <c r="M16" s="20">
        <f>IF(Simulation!M16&lt;Obligors!$I$16,1,0)</f>
        <v/>
      </c>
      <c r="N16" s="20">
        <f>IF(Simulation!N16&lt;Obligors!$I$16,1,0)</f>
        <v/>
      </c>
      <c r="O16" s="20">
        <f>IF(Simulation!O16&lt;Obligors!$I$16,1,0)</f>
        <v/>
      </c>
      <c r="P16" s="20">
        <f>IF(Simulation!P16&lt;Obligors!$I$16,1,0)</f>
        <v/>
      </c>
      <c r="Q16" s="20">
        <f>IF(Simulation!Q16&lt;Obligors!$I$16,1,0)</f>
        <v/>
      </c>
      <c r="R16" s="20">
        <f>IF(Simulation!R16&lt;Obligors!$I$16,1,0)</f>
        <v/>
      </c>
      <c r="S16" s="20">
        <f>IF(Simulation!S16&lt;Obligors!$I$16,1,0)</f>
        <v/>
      </c>
      <c r="T16" s="20">
        <f>IF(Simulation!T16&lt;Obligors!$I$16,1,0)</f>
        <v/>
      </c>
      <c r="U16" s="20">
        <f>IF(Simulation!U16&lt;Obligors!$I$16,1,0)</f>
        <v/>
      </c>
      <c r="V16" s="20">
        <f>IF(Simulation!V16&lt;Obligors!$I$16,1,0)</f>
        <v/>
      </c>
      <c r="W16" s="20">
        <f>IF(Simulation!W16&lt;Obligors!$I$16,1,0)</f>
        <v/>
      </c>
      <c r="X16" s="20">
        <f>IF(Simulation!X16&lt;Obligors!$I$16,1,0)</f>
        <v/>
      </c>
      <c r="Y16" s="20">
        <f>IF(Simulation!Y16&lt;Obligors!$I$16,1,0)</f>
        <v/>
      </c>
      <c r="Z16" s="20">
        <f>IF(Simulation!Z16&lt;Obligors!$I$16,1,0)</f>
        <v/>
      </c>
      <c r="AA16" s="20">
        <f>IF(Simulation!AA16&lt;Obligors!$I$16,1,0)</f>
        <v/>
      </c>
      <c r="AB16" s="20">
        <f>IF(Simulation!AB16&lt;Obligors!$I$16,1,0)</f>
        <v/>
      </c>
      <c r="AC16" s="20">
        <f>IF(Simulation!AC16&lt;Obligors!$I$16,1,0)</f>
        <v/>
      </c>
      <c r="AD16" s="20">
        <f>IF(Simulation!AD16&lt;Obligors!$I$16,1,0)</f>
        <v/>
      </c>
      <c r="AE16" s="20">
        <f>IF(Simulation!AE16&lt;Obligors!$I$16,1,0)</f>
        <v/>
      </c>
      <c r="AF16" s="20">
        <f>IF(Simulation!AF16&lt;Obligors!$I$16,1,0)</f>
        <v/>
      </c>
      <c r="AG16" s="20">
        <f>IF(Simulation!AG16&lt;Obligors!$I$16,1,0)</f>
        <v/>
      </c>
      <c r="AH16" s="20">
        <f>IF(Simulation!AH16&lt;Obligors!$I$16,1,0)</f>
        <v/>
      </c>
      <c r="AI16" s="20">
        <f>IF(Simulation!AI16&lt;Obligors!$I$16,1,0)</f>
        <v/>
      </c>
      <c r="AJ16" s="20">
        <f>IF(Simulation!AJ16&lt;Obligors!$I$16,1,0)</f>
        <v/>
      </c>
      <c r="AK16" s="20">
        <f>IF(Simulation!AK16&lt;Obligors!$I$16,1,0)</f>
        <v/>
      </c>
      <c r="AL16" s="20">
        <f>IF(Simulation!AL16&lt;Obligors!$I$16,1,0)</f>
        <v/>
      </c>
      <c r="AM16" s="20">
        <f>IF(Simulation!AM16&lt;Obligors!$I$16,1,0)</f>
        <v/>
      </c>
      <c r="AN16" s="20">
        <f>IF(Simulation!AN16&lt;Obligors!$I$16,1,0)</f>
        <v/>
      </c>
      <c r="AO16" s="20">
        <f>IF(Simulation!AO16&lt;Obligors!$I$16,1,0)</f>
        <v/>
      </c>
      <c r="AP16" s="20">
        <f>IF(Simulation!AP16&lt;Obligors!$I$16,1,0)</f>
        <v/>
      </c>
      <c r="AQ16" s="20">
        <f>IF(Simulation!AQ16&lt;Obligors!$I$16,1,0)</f>
        <v/>
      </c>
      <c r="AR16" s="20">
        <f>IF(Simulation!AR16&lt;Obligors!$I$16,1,0)</f>
        <v/>
      </c>
      <c r="AS16" s="20">
        <f>IF(Simulation!AS16&lt;Obligors!$I$16,1,0)</f>
        <v/>
      </c>
      <c r="AT16" s="20">
        <f>IF(Simulation!AT16&lt;Obligors!$I$16,1,0)</f>
        <v/>
      </c>
      <c r="AU16" s="20">
        <f>IF(Simulation!AU16&lt;Obligors!$I$16,1,0)</f>
        <v/>
      </c>
      <c r="AV16" s="20">
        <f>IF(Simulation!AV16&lt;Obligors!$I$16,1,0)</f>
        <v/>
      </c>
      <c r="AW16" s="20">
        <f>IF(Simulation!AW16&lt;Obligors!$I$16,1,0)</f>
        <v/>
      </c>
      <c r="AX16" s="20">
        <f>IF(Simulation!AX16&lt;Obligors!$I$16,1,0)</f>
        <v/>
      </c>
      <c r="AY16" s="20">
        <f>IF(Simulation!AY16&lt;Obligors!$I$16,1,0)</f>
        <v/>
      </c>
      <c r="AZ16" s="20">
        <f>IF(Simulation!AZ16&lt;Obligors!$I$16,1,0)</f>
        <v/>
      </c>
      <c r="BA16" s="20">
        <f>IF(Simulation!BA16&lt;Obligors!$I$16,1,0)</f>
        <v/>
      </c>
      <c r="BB16" s="20">
        <f>IF(Simulation!BB16&lt;Obligors!$I$16,1,0)</f>
        <v/>
      </c>
      <c r="BC16" s="20">
        <f>IF(Simulation!BC16&lt;Obligors!$I$16,1,0)</f>
        <v/>
      </c>
      <c r="BD16" s="20">
        <f>IF(Simulation!BD16&lt;Obligors!$I$16,1,0)</f>
        <v/>
      </c>
      <c r="BE16" s="20">
        <f>IF(Simulation!BE16&lt;Obligors!$I$16,1,0)</f>
        <v/>
      </c>
      <c r="BF16" s="20">
        <f>IF(Simulation!BF16&lt;Obligors!$I$16,1,0)</f>
        <v/>
      </c>
      <c r="BG16" s="20">
        <f>IF(Simulation!BG16&lt;Obligors!$I$16,1,0)</f>
        <v/>
      </c>
      <c r="BH16" s="20">
        <f>IF(Simulation!BH16&lt;Obligors!$I$16,1,0)</f>
        <v/>
      </c>
      <c r="BI16" s="20">
        <f>IF(Simulation!BI16&lt;Obligors!$I$16,1,0)</f>
        <v/>
      </c>
      <c r="BJ16" s="20">
        <f>IF(Simulation!BJ16&lt;Obligors!$I$16,1,0)</f>
        <v/>
      </c>
      <c r="BK16" s="20">
        <f>IF(Simulation!BK16&lt;Obligors!$I$16,1,0)</f>
        <v/>
      </c>
      <c r="BL16" s="20">
        <f>IF(Simulation!BL16&lt;Obligors!$I$16,1,0)</f>
        <v/>
      </c>
      <c r="BM16" s="20">
        <f>IF(Simulation!BM16&lt;Obligors!$I$16,1,0)</f>
        <v/>
      </c>
      <c r="BN16" s="20">
        <f>IF(Simulation!BN16&lt;Obligors!$I$16,1,0)</f>
        <v/>
      </c>
      <c r="BO16" s="20">
        <f>IF(Simulation!BO16&lt;Obligors!$I$16,1,0)</f>
        <v/>
      </c>
      <c r="BP16" s="20">
        <f>IF(Simulation!BP16&lt;Obligors!$I$16,1,0)</f>
        <v/>
      </c>
      <c r="BQ16" s="20">
        <f>IF(Simulation!BQ16&lt;Obligors!$I$16,1,0)</f>
        <v/>
      </c>
      <c r="BR16" s="20">
        <f>IF(Simulation!BR16&lt;Obligors!$I$16,1,0)</f>
        <v/>
      </c>
      <c r="BS16" s="20">
        <f>IF(Simulation!BS16&lt;Obligors!$I$16,1,0)</f>
        <v/>
      </c>
      <c r="BT16" s="20">
        <f>IF(Simulation!BT16&lt;Obligors!$I$16,1,0)</f>
        <v/>
      </c>
      <c r="BU16" s="20">
        <f>IF(Simulation!BU16&lt;Obligors!$I$16,1,0)</f>
        <v/>
      </c>
      <c r="BV16" s="20">
        <f>IF(Simulation!BV16&lt;Obligors!$I$16,1,0)</f>
        <v/>
      </c>
      <c r="BW16" s="20">
        <f>IF(Simulation!BW16&lt;Obligors!$I$16,1,0)</f>
        <v/>
      </c>
      <c r="BX16" s="20">
        <f>IF(Simulation!BX16&lt;Obligors!$I$16,1,0)</f>
        <v/>
      </c>
      <c r="BY16" s="20">
        <f>IF(Simulation!BY16&lt;Obligors!$I$16,1,0)</f>
        <v/>
      </c>
      <c r="BZ16" s="20">
        <f>IF(Simulation!BZ16&lt;Obligors!$I$16,1,0)</f>
        <v/>
      </c>
      <c r="CA16" s="20">
        <f>IF(Simulation!CA16&lt;Obligors!$I$16,1,0)</f>
        <v/>
      </c>
      <c r="CB16" s="20">
        <f>IF(Simulation!CB16&lt;Obligors!$I$16,1,0)</f>
        <v/>
      </c>
      <c r="CC16" s="20">
        <f>IF(Simulation!CC16&lt;Obligors!$I$16,1,0)</f>
        <v/>
      </c>
      <c r="CD16" s="20">
        <f>IF(Simulation!CD16&lt;Obligors!$I$16,1,0)</f>
        <v/>
      </c>
      <c r="CE16" s="20">
        <f>IF(Simulation!CE16&lt;Obligors!$I$16,1,0)</f>
        <v/>
      </c>
      <c r="CF16" s="20">
        <f>IF(Simulation!CF16&lt;Obligors!$I$16,1,0)</f>
        <v/>
      </c>
      <c r="CG16" s="20">
        <f>IF(Simulation!CG16&lt;Obligors!$I$16,1,0)</f>
        <v/>
      </c>
      <c r="CH16" s="20">
        <f>IF(Simulation!CH16&lt;Obligors!$I$16,1,0)</f>
        <v/>
      </c>
      <c r="CI16" s="20">
        <f>IF(Simulation!CI16&lt;Obligors!$I$16,1,0)</f>
        <v/>
      </c>
      <c r="CJ16" s="20">
        <f>IF(Simulation!CJ16&lt;Obligors!$I$16,1,0)</f>
        <v/>
      </c>
      <c r="CK16" s="20">
        <f>IF(Simulation!CK16&lt;Obligors!$I$16,1,0)</f>
        <v/>
      </c>
      <c r="CL16" s="20">
        <f>IF(Simulation!CL16&lt;Obligors!$I$16,1,0)</f>
        <v/>
      </c>
      <c r="CM16" s="20">
        <f>IF(Simulation!CM16&lt;Obligors!$I$16,1,0)</f>
        <v/>
      </c>
      <c r="CN16" s="20">
        <f>IF(Simulation!CN16&lt;Obligors!$I$16,1,0)</f>
        <v/>
      </c>
      <c r="CO16" s="20">
        <f>IF(Simulation!CO16&lt;Obligors!$I$16,1,0)</f>
        <v/>
      </c>
      <c r="CP16" s="20">
        <f>IF(Simulation!CP16&lt;Obligors!$I$16,1,0)</f>
        <v/>
      </c>
      <c r="CQ16" s="20">
        <f>IF(Simulation!CQ16&lt;Obligors!$I$16,1,0)</f>
        <v/>
      </c>
      <c r="CR16" s="20">
        <f>IF(Simulation!CR16&lt;Obligors!$I$16,1,0)</f>
        <v/>
      </c>
      <c r="CS16" s="20">
        <f>IF(Simulation!CS16&lt;Obligors!$I$16,1,0)</f>
        <v/>
      </c>
      <c r="CT16" s="20">
        <f>IF(Simulation!CT16&lt;Obligors!$I$16,1,0)</f>
        <v/>
      </c>
      <c r="CU16" s="20">
        <f>IF(Simulation!CU16&lt;Obligors!$I$16,1,0)</f>
        <v/>
      </c>
      <c r="CV16" s="20">
        <f>IF(Simulation!CV16&lt;Obligors!$I$16,1,0)</f>
        <v/>
      </c>
      <c r="CW16" s="20">
        <f>IF(Simulation!CW16&lt;Obligors!$I$16,1,0)</f>
        <v/>
      </c>
      <c r="CX16" s="20">
        <f>IF(Simulation!CX16&lt;Obligors!$I$16,1,0)</f>
        <v/>
      </c>
      <c r="CY16" s="20">
        <f>IF(Simulation!CY16&lt;Obligors!$I$16,1,0)</f>
        <v/>
      </c>
      <c r="CZ16" s="20">
        <f>IF(Simulation!CZ16&lt;Obligors!$I$16,1,0)</f>
        <v/>
      </c>
      <c r="DA16" s="20">
        <f>IF(Simulation!DA16&lt;Obligors!$I$16,1,0)</f>
        <v/>
      </c>
      <c r="DB16" s="20">
        <f>IF(Simulation!DB16&lt;Obligors!$I$16,1,0)</f>
        <v/>
      </c>
      <c r="DC16" s="20">
        <f>IF(Simulation!DC16&lt;Obligors!$I$16,1,0)</f>
        <v/>
      </c>
      <c r="DD16" s="20">
        <f>IF(Simulation!DD16&lt;Obligors!$I$16,1,0)</f>
        <v/>
      </c>
      <c r="DE16" s="20">
        <f>IF(Simulation!DE16&lt;Obligors!$I$16,1,0)</f>
        <v/>
      </c>
      <c r="DF16" s="20">
        <f>IF(Simulation!DF16&lt;Obligors!$I$16,1,0)</f>
        <v/>
      </c>
      <c r="DG16" s="20">
        <f>IF(Simulation!DG16&lt;Obligors!$I$16,1,0)</f>
        <v/>
      </c>
      <c r="DH16" s="20">
        <f>IF(Simulation!DH16&lt;Obligors!$I$16,1,0)</f>
        <v/>
      </c>
      <c r="DI16" s="20">
        <f>IF(Simulation!DI16&lt;Obligors!$I$16,1,0)</f>
        <v/>
      </c>
      <c r="DJ16" s="20">
        <f>IF(Simulation!DJ16&lt;Obligors!$I$16,1,0)</f>
        <v/>
      </c>
      <c r="DK16" s="20">
        <f>IF(Simulation!DK16&lt;Obligors!$I$16,1,0)</f>
        <v/>
      </c>
      <c r="DL16" s="20">
        <f>IF(Simulation!DL16&lt;Obligors!$I$16,1,0)</f>
        <v/>
      </c>
      <c r="DM16" s="20">
        <f>IF(Simulation!DM16&lt;Obligors!$I$16,1,0)</f>
        <v/>
      </c>
      <c r="DN16" s="20">
        <f>IF(Simulation!DN16&lt;Obligors!$I$16,1,0)</f>
        <v/>
      </c>
      <c r="DO16" s="20">
        <f>IF(Simulation!DO16&lt;Obligors!$I$16,1,0)</f>
        <v/>
      </c>
      <c r="DP16" s="20">
        <f>IF(Simulation!DP16&lt;Obligors!$I$16,1,0)</f>
        <v/>
      </c>
      <c r="DQ16" s="20">
        <f>IF(Simulation!DQ16&lt;Obligors!$I$16,1,0)</f>
        <v/>
      </c>
      <c r="DR16" s="20">
        <f>IF(Simulation!DR16&lt;Obligors!$I$16,1,0)</f>
        <v/>
      </c>
      <c r="DS16" s="20">
        <f>IF(Simulation!DS16&lt;Obligors!$I$16,1,0)</f>
        <v/>
      </c>
      <c r="DT16" s="20">
        <f>IF(Simulation!DT16&lt;Obligors!$I$16,1,0)</f>
        <v/>
      </c>
      <c r="DU16" s="20">
        <f>IF(Simulation!DU16&lt;Obligors!$I$16,1,0)</f>
        <v/>
      </c>
      <c r="DV16" s="20">
        <f>IF(Simulation!DV16&lt;Obligors!$I$16,1,0)</f>
        <v/>
      </c>
      <c r="DW16" s="20">
        <f>IF(Simulation!DW16&lt;Obligors!$I$16,1,0)</f>
        <v/>
      </c>
      <c r="DX16" s="20">
        <f>IF(Simulation!DX16&lt;Obligors!$I$16,1,0)</f>
        <v/>
      </c>
      <c r="DY16" s="20">
        <f>IF(Simulation!DY16&lt;Obligors!$I$16,1,0)</f>
        <v/>
      </c>
      <c r="DZ16" s="20">
        <f>IF(Simulation!DZ16&lt;Obligors!$I$16,1,0)</f>
        <v/>
      </c>
      <c r="EA16" s="20">
        <f>IF(Simulation!EA16&lt;Obligors!$I$16,1,0)</f>
        <v/>
      </c>
      <c r="EB16" s="20">
        <f>IF(Simulation!EB16&lt;Obligors!$I$16,1,0)</f>
        <v/>
      </c>
      <c r="EC16" s="20">
        <f>IF(Simulation!EC16&lt;Obligors!$I$16,1,0)</f>
        <v/>
      </c>
      <c r="ED16" s="20">
        <f>IF(Simulation!ED16&lt;Obligors!$I$16,1,0)</f>
        <v/>
      </c>
      <c r="EE16" s="20">
        <f>IF(Simulation!EE16&lt;Obligors!$I$16,1,0)</f>
        <v/>
      </c>
      <c r="EF16" s="20">
        <f>IF(Simulation!EF16&lt;Obligors!$I$16,1,0)</f>
        <v/>
      </c>
      <c r="EG16" s="20">
        <f>IF(Simulation!EG16&lt;Obligors!$I$16,1,0)</f>
        <v/>
      </c>
      <c r="EH16" s="20">
        <f>IF(Simulation!EH16&lt;Obligors!$I$16,1,0)</f>
        <v/>
      </c>
      <c r="EI16" s="20">
        <f>IF(Simulation!EI16&lt;Obligors!$I$16,1,0)</f>
        <v/>
      </c>
      <c r="EJ16" s="20">
        <f>IF(Simulation!EJ16&lt;Obligors!$I$16,1,0)</f>
        <v/>
      </c>
      <c r="EK16" s="20">
        <f>IF(Simulation!EK16&lt;Obligors!$I$16,1,0)</f>
        <v/>
      </c>
      <c r="EL16" s="20">
        <f>IF(Simulation!EL16&lt;Obligors!$I$16,1,0)</f>
        <v/>
      </c>
      <c r="EM16" s="20">
        <f>IF(Simulation!EM16&lt;Obligors!$I$16,1,0)</f>
        <v/>
      </c>
      <c r="EN16" s="20">
        <f>IF(Simulation!EN16&lt;Obligors!$I$16,1,0)</f>
        <v/>
      </c>
      <c r="EO16" s="20">
        <f>IF(Simulation!EO16&lt;Obligors!$I$16,1,0)</f>
        <v/>
      </c>
      <c r="EP16" s="20">
        <f>IF(Simulation!EP16&lt;Obligors!$I$16,1,0)</f>
        <v/>
      </c>
      <c r="EQ16" s="20">
        <f>IF(Simulation!EQ16&lt;Obligors!$I$16,1,0)</f>
        <v/>
      </c>
      <c r="ER16" s="20">
        <f>IF(Simulation!ER16&lt;Obligors!$I$16,1,0)</f>
        <v/>
      </c>
      <c r="ES16" s="20">
        <f>IF(Simulation!ES16&lt;Obligors!$I$16,1,0)</f>
        <v/>
      </c>
      <c r="ET16" s="20">
        <f>IF(Simulation!ET16&lt;Obligors!$I$16,1,0)</f>
        <v/>
      </c>
      <c r="EU16" s="20">
        <f>IF(Simulation!EU16&lt;Obligors!$I$16,1,0)</f>
        <v/>
      </c>
      <c r="EV16" s="20">
        <f>IF(Simulation!EV16&lt;Obligors!$I$16,1,0)</f>
        <v/>
      </c>
      <c r="EW16" s="20">
        <f>IF(Simulation!EW16&lt;Obligors!$I$16,1,0)</f>
        <v/>
      </c>
      <c r="EX16" s="20">
        <f>IF(Simulation!EX16&lt;Obligors!$I$16,1,0)</f>
        <v/>
      </c>
      <c r="EY16" s="20">
        <f>IF(Simulation!EY16&lt;Obligors!$I$16,1,0)</f>
        <v/>
      </c>
      <c r="EZ16" s="20">
        <f>IF(Simulation!EZ16&lt;Obligors!$I$16,1,0)</f>
        <v/>
      </c>
      <c r="FA16" s="20">
        <f>IF(Simulation!FA16&lt;Obligors!$I$16,1,0)</f>
        <v/>
      </c>
      <c r="FB16" s="20">
        <f>IF(Simulation!FB16&lt;Obligors!$I$16,1,0)</f>
        <v/>
      </c>
      <c r="FC16" s="20">
        <f>IF(Simulation!FC16&lt;Obligors!$I$16,1,0)</f>
        <v/>
      </c>
      <c r="FD16" s="20">
        <f>IF(Simulation!FD16&lt;Obligors!$I$16,1,0)</f>
        <v/>
      </c>
      <c r="FE16" s="20">
        <f>IF(Simulation!FE16&lt;Obligors!$I$16,1,0)</f>
        <v/>
      </c>
      <c r="FF16" s="20">
        <f>IF(Simulation!FF16&lt;Obligors!$I$16,1,0)</f>
        <v/>
      </c>
      <c r="FG16" s="20">
        <f>IF(Simulation!FG16&lt;Obligors!$I$16,1,0)</f>
        <v/>
      </c>
      <c r="FH16" s="20">
        <f>IF(Simulation!FH16&lt;Obligors!$I$16,1,0)</f>
        <v/>
      </c>
      <c r="FI16" s="20">
        <f>IF(Simulation!FI16&lt;Obligors!$I$16,1,0)</f>
        <v/>
      </c>
      <c r="FJ16" s="20">
        <f>IF(Simulation!FJ16&lt;Obligors!$I$16,1,0)</f>
        <v/>
      </c>
      <c r="FK16" s="20">
        <f>IF(Simulation!FK16&lt;Obligors!$I$16,1,0)</f>
        <v/>
      </c>
      <c r="FL16" s="20">
        <f>IF(Simulation!FL16&lt;Obligors!$I$16,1,0)</f>
        <v/>
      </c>
      <c r="FM16" s="20">
        <f>IF(Simulation!FM16&lt;Obligors!$I$16,1,0)</f>
        <v/>
      </c>
      <c r="FN16" s="20">
        <f>IF(Simulation!FN16&lt;Obligors!$I$16,1,0)</f>
        <v/>
      </c>
      <c r="FO16" s="20">
        <f>IF(Simulation!FO16&lt;Obligors!$I$16,1,0)</f>
        <v/>
      </c>
      <c r="FP16" s="20">
        <f>IF(Simulation!FP16&lt;Obligors!$I$16,1,0)</f>
        <v/>
      </c>
      <c r="FQ16" s="20">
        <f>IF(Simulation!FQ16&lt;Obligors!$I$16,1,0)</f>
        <v/>
      </c>
      <c r="FR16" s="20">
        <f>IF(Simulation!FR16&lt;Obligors!$I$16,1,0)</f>
        <v/>
      </c>
      <c r="FS16" s="20">
        <f>IF(Simulation!FS16&lt;Obligors!$I$16,1,0)</f>
        <v/>
      </c>
      <c r="FT16" s="20">
        <f>IF(Simulation!FT16&lt;Obligors!$I$16,1,0)</f>
        <v/>
      </c>
      <c r="FU16" s="20">
        <f>IF(Simulation!FU16&lt;Obligors!$I$16,1,0)</f>
        <v/>
      </c>
      <c r="FV16" s="20">
        <f>IF(Simulation!FV16&lt;Obligors!$I$16,1,0)</f>
        <v/>
      </c>
      <c r="FW16" s="20">
        <f>IF(Simulation!FW16&lt;Obligors!$I$16,1,0)</f>
        <v/>
      </c>
      <c r="FX16" s="20">
        <f>IF(Simulation!FX16&lt;Obligors!$I$16,1,0)</f>
        <v/>
      </c>
      <c r="FY16" s="20">
        <f>IF(Simulation!FY16&lt;Obligors!$I$16,1,0)</f>
        <v/>
      </c>
      <c r="FZ16" s="20">
        <f>IF(Simulation!FZ16&lt;Obligors!$I$16,1,0)</f>
        <v/>
      </c>
      <c r="GA16" s="20">
        <f>IF(Simulation!GA16&lt;Obligors!$I$16,1,0)</f>
        <v/>
      </c>
      <c r="GB16" s="20">
        <f>IF(Simulation!GB16&lt;Obligors!$I$16,1,0)</f>
        <v/>
      </c>
      <c r="GC16" s="20">
        <f>IF(Simulation!GC16&lt;Obligors!$I$16,1,0)</f>
        <v/>
      </c>
      <c r="GD16" s="20">
        <f>IF(Simulation!GD16&lt;Obligors!$I$16,1,0)</f>
        <v/>
      </c>
      <c r="GE16" s="20">
        <f>IF(Simulation!GE16&lt;Obligors!$I$16,1,0)</f>
        <v/>
      </c>
      <c r="GF16" s="20">
        <f>IF(Simulation!GF16&lt;Obligors!$I$16,1,0)</f>
        <v/>
      </c>
      <c r="GG16" s="20">
        <f>IF(Simulation!GG16&lt;Obligors!$I$16,1,0)</f>
        <v/>
      </c>
      <c r="GH16" s="20">
        <f>IF(Simulation!GH16&lt;Obligors!$I$16,1,0)</f>
        <v/>
      </c>
      <c r="GI16" s="20">
        <f>IF(Simulation!GI16&lt;Obligors!$I$16,1,0)</f>
        <v/>
      </c>
      <c r="GJ16" s="20">
        <f>IF(Simulation!GJ16&lt;Obligors!$I$16,1,0)</f>
        <v/>
      </c>
      <c r="GK16" s="20">
        <f>IF(Simulation!GK16&lt;Obligors!$I$16,1,0)</f>
        <v/>
      </c>
      <c r="GL16" s="20">
        <f>IF(Simulation!GL16&lt;Obligors!$I$16,1,0)</f>
        <v/>
      </c>
      <c r="GM16" s="20">
        <f>IF(Simulation!GM16&lt;Obligors!$I$16,1,0)</f>
        <v/>
      </c>
      <c r="GN16" s="20">
        <f>IF(Simulation!GN16&lt;Obligors!$I$16,1,0)</f>
        <v/>
      </c>
      <c r="GO16" s="20">
        <f>IF(Simulation!GO16&lt;Obligors!$I$16,1,0)</f>
        <v/>
      </c>
      <c r="GP16" s="20">
        <f>IF(Simulation!GP16&lt;Obligors!$I$16,1,0)</f>
        <v/>
      </c>
      <c r="GQ16" s="20">
        <f>IF(Simulation!GQ16&lt;Obligors!$I$16,1,0)</f>
        <v/>
      </c>
      <c r="GR16" s="20">
        <f>IF(Simulation!GR16&lt;Obligors!$I$16,1,0)</f>
        <v/>
      </c>
      <c r="GS16" s="20">
        <f>IF(Simulation!GS16&lt;Obligors!$I$16,1,0)</f>
        <v/>
      </c>
      <c r="GT16" s="20">
        <f>IF(Simulation!GT16&lt;Obligors!$I$16,1,0)</f>
        <v/>
      </c>
      <c r="GU16" s="20">
        <f>IF(Simulation!GU16&lt;Obligors!$I$16,1,0)</f>
        <v/>
      </c>
      <c r="GV16" s="20">
        <f>IF(Simulation!GV16&lt;Obligors!$I$16,1,0)</f>
        <v/>
      </c>
      <c r="GW16" s="20">
        <f>IF(Simulation!GW16&lt;Obligors!$I$16,1,0)</f>
        <v/>
      </c>
      <c r="GX16" s="20">
        <f>IF(Simulation!GX16&lt;Obligors!$I$16,1,0)</f>
        <v/>
      </c>
      <c r="GY16" s="20">
        <f>IF(Simulation!GY16&lt;Obligors!$I$16,1,0)</f>
        <v/>
      </c>
      <c r="GZ16" s="20">
        <f>IF(Simulation!GZ16&lt;Obligors!$I$16,1,0)</f>
        <v/>
      </c>
      <c r="HA16" s="20">
        <f>IF(Simulation!HA16&lt;Obligors!$I$16,1,0)</f>
        <v/>
      </c>
      <c r="HB16" s="20">
        <f>IF(Simulation!HB16&lt;Obligors!$I$16,1,0)</f>
        <v/>
      </c>
      <c r="HC16" s="20">
        <f>IF(Simulation!HC16&lt;Obligors!$I$16,1,0)</f>
        <v/>
      </c>
      <c r="HD16" s="20">
        <f>IF(Simulation!HD16&lt;Obligors!$I$16,1,0)</f>
        <v/>
      </c>
      <c r="HE16" s="20">
        <f>IF(Simulation!HE16&lt;Obligors!$I$16,1,0)</f>
        <v/>
      </c>
      <c r="HF16" s="20">
        <f>IF(Simulation!HF16&lt;Obligors!$I$16,1,0)</f>
        <v/>
      </c>
      <c r="HG16" s="20">
        <f>IF(Simulation!HG16&lt;Obligors!$I$16,1,0)</f>
        <v/>
      </c>
      <c r="HH16" s="20">
        <f>IF(Simulation!HH16&lt;Obligors!$I$16,1,0)</f>
        <v/>
      </c>
      <c r="HI16" s="20">
        <f>IF(Simulation!HI16&lt;Obligors!$I$16,1,0)</f>
        <v/>
      </c>
      <c r="HJ16" s="20">
        <f>IF(Simulation!HJ16&lt;Obligors!$I$16,1,0)</f>
        <v/>
      </c>
      <c r="HK16" s="20">
        <f>IF(Simulation!HK16&lt;Obligors!$I$16,1,0)</f>
        <v/>
      </c>
      <c r="HL16" s="20">
        <f>IF(Simulation!HL16&lt;Obligors!$I$16,1,0)</f>
        <v/>
      </c>
      <c r="HM16" s="20">
        <f>IF(Simulation!HM16&lt;Obligors!$I$16,1,0)</f>
        <v/>
      </c>
      <c r="HN16" s="20">
        <f>IF(Simulation!HN16&lt;Obligors!$I$16,1,0)</f>
        <v/>
      </c>
      <c r="HO16" s="20">
        <f>IF(Simulation!HO16&lt;Obligors!$I$16,1,0)</f>
        <v/>
      </c>
      <c r="HP16" s="20">
        <f>IF(Simulation!HP16&lt;Obligors!$I$16,1,0)</f>
        <v/>
      </c>
      <c r="HQ16" s="20">
        <f>IF(Simulation!HQ16&lt;Obligors!$I$16,1,0)</f>
        <v/>
      </c>
      <c r="HR16" s="20">
        <f>IF(Simulation!HR16&lt;Obligors!$I$16,1,0)</f>
        <v/>
      </c>
      <c r="HS16" s="20">
        <f>IF(Simulation!HS16&lt;Obligors!$I$16,1,0)</f>
        <v/>
      </c>
      <c r="HT16" s="20">
        <f>IF(Simulation!HT16&lt;Obligors!$I$16,1,0)</f>
        <v/>
      </c>
      <c r="HU16" s="20">
        <f>IF(Simulation!HU16&lt;Obligors!$I$16,1,0)</f>
        <v/>
      </c>
      <c r="HV16" s="20">
        <f>IF(Simulation!HV16&lt;Obligors!$I$16,1,0)</f>
        <v/>
      </c>
      <c r="HW16" s="20">
        <f>IF(Simulation!HW16&lt;Obligors!$I$16,1,0)</f>
        <v/>
      </c>
      <c r="HX16" s="20">
        <f>IF(Simulation!HX16&lt;Obligors!$I$16,1,0)</f>
        <v/>
      </c>
      <c r="HY16" s="20">
        <f>IF(Simulation!HY16&lt;Obligors!$I$16,1,0)</f>
        <v/>
      </c>
      <c r="HZ16" s="20">
        <f>IF(Simulation!HZ16&lt;Obligors!$I$16,1,0)</f>
        <v/>
      </c>
      <c r="IA16" s="20">
        <f>IF(Simulation!IA16&lt;Obligors!$I$16,1,0)</f>
        <v/>
      </c>
      <c r="IB16" s="20">
        <f>IF(Simulation!IB16&lt;Obligors!$I$16,1,0)</f>
        <v/>
      </c>
      <c r="IC16" s="20">
        <f>IF(Simulation!IC16&lt;Obligors!$I$16,1,0)</f>
        <v/>
      </c>
      <c r="ID16" s="20">
        <f>IF(Simulation!ID16&lt;Obligors!$I$16,1,0)</f>
        <v/>
      </c>
      <c r="IE16" s="20">
        <f>IF(Simulation!IE16&lt;Obligors!$I$16,1,0)</f>
        <v/>
      </c>
      <c r="IF16" s="20">
        <f>IF(Simulation!IF16&lt;Obligors!$I$16,1,0)</f>
        <v/>
      </c>
      <c r="IG16" s="20">
        <f>IF(Simulation!IG16&lt;Obligors!$I$16,1,0)</f>
        <v/>
      </c>
      <c r="IH16" s="20">
        <f>IF(Simulation!IH16&lt;Obligors!$I$16,1,0)</f>
        <v/>
      </c>
      <c r="II16" s="20">
        <f>IF(Simulation!II16&lt;Obligors!$I$16,1,0)</f>
        <v/>
      </c>
      <c r="IJ16" s="20">
        <f>IF(Simulation!IJ16&lt;Obligors!$I$16,1,0)</f>
        <v/>
      </c>
      <c r="IK16" s="20">
        <f>IF(Simulation!IK16&lt;Obligors!$I$16,1,0)</f>
        <v/>
      </c>
      <c r="IL16" s="20">
        <f>IF(Simulation!IL16&lt;Obligors!$I$16,1,0)</f>
        <v/>
      </c>
      <c r="IM16" s="20">
        <f>IF(Simulation!IM16&lt;Obligors!$I$16,1,0)</f>
        <v/>
      </c>
      <c r="IN16" s="20">
        <f>IF(Simulation!IN16&lt;Obligors!$I$16,1,0)</f>
        <v/>
      </c>
      <c r="IO16" s="20">
        <f>IF(Simulation!IO16&lt;Obligors!$I$16,1,0)</f>
        <v/>
      </c>
      <c r="IP16" s="20">
        <f>IF(Simulation!IP16&lt;Obligors!$I$16,1,0)</f>
        <v/>
      </c>
      <c r="IQ16" s="20">
        <f>IF(Simulation!IQ16&lt;Obligors!$I$16,1,0)</f>
        <v/>
      </c>
      <c r="IR16" s="20">
        <f>IF(Simulation!IR16&lt;Obligors!$I$16,1,0)</f>
        <v/>
      </c>
      <c r="IS16" s="20">
        <f>IF(Simulation!IS16&lt;Obligors!$I$16,1,0)</f>
        <v/>
      </c>
      <c r="IT16" s="20">
        <f>IF(Simulation!IT16&lt;Obligors!$I$16,1,0)</f>
        <v/>
      </c>
      <c r="IU16" s="20">
        <f>IF(Simulation!IU16&lt;Obligors!$I$16,1,0)</f>
        <v/>
      </c>
      <c r="IV16" s="20">
        <f>IF(Simulation!IV16&lt;Obligors!$I$16,1,0)</f>
        <v/>
      </c>
      <c r="IW16" s="20">
        <f>IF(Simulation!IW16&lt;Obligors!$I$16,1,0)</f>
        <v/>
      </c>
      <c r="IX16" s="20">
        <f>IF(Simulation!IX16&lt;Obligors!$I$16,1,0)</f>
        <v/>
      </c>
      <c r="IY16" s="20">
        <f>IF(Simulation!IY16&lt;Obligors!$I$16,1,0)</f>
        <v/>
      </c>
      <c r="IZ16" s="20">
        <f>IF(Simulation!IZ16&lt;Obligors!$I$16,1,0)</f>
        <v/>
      </c>
      <c r="JA16" s="20">
        <f>IF(Simulation!JA16&lt;Obligors!$I$16,1,0)</f>
        <v/>
      </c>
      <c r="JB16" s="20">
        <f>IF(Simulation!JB16&lt;Obligors!$I$16,1,0)</f>
        <v/>
      </c>
      <c r="JC16" s="20">
        <f>IF(Simulation!JC16&lt;Obligors!$I$16,1,0)</f>
        <v/>
      </c>
      <c r="JD16" s="20">
        <f>IF(Simulation!JD16&lt;Obligors!$I$16,1,0)</f>
        <v/>
      </c>
      <c r="JE16" s="20">
        <f>IF(Simulation!JE16&lt;Obligors!$I$16,1,0)</f>
        <v/>
      </c>
      <c r="JF16" s="20">
        <f>IF(Simulation!JF16&lt;Obligors!$I$16,1,0)</f>
        <v/>
      </c>
      <c r="JG16" s="20">
        <f>IF(Simulation!JG16&lt;Obligors!$I$16,1,0)</f>
        <v/>
      </c>
      <c r="JH16" s="20">
        <f>IF(Simulation!JH16&lt;Obligors!$I$16,1,0)</f>
        <v/>
      </c>
      <c r="JI16" s="20">
        <f>IF(Simulation!JI16&lt;Obligors!$I$16,1,0)</f>
        <v/>
      </c>
      <c r="JJ16" s="20">
        <f>IF(Simulation!JJ16&lt;Obligors!$I$16,1,0)</f>
        <v/>
      </c>
      <c r="JK16" s="20">
        <f>IF(Simulation!JK16&lt;Obligors!$I$16,1,0)</f>
        <v/>
      </c>
      <c r="JL16" s="20">
        <f>IF(Simulation!JL16&lt;Obligors!$I$16,1,0)</f>
        <v/>
      </c>
      <c r="JM16" s="20">
        <f>IF(Simulation!JM16&lt;Obligors!$I$16,1,0)</f>
        <v/>
      </c>
      <c r="JN16" s="20">
        <f>IF(Simulation!JN16&lt;Obligors!$I$16,1,0)</f>
        <v/>
      </c>
      <c r="JO16" s="20">
        <f>IF(Simulation!JO16&lt;Obligors!$I$16,1,0)</f>
        <v/>
      </c>
      <c r="JP16" s="20">
        <f>IF(Simulation!JP16&lt;Obligors!$I$16,1,0)</f>
        <v/>
      </c>
      <c r="JQ16" s="20">
        <f>IF(Simulation!JQ16&lt;Obligors!$I$16,1,0)</f>
        <v/>
      </c>
      <c r="JR16" s="20">
        <f>IF(Simulation!JR16&lt;Obligors!$I$16,1,0)</f>
        <v/>
      </c>
      <c r="JS16" s="20">
        <f>IF(Simulation!JS16&lt;Obligors!$I$16,1,0)</f>
        <v/>
      </c>
      <c r="JT16" s="20">
        <f>IF(Simulation!JT16&lt;Obligors!$I$16,1,0)</f>
        <v/>
      </c>
      <c r="JU16" s="20">
        <f>IF(Simulation!JU16&lt;Obligors!$I$16,1,0)</f>
        <v/>
      </c>
      <c r="JV16" s="20">
        <f>IF(Simulation!JV16&lt;Obligors!$I$16,1,0)</f>
        <v/>
      </c>
      <c r="JW16" s="20">
        <f>IF(Simulation!JW16&lt;Obligors!$I$16,1,0)</f>
        <v/>
      </c>
      <c r="JX16" s="20">
        <f>IF(Simulation!JX16&lt;Obligors!$I$16,1,0)</f>
        <v/>
      </c>
      <c r="JY16" s="20">
        <f>IF(Simulation!JY16&lt;Obligors!$I$16,1,0)</f>
        <v/>
      </c>
      <c r="JZ16" s="20">
        <f>IF(Simulation!JZ16&lt;Obligors!$I$16,1,0)</f>
        <v/>
      </c>
      <c r="KA16" s="20">
        <f>IF(Simulation!KA16&lt;Obligors!$I$16,1,0)</f>
        <v/>
      </c>
      <c r="KB16" s="20">
        <f>IF(Simulation!KB16&lt;Obligors!$I$16,1,0)</f>
        <v/>
      </c>
      <c r="KC16" s="20">
        <f>IF(Simulation!KC16&lt;Obligors!$I$16,1,0)</f>
        <v/>
      </c>
      <c r="KD16" s="20">
        <f>IF(Simulation!KD16&lt;Obligors!$I$16,1,0)</f>
        <v/>
      </c>
      <c r="KE16" s="20">
        <f>IF(Simulation!KE16&lt;Obligors!$I$16,1,0)</f>
        <v/>
      </c>
      <c r="KF16" s="20">
        <f>IF(Simulation!KF16&lt;Obligors!$I$16,1,0)</f>
        <v/>
      </c>
      <c r="KG16" s="20">
        <f>IF(Simulation!KG16&lt;Obligors!$I$16,1,0)</f>
        <v/>
      </c>
      <c r="KH16" s="20">
        <f>IF(Simulation!KH16&lt;Obligors!$I$16,1,0)</f>
        <v/>
      </c>
      <c r="KI16" s="20">
        <f>IF(Simulation!KI16&lt;Obligors!$I$16,1,0)</f>
        <v/>
      </c>
      <c r="KJ16" s="20">
        <f>IF(Simulation!KJ16&lt;Obligors!$I$16,1,0)</f>
        <v/>
      </c>
      <c r="KK16" s="20">
        <f>IF(Simulation!KK16&lt;Obligors!$I$16,1,0)</f>
        <v/>
      </c>
      <c r="KL16" s="20">
        <f>IF(Simulation!KL16&lt;Obligors!$I$16,1,0)</f>
        <v/>
      </c>
      <c r="KM16" s="20">
        <f>IF(Simulation!KM16&lt;Obligors!$I$16,1,0)</f>
        <v/>
      </c>
      <c r="KN16" s="20">
        <f>IF(Simulation!KN16&lt;Obligors!$I$16,1,0)</f>
        <v/>
      </c>
      <c r="KO16" s="20">
        <f>IF(Simulation!KO16&lt;Obligors!$I$16,1,0)</f>
        <v/>
      </c>
      <c r="KP16" s="20">
        <f>IF(Simulation!KP16&lt;Obligors!$I$16,1,0)</f>
        <v/>
      </c>
      <c r="KQ16" s="20">
        <f>IF(Simulation!KQ16&lt;Obligors!$I$16,1,0)</f>
        <v/>
      </c>
      <c r="KR16" s="20">
        <f>IF(Simulation!KR16&lt;Obligors!$I$16,1,0)</f>
        <v/>
      </c>
      <c r="KS16" s="20">
        <f>IF(Simulation!KS16&lt;Obligors!$I$16,1,0)</f>
        <v/>
      </c>
      <c r="KT16" s="20">
        <f>IF(Simulation!KT16&lt;Obligors!$I$16,1,0)</f>
        <v/>
      </c>
      <c r="KU16" s="20">
        <f>IF(Simulation!KU16&lt;Obligors!$I$16,1,0)</f>
        <v/>
      </c>
      <c r="KV16" s="20">
        <f>IF(Simulation!KV16&lt;Obligors!$I$16,1,0)</f>
        <v/>
      </c>
      <c r="KW16" s="20">
        <f>IF(Simulation!KW16&lt;Obligors!$I$16,1,0)</f>
        <v/>
      </c>
      <c r="KX16" s="20">
        <f>IF(Simulation!KX16&lt;Obligors!$I$16,1,0)</f>
        <v/>
      </c>
      <c r="KY16" s="20">
        <f>IF(Simulation!KY16&lt;Obligors!$I$16,1,0)</f>
        <v/>
      </c>
      <c r="KZ16" s="20">
        <f>IF(Simulation!KZ16&lt;Obligors!$I$16,1,0)</f>
        <v/>
      </c>
      <c r="LA16" s="20">
        <f>IF(Simulation!LA16&lt;Obligors!$I$16,1,0)</f>
        <v/>
      </c>
      <c r="LB16" s="20">
        <f>IF(Simulation!LB16&lt;Obligors!$I$16,1,0)</f>
        <v/>
      </c>
      <c r="LC16" s="20">
        <f>IF(Simulation!LC16&lt;Obligors!$I$16,1,0)</f>
        <v/>
      </c>
      <c r="LD16" s="20">
        <f>IF(Simulation!LD16&lt;Obligors!$I$16,1,0)</f>
        <v/>
      </c>
      <c r="LE16" s="20">
        <f>IF(Simulation!LE16&lt;Obligors!$I$16,1,0)</f>
        <v/>
      </c>
      <c r="LF16" s="20">
        <f>IF(Simulation!LF16&lt;Obligors!$I$16,1,0)</f>
        <v/>
      </c>
      <c r="LG16" s="20">
        <f>IF(Simulation!LG16&lt;Obligors!$I$16,1,0)</f>
        <v/>
      </c>
      <c r="LH16" s="20">
        <f>IF(Simulation!LH16&lt;Obligors!$I$16,1,0)</f>
        <v/>
      </c>
      <c r="LI16" s="20">
        <f>IF(Simulation!LI16&lt;Obligors!$I$16,1,0)</f>
        <v/>
      </c>
      <c r="LJ16" s="20">
        <f>IF(Simulation!LJ16&lt;Obligors!$I$16,1,0)</f>
        <v/>
      </c>
      <c r="LK16" s="20">
        <f>IF(Simulation!LK16&lt;Obligors!$I$16,1,0)</f>
        <v/>
      </c>
      <c r="LL16" s="20">
        <f>IF(Simulation!LL16&lt;Obligors!$I$16,1,0)</f>
        <v/>
      </c>
      <c r="LM16" s="20">
        <f>IF(Simulation!LM16&lt;Obligors!$I$16,1,0)</f>
        <v/>
      </c>
      <c r="LN16" s="20">
        <f>IF(Simulation!LN16&lt;Obligors!$I$16,1,0)</f>
        <v/>
      </c>
      <c r="LO16" s="20">
        <f>IF(Simulation!LO16&lt;Obligors!$I$16,1,0)</f>
        <v/>
      </c>
      <c r="LP16" s="20">
        <f>IF(Simulation!LP16&lt;Obligors!$I$16,1,0)</f>
        <v/>
      </c>
      <c r="LQ16" s="20">
        <f>IF(Simulation!LQ16&lt;Obligors!$I$16,1,0)</f>
        <v/>
      </c>
      <c r="LR16" s="20">
        <f>IF(Simulation!LR16&lt;Obligors!$I$16,1,0)</f>
        <v/>
      </c>
      <c r="LS16" s="20">
        <f>IF(Simulation!LS16&lt;Obligors!$I$16,1,0)</f>
        <v/>
      </c>
      <c r="LT16" s="20">
        <f>IF(Simulation!LT16&lt;Obligors!$I$16,1,0)</f>
        <v/>
      </c>
      <c r="LU16" s="20">
        <f>IF(Simulation!LU16&lt;Obligors!$I$16,1,0)</f>
        <v/>
      </c>
      <c r="LV16" s="20">
        <f>IF(Simulation!LV16&lt;Obligors!$I$16,1,0)</f>
        <v/>
      </c>
      <c r="LW16" s="20">
        <f>IF(Simulation!LW16&lt;Obligors!$I$16,1,0)</f>
        <v/>
      </c>
      <c r="LX16" s="20">
        <f>IF(Simulation!LX16&lt;Obligors!$I$16,1,0)</f>
        <v/>
      </c>
      <c r="LY16" s="20">
        <f>IF(Simulation!LY16&lt;Obligors!$I$16,1,0)</f>
        <v/>
      </c>
      <c r="LZ16" s="20">
        <f>IF(Simulation!LZ16&lt;Obligors!$I$16,1,0)</f>
        <v/>
      </c>
      <c r="MA16" s="20">
        <f>IF(Simulation!MA16&lt;Obligors!$I$16,1,0)</f>
        <v/>
      </c>
      <c r="MB16" s="20">
        <f>IF(Simulation!MB16&lt;Obligors!$I$16,1,0)</f>
        <v/>
      </c>
      <c r="MC16" s="20">
        <f>IF(Simulation!MC16&lt;Obligors!$I$16,1,0)</f>
        <v/>
      </c>
      <c r="MD16" s="20">
        <f>IF(Simulation!MD16&lt;Obligors!$I$16,1,0)</f>
        <v/>
      </c>
      <c r="ME16" s="20">
        <f>IF(Simulation!ME16&lt;Obligors!$I$16,1,0)</f>
        <v/>
      </c>
      <c r="MF16" s="20">
        <f>IF(Simulation!MF16&lt;Obligors!$I$16,1,0)</f>
        <v/>
      </c>
      <c r="MG16" s="20">
        <f>IF(Simulation!MG16&lt;Obligors!$I$16,1,0)</f>
        <v/>
      </c>
      <c r="MH16" s="20">
        <f>IF(Simulation!MH16&lt;Obligors!$I$16,1,0)</f>
        <v/>
      </c>
      <c r="MI16" s="20">
        <f>IF(Simulation!MI16&lt;Obligors!$I$16,1,0)</f>
        <v/>
      </c>
      <c r="MJ16" s="20">
        <f>IF(Simulation!MJ16&lt;Obligors!$I$16,1,0)</f>
        <v/>
      </c>
      <c r="MK16" s="20">
        <f>IF(Simulation!MK16&lt;Obligors!$I$16,1,0)</f>
        <v/>
      </c>
      <c r="ML16" s="20">
        <f>IF(Simulation!ML16&lt;Obligors!$I$16,1,0)</f>
        <v/>
      </c>
      <c r="MM16" s="20">
        <f>IF(Simulation!MM16&lt;Obligors!$I$16,1,0)</f>
        <v/>
      </c>
      <c r="MN16" s="20">
        <f>IF(Simulation!MN16&lt;Obligors!$I$16,1,0)</f>
        <v/>
      </c>
      <c r="MO16" s="20">
        <f>IF(Simulation!MO16&lt;Obligors!$I$16,1,0)</f>
        <v/>
      </c>
      <c r="MP16" s="20">
        <f>IF(Simulation!MP16&lt;Obligors!$I$16,1,0)</f>
        <v/>
      </c>
      <c r="MQ16" s="20">
        <f>IF(Simulation!MQ16&lt;Obligors!$I$16,1,0)</f>
        <v/>
      </c>
      <c r="MR16" s="20">
        <f>IF(Simulation!MR16&lt;Obligors!$I$16,1,0)</f>
        <v/>
      </c>
      <c r="MS16" s="20">
        <f>IF(Simulation!MS16&lt;Obligors!$I$16,1,0)</f>
        <v/>
      </c>
      <c r="MT16" s="20">
        <f>IF(Simulation!MT16&lt;Obligors!$I$16,1,0)</f>
        <v/>
      </c>
      <c r="MU16" s="20">
        <f>IF(Simulation!MU16&lt;Obligors!$I$16,1,0)</f>
        <v/>
      </c>
      <c r="MV16" s="20">
        <f>IF(Simulation!MV16&lt;Obligors!$I$16,1,0)</f>
        <v/>
      </c>
      <c r="MW16" s="20">
        <f>IF(Simulation!MW16&lt;Obligors!$I$16,1,0)</f>
        <v/>
      </c>
      <c r="MX16" s="20">
        <f>IF(Simulation!MX16&lt;Obligors!$I$16,1,0)</f>
        <v/>
      </c>
      <c r="MY16" s="20">
        <f>IF(Simulation!MY16&lt;Obligors!$I$16,1,0)</f>
        <v/>
      </c>
      <c r="MZ16" s="20">
        <f>IF(Simulation!MZ16&lt;Obligors!$I$16,1,0)</f>
        <v/>
      </c>
      <c r="NA16" s="20">
        <f>IF(Simulation!NA16&lt;Obligors!$I$16,1,0)</f>
        <v/>
      </c>
      <c r="NB16" s="20">
        <f>IF(Simulation!NB16&lt;Obligors!$I$16,1,0)</f>
        <v/>
      </c>
      <c r="NC16" s="20">
        <f>IF(Simulation!NC16&lt;Obligors!$I$16,1,0)</f>
        <v/>
      </c>
      <c r="ND16" s="20">
        <f>IF(Simulation!ND16&lt;Obligors!$I$16,1,0)</f>
        <v/>
      </c>
      <c r="NE16" s="20">
        <f>IF(Simulation!NE16&lt;Obligors!$I$16,1,0)</f>
        <v/>
      </c>
      <c r="NF16" s="20">
        <f>IF(Simulation!NF16&lt;Obligors!$I$16,1,0)</f>
        <v/>
      </c>
      <c r="NG16" s="20">
        <f>IF(Simulation!NG16&lt;Obligors!$I$16,1,0)</f>
        <v/>
      </c>
      <c r="NH16" s="20">
        <f>IF(Simulation!NH16&lt;Obligors!$I$16,1,0)</f>
        <v/>
      </c>
      <c r="NI16" s="20">
        <f>IF(Simulation!NI16&lt;Obligors!$I$16,1,0)</f>
        <v/>
      </c>
      <c r="NJ16" s="20">
        <f>IF(Simulation!NJ16&lt;Obligors!$I$16,1,0)</f>
        <v/>
      </c>
      <c r="NK16" s="20">
        <f>IF(Simulation!NK16&lt;Obligors!$I$16,1,0)</f>
        <v/>
      </c>
      <c r="NL16" s="20">
        <f>IF(Simulation!NL16&lt;Obligors!$I$16,1,0)</f>
        <v/>
      </c>
      <c r="NM16" s="20">
        <f>IF(Simulation!NM16&lt;Obligors!$I$16,1,0)</f>
        <v/>
      </c>
      <c r="NN16" s="20">
        <f>IF(Simulation!NN16&lt;Obligors!$I$16,1,0)</f>
        <v/>
      </c>
      <c r="NO16" s="20">
        <f>IF(Simulation!NO16&lt;Obligors!$I$16,1,0)</f>
        <v/>
      </c>
      <c r="NP16" s="20">
        <f>IF(Simulation!NP16&lt;Obligors!$I$16,1,0)</f>
        <v/>
      </c>
      <c r="NQ16" s="20">
        <f>IF(Simulation!NQ16&lt;Obligors!$I$16,1,0)</f>
        <v/>
      </c>
      <c r="NR16" s="20">
        <f>IF(Simulation!NR16&lt;Obligors!$I$16,1,0)</f>
        <v/>
      </c>
      <c r="NS16" s="20">
        <f>IF(Simulation!NS16&lt;Obligors!$I$16,1,0)</f>
        <v/>
      </c>
      <c r="NT16" s="20">
        <f>IF(Simulation!NT16&lt;Obligors!$I$16,1,0)</f>
        <v/>
      </c>
      <c r="NU16" s="20">
        <f>IF(Simulation!NU16&lt;Obligors!$I$16,1,0)</f>
        <v/>
      </c>
      <c r="NV16" s="20">
        <f>IF(Simulation!NV16&lt;Obligors!$I$16,1,0)</f>
        <v/>
      </c>
      <c r="NW16" s="20">
        <f>IF(Simulation!NW16&lt;Obligors!$I$16,1,0)</f>
        <v/>
      </c>
      <c r="NX16" s="20">
        <f>IF(Simulation!NX16&lt;Obligors!$I$16,1,0)</f>
        <v/>
      </c>
      <c r="NY16" s="20">
        <f>IF(Simulation!NY16&lt;Obligors!$I$16,1,0)</f>
        <v/>
      </c>
      <c r="NZ16" s="20">
        <f>IF(Simulation!NZ16&lt;Obligors!$I$16,1,0)</f>
        <v/>
      </c>
      <c r="OA16" s="20">
        <f>IF(Simulation!OA16&lt;Obligors!$I$16,1,0)</f>
        <v/>
      </c>
      <c r="OB16" s="20">
        <f>IF(Simulation!OB16&lt;Obligors!$I$16,1,0)</f>
        <v/>
      </c>
      <c r="OC16" s="20">
        <f>IF(Simulation!OC16&lt;Obligors!$I$16,1,0)</f>
        <v/>
      </c>
      <c r="OD16" s="20">
        <f>IF(Simulation!OD16&lt;Obligors!$I$16,1,0)</f>
        <v/>
      </c>
      <c r="OE16" s="20">
        <f>IF(Simulation!OE16&lt;Obligors!$I$16,1,0)</f>
        <v/>
      </c>
      <c r="OF16" s="20">
        <f>IF(Simulation!OF16&lt;Obligors!$I$16,1,0)</f>
        <v/>
      </c>
      <c r="OG16" s="20">
        <f>IF(Simulation!OG16&lt;Obligors!$I$16,1,0)</f>
        <v/>
      </c>
      <c r="OH16" s="20">
        <f>IF(Simulation!OH16&lt;Obligors!$I$16,1,0)</f>
        <v/>
      </c>
      <c r="OI16" s="20">
        <f>IF(Simulation!OI16&lt;Obligors!$I$16,1,0)</f>
        <v/>
      </c>
      <c r="OJ16" s="20">
        <f>IF(Simulation!OJ16&lt;Obligors!$I$16,1,0)</f>
        <v/>
      </c>
      <c r="OK16" s="20">
        <f>IF(Simulation!OK16&lt;Obligors!$I$16,1,0)</f>
        <v/>
      </c>
      <c r="OL16" s="20">
        <f>IF(Simulation!OL16&lt;Obligors!$I$16,1,0)</f>
        <v/>
      </c>
      <c r="OM16" s="20">
        <f>IF(Simulation!OM16&lt;Obligors!$I$16,1,0)</f>
        <v/>
      </c>
      <c r="ON16" s="20">
        <f>IF(Simulation!ON16&lt;Obligors!$I$16,1,0)</f>
        <v/>
      </c>
      <c r="OO16" s="20">
        <f>IF(Simulation!OO16&lt;Obligors!$I$16,1,0)</f>
        <v/>
      </c>
      <c r="OP16" s="20">
        <f>IF(Simulation!OP16&lt;Obligors!$I$16,1,0)</f>
        <v/>
      </c>
      <c r="OQ16" s="20">
        <f>IF(Simulation!OQ16&lt;Obligors!$I$16,1,0)</f>
        <v/>
      </c>
      <c r="OR16" s="20">
        <f>IF(Simulation!OR16&lt;Obligors!$I$16,1,0)</f>
        <v/>
      </c>
      <c r="OS16" s="20">
        <f>IF(Simulation!OS16&lt;Obligors!$I$16,1,0)</f>
        <v/>
      </c>
      <c r="OT16" s="20">
        <f>IF(Simulation!OT16&lt;Obligors!$I$16,1,0)</f>
        <v/>
      </c>
      <c r="OU16" s="20">
        <f>IF(Simulation!OU16&lt;Obligors!$I$16,1,0)</f>
        <v/>
      </c>
      <c r="OV16" s="20">
        <f>IF(Simulation!OV16&lt;Obligors!$I$16,1,0)</f>
        <v/>
      </c>
      <c r="OW16" s="20">
        <f>IF(Simulation!OW16&lt;Obligors!$I$16,1,0)</f>
        <v/>
      </c>
      <c r="OX16" s="20">
        <f>IF(Simulation!OX16&lt;Obligors!$I$16,1,0)</f>
        <v/>
      </c>
      <c r="OY16" s="20">
        <f>IF(Simulation!OY16&lt;Obligors!$I$16,1,0)</f>
        <v/>
      </c>
      <c r="OZ16" s="20">
        <f>IF(Simulation!OZ16&lt;Obligors!$I$16,1,0)</f>
        <v/>
      </c>
      <c r="PA16" s="20">
        <f>IF(Simulation!PA16&lt;Obligors!$I$16,1,0)</f>
        <v/>
      </c>
      <c r="PB16" s="20">
        <f>IF(Simulation!PB16&lt;Obligors!$I$16,1,0)</f>
        <v/>
      </c>
      <c r="PC16" s="20">
        <f>IF(Simulation!PC16&lt;Obligors!$I$16,1,0)</f>
        <v/>
      </c>
      <c r="PD16" s="20">
        <f>IF(Simulation!PD16&lt;Obligors!$I$16,1,0)</f>
        <v/>
      </c>
      <c r="PE16" s="20">
        <f>IF(Simulation!PE16&lt;Obligors!$I$16,1,0)</f>
        <v/>
      </c>
      <c r="PF16" s="20">
        <f>IF(Simulation!PF16&lt;Obligors!$I$16,1,0)</f>
        <v/>
      </c>
      <c r="PG16" s="20">
        <f>IF(Simulation!PG16&lt;Obligors!$I$16,1,0)</f>
        <v/>
      </c>
      <c r="PH16" s="20">
        <f>IF(Simulation!PH16&lt;Obligors!$I$16,1,0)</f>
        <v/>
      </c>
      <c r="PI16" s="20">
        <f>IF(Simulation!PI16&lt;Obligors!$I$16,1,0)</f>
        <v/>
      </c>
      <c r="PJ16" s="20">
        <f>IF(Simulation!PJ16&lt;Obligors!$I$16,1,0)</f>
        <v/>
      </c>
      <c r="PK16" s="20">
        <f>IF(Simulation!PK16&lt;Obligors!$I$16,1,0)</f>
        <v/>
      </c>
      <c r="PL16" s="20">
        <f>IF(Simulation!PL16&lt;Obligors!$I$16,1,0)</f>
        <v/>
      </c>
      <c r="PM16" s="20">
        <f>IF(Simulation!PM16&lt;Obligors!$I$16,1,0)</f>
        <v/>
      </c>
      <c r="PN16" s="20">
        <f>IF(Simulation!PN16&lt;Obligors!$I$16,1,0)</f>
        <v/>
      </c>
      <c r="PO16" s="20">
        <f>IF(Simulation!PO16&lt;Obligors!$I$16,1,0)</f>
        <v/>
      </c>
      <c r="PP16" s="20">
        <f>IF(Simulation!PP16&lt;Obligors!$I$16,1,0)</f>
        <v/>
      </c>
      <c r="PQ16" s="20">
        <f>IF(Simulation!PQ16&lt;Obligors!$I$16,1,0)</f>
        <v/>
      </c>
      <c r="PR16" s="20">
        <f>IF(Simulation!PR16&lt;Obligors!$I$16,1,0)</f>
        <v/>
      </c>
      <c r="PS16" s="20">
        <f>IF(Simulation!PS16&lt;Obligors!$I$16,1,0)</f>
        <v/>
      </c>
      <c r="PT16" s="20">
        <f>IF(Simulation!PT16&lt;Obligors!$I$16,1,0)</f>
        <v/>
      </c>
      <c r="PU16" s="20">
        <f>IF(Simulation!PU16&lt;Obligors!$I$16,1,0)</f>
        <v/>
      </c>
      <c r="PV16" s="20">
        <f>IF(Simulation!PV16&lt;Obligors!$I$16,1,0)</f>
        <v/>
      </c>
      <c r="PW16" s="20">
        <f>IF(Simulation!PW16&lt;Obligors!$I$16,1,0)</f>
        <v/>
      </c>
      <c r="PX16" s="20">
        <f>IF(Simulation!PX16&lt;Obligors!$I$16,1,0)</f>
        <v/>
      </c>
      <c r="PY16" s="20">
        <f>IF(Simulation!PY16&lt;Obligors!$I$16,1,0)</f>
        <v/>
      </c>
      <c r="PZ16" s="20">
        <f>IF(Simulation!PZ16&lt;Obligors!$I$16,1,0)</f>
        <v/>
      </c>
      <c r="QA16" s="20">
        <f>IF(Simulation!QA16&lt;Obligors!$I$16,1,0)</f>
        <v/>
      </c>
      <c r="QB16" s="20">
        <f>IF(Simulation!QB16&lt;Obligors!$I$16,1,0)</f>
        <v/>
      </c>
      <c r="QC16" s="20">
        <f>IF(Simulation!QC16&lt;Obligors!$I$16,1,0)</f>
        <v/>
      </c>
      <c r="QD16" s="20">
        <f>IF(Simulation!QD16&lt;Obligors!$I$16,1,0)</f>
        <v/>
      </c>
      <c r="QE16" s="20">
        <f>IF(Simulation!QE16&lt;Obligors!$I$16,1,0)</f>
        <v/>
      </c>
      <c r="QF16" s="20">
        <f>IF(Simulation!QF16&lt;Obligors!$I$16,1,0)</f>
        <v/>
      </c>
      <c r="QG16" s="20">
        <f>IF(Simulation!QG16&lt;Obligors!$I$16,1,0)</f>
        <v/>
      </c>
      <c r="QH16" s="20">
        <f>IF(Simulation!QH16&lt;Obligors!$I$16,1,0)</f>
        <v/>
      </c>
      <c r="QI16" s="20">
        <f>IF(Simulation!QI16&lt;Obligors!$I$16,1,0)</f>
        <v/>
      </c>
      <c r="QJ16" s="20">
        <f>IF(Simulation!QJ16&lt;Obligors!$I$16,1,0)</f>
        <v/>
      </c>
      <c r="QK16" s="20">
        <f>IF(Simulation!QK16&lt;Obligors!$I$16,1,0)</f>
        <v/>
      </c>
      <c r="QL16" s="20">
        <f>IF(Simulation!QL16&lt;Obligors!$I$16,1,0)</f>
        <v/>
      </c>
      <c r="QM16" s="20">
        <f>IF(Simulation!QM16&lt;Obligors!$I$16,1,0)</f>
        <v/>
      </c>
      <c r="QN16" s="20">
        <f>IF(Simulation!QN16&lt;Obligors!$I$16,1,0)</f>
        <v/>
      </c>
      <c r="QO16" s="20">
        <f>IF(Simulation!QO16&lt;Obligors!$I$16,1,0)</f>
        <v/>
      </c>
      <c r="QP16" s="20">
        <f>IF(Simulation!QP16&lt;Obligors!$I$16,1,0)</f>
        <v/>
      </c>
      <c r="QQ16" s="20">
        <f>IF(Simulation!QQ16&lt;Obligors!$I$16,1,0)</f>
        <v/>
      </c>
      <c r="QR16" s="20">
        <f>IF(Simulation!QR16&lt;Obligors!$I$16,1,0)</f>
        <v/>
      </c>
      <c r="QS16" s="20">
        <f>IF(Simulation!QS16&lt;Obligors!$I$16,1,0)</f>
        <v/>
      </c>
      <c r="QT16" s="20">
        <f>IF(Simulation!QT16&lt;Obligors!$I$16,1,0)</f>
        <v/>
      </c>
      <c r="QU16" s="20">
        <f>IF(Simulation!QU16&lt;Obligors!$I$16,1,0)</f>
        <v/>
      </c>
      <c r="QV16" s="20">
        <f>IF(Simulation!QV16&lt;Obligors!$I$16,1,0)</f>
        <v/>
      </c>
      <c r="QW16" s="20">
        <f>IF(Simulation!QW16&lt;Obligors!$I$16,1,0)</f>
        <v/>
      </c>
      <c r="QX16" s="20">
        <f>IF(Simulation!QX16&lt;Obligors!$I$16,1,0)</f>
        <v/>
      </c>
      <c r="QY16" s="20">
        <f>IF(Simulation!QY16&lt;Obligors!$I$16,1,0)</f>
        <v/>
      </c>
      <c r="QZ16" s="20">
        <f>IF(Simulation!QZ16&lt;Obligors!$I$16,1,0)</f>
        <v/>
      </c>
      <c r="RA16" s="20">
        <f>IF(Simulation!RA16&lt;Obligors!$I$16,1,0)</f>
        <v/>
      </c>
      <c r="RB16" s="20">
        <f>IF(Simulation!RB16&lt;Obligors!$I$16,1,0)</f>
        <v/>
      </c>
      <c r="RC16" s="20">
        <f>IF(Simulation!RC16&lt;Obligors!$I$16,1,0)</f>
        <v/>
      </c>
      <c r="RD16" s="20">
        <f>IF(Simulation!RD16&lt;Obligors!$I$16,1,0)</f>
        <v/>
      </c>
      <c r="RE16" s="20">
        <f>IF(Simulation!RE16&lt;Obligors!$I$16,1,0)</f>
        <v/>
      </c>
      <c r="RF16" s="20">
        <f>IF(Simulation!RF16&lt;Obligors!$I$16,1,0)</f>
        <v/>
      </c>
      <c r="RG16" s="20">
        <f>IF(Simulation!RG16&lt;Obligors!$I$16,1,0)</f>
        <v/>
      </c>
      <c r="RH16" s="20">
        <f>IF(Simulation!RH16&lt;Obligors!$I$16,1,0)</f>
        <v/>
      </c>
      <c r="RI16" s="20">
        <f>IF(Simulation!RI16&lt;Obligors!$I$16,1,0)</f>
        <v/>
      </c>
      <c r="RJ16" s="20">
        <f>IF(Simulation!RJ16&lt;Obligors!$I$16,1,0)</f>
        <v/>
      </c>
      <c r="RK16" s="20">
        <f>IF(Simulation!RK16&lt;Obligors!$I$16,1,0)</f>
        <v/>
      </c>
      <c r="RL16" s="20">
        <f>IF(Simulation!RL16&lt;Obligors!$I$16,1,0)</f>
        <v/>
      </c>
      <c r="RM16" s="20">
        <f>IF(Simulation!RM16&lt;Obligors!$I$16,1,0)</f>
        <v/>
      </c>
      <c r="RN16" s="20">
        <f>IF(Simulation!RN16&lt;Obligors!$I$16,1,0)</f>
        <v/>
      </c>
      <c r="RO16" s="20">
        <f>IF(Simulation!RO16&lt;Obligors!$I$16,1,0)</f>
        <v/>
      </c>
      <c r="RP16" s="20">
        <f>IF(Simulation!RP16&lt;Obligors!$I$16,1,0)</f>
        <v/>
      </c>
      <c r="RQ16" s="20">
        <f>IF(Simulation!RQ16&lt;Obligors!$I$16,1,0)</f>
        <v/>
      </c>
      <c r="RR16" s="20">
        <f>IF(Simulation!RR16&lt;Obligors!$I$16,1,0)</f>
        <v/>
      </c>
      <c r="RS16" s="20">
        <f>IF(Simulation!RS16&lt;Obligors!$I$16,1,0)</f>
        <v/>
      </c>
      <c r="RT16" s="20">
        <f>IF(Simulation!RT16&lt;Obligors!$I$16,1,0)</f>
        <v/>
      </c>
      <c r="RU16" s="20">
        <f>IF(Simulation!RU16&lt;Obligors!$I$16,1,0)</f>
        <v/>
      </c>
      <c r="RV16" s="20">
        <f>IF(Simulation!RV16&lt;Obligors!$I$16,1,0)</f>
        <v/>
      </c>
      <c r="RW16" s="20">
        <f>IF(Simulation!RW16&lt;Obligors!$I$16,1,0)</f>
        <v/>
      </c>
      <c r="RX16" s="20">
        <f>IF(Simulation!RX16&lt;Obligors!$I$16,1,0)</f>
        <v/>
      </c>
      <c r="RY16" s="20">
        <f>IF(Simulation!RY16&lt;Obligors!$I$16,1,0)</f>
        <v/>
      </c>
      <c r="RZ16" s="20">
        <f>IF(Simulation!RZ16&lt;Obligors!$I$16,1,0)</f>
        <v/>
      </c>
      <c r="SA16" s="20">
        <f>IF(Simulation!SA16&lt;Obligors!$I$16,1,0)</f>
        <v/>
      </c>
      <c r="SB16" s="20">
        <f>IF(Simulation!SB16&lt;Obligors!$I$16,1,0)</f>
        <v/>
      </c>
      <c r="SC16" s="20">
        <f>IF(Simulation!SC16&lt;Obligors!$I$16,1,0)</f>
        <v/>
      </c>
      <c r="SD16" s="20">
        <f>IF(Simulation!SD16&lt;Obligors!$I$16,1,0)</f>
        <v/>
      </c>
      <c r="SE16" s="20">
        <f>IF(Simulation!SE16&lt;Obligors!$I$16,1,0)</f>
        <v/>
      </c>
      <c r="SF16" s="20">
        <f>IF(Simulation!SF16&lt;Obligors!$I$16,1,0)</f>
        <v/>
      </c>
      <c r="SG16" s="20">
        <f>IF(Simulation!SG16&lt;Obligors!$I$16,1,0)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SG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5" t="inlineStr">
        <is>
          <t>Obligor \ Trial</t>
        </is>
      </c>
      <c r="B1" s="16" t="inlineStr">
        <is>
          <t>Trial 1</t>
        </is>
      </c>
      <c r="C1" s="16" t="inlineStr">
        <is>
          <t>Trial 2</t>
        </is>
      </c>
      <c r="D1" s="16" t="inlineStr">
        <is>
          <t>Trial 3</t>
        </is>
      </c>
      <c r="E1" s="16" t="inlineStr">
        <is>
          <t>Trial 4</t>
        </is>
      </c>
      <c r="F1" s="16" t="inlineStr">
        <is>
          <t>Trial 5</t>
        </is>
      </c>
      <c r="G1" s="16" t="inlineStr">
        <is>
          <t>Trial 6</t>
        </is>
      </c>
      <c r="H1" s="16" t="inlineStr">
        <is>
          <t>Trial 7</t>
        </is>
      </c>
      <c r="I1" s="16" t="inlineStr">
        <is>
          <t>Trial 8</t>
        </is>
      </c>
      <c r="J1" s="16" t="inlineStr">
        <is>
          <t>Trial 9</t>
        </is>
      </c>
      <c r="K1" s="16" t="inlineStr">
        <is>
          <t>Trial 10</t>
        </is>
      </c>
      <c r="L1" s="16" t="inlineStr">
        <is>
          <t>Trial 11</t>
        </is>
      </c>
      <c r="M1" s="16" t="inlineStr">
        <is>
          <t>Trial 12</t>
        </is>
      </c>
      <c r="N1" s="16" t="inlineStr">
        <is>
          <t>Trial 13</t>
        </is>
      </c>
      <c r="O1" s="16" t="inlineStr">
        <is>
          <t>Trial 14</t>
        </is>
      </c>
      <c r="P1" s="16" t="inlineStr">
        <is>
          <t>Trial 15</t>
        </is>
      </c>
      <c r="Q1" s="16" t="inlineStr">
        <is>
          <t>Trial 16</t>
        </is>
      </c>
      <c r="R1" s="16" t="inlineStr">
        <is>
          <t>Trial 17</t>
        </is>
      </c>
      <c r="S1" s="16" t="inlineStr">
        <is>
          <t>Trial 18</t>
        </is>
      </c>
      <c r="T1" s="16" t="inlineStr">
        <is>
          <t>Trial 19</t>
        </is>
      </c>
      <c r="U1" s="16" t="inlineStr">
        <is>
          <t>Trial 20</t>
        </is>
      </c>
      <c r="V1" s="16" t="inlineStr">
        <is>
          <t>Trial 21</t>
        </is>
      </c>
      <c r="W1" s="16" t="inlineStr">
        <is>
          <t>Trial 22</t>
        </is>
      </c>
      <c r="X1" s="16" t="inlineStr">
        <is>
          <t>Trial 23</t>
        </is>
      </c>
      <c r="Y1" s="16" t="inlineStr">
        <is>
          <t>Trial 24</t>
        </is>
      </c>
      <c r="Z1" s="16" t="inlineStr">
        <is>
          <t>Trial 25</t>
        </is>
      </c>
      <c r="AA1" s="16" t="inlineStr">
        <is>
          <t>Trial 26</t>
        </is>
      </c>
      <c r="AB1" s="16" t="inlineStr">
        <is>
          <t>Trial 27</t>
        </is>
      </c>
      <c r="AC1" s="16" t="inlineStr">
        <is>
          <t>Trial 28</t>
        </is>
      </c>
      <c r="AD1" s="16" t="inlineStr">
        <is>
          <t>Trial 29</t>
        </is>
      </c>
      <c r="AE1" s="16" t="inlineStr">
        <is>
          <t>Trial 30</t>
        </is>
      </c>
      <c r="AF1" s="16" t="inlineStr">
        <is>
          <t>Trial 31</t>
        </is>
      </c>
      <c r="AG1" s="16" t="inlineStr">
        <is>
          <t>Trial 32</t>
        </is>
      </c>
      <c r="AH1" s="16" t="inlineStr">
        <is>
          <t>Trial 33</t>
        </is>
      </c>
      <c r="AI1" s="16" t="inlineStr">
        <is>
          <t>Trial 34</t>
        </is>
      </c>
      <c r="AJ1" s="16" t="inlineStr">
        <is>
          <t>Trial 35</t>
        </is>
      </c>
      <c r="AK1" s="16" t="inlineStr">
        <is>
          <t>Trial 36</t>
        </is>
      </c>
      <c r="AL1" s="16" t="inlineStr">
        <is>
          <t>Trial 37</t>
        </is>
      </c>
      <c r="AM1" s="16" t="inlineStr">
        <is>
          <t>Trial 38</t>
        </is>
      </c>
      <c r="AN1" s="16" t="inlineStr">
        <is>
          <t>Trial 39</t>
        </is>
      </c>
      <c r="AO1" s="16" t="inlineStr">
        <is>
          <t>Trial 40</t>
        </is>
      </c>
      <c r="AP1" s="16" t="inlineStr">
        <is>
          <t>Trial 41</t>
        </is>
      </c>
      <c r="AQ1" s="16" t="inlineStr">
        <is>
          <t>Trial 42</t>
        </is>
      </c>
      <c r="AR1" s="16" t="inlineStr">
        <is>
          <t>Trial 43</t>
        </is>
      </c>
      <c r="AS1" s="16" t="inlineStr">
        <is>
          <t>Trial 44</t>
        </is>
      </c>
      <c r="AT1" s="16" t="inlineStr">
        <is>
          <t>Trial 45</t>
        </is>
      </c>
      <c r="AU1" s="16" t="inlineStr">
        <is>
          <t>Trial 46</t>
        </is>
      </c>
      <c r="AV1" s="16" t="inlineStr">
        <is>
          <t>Trial 47</t>
        </is>
      </c>
      <c r="AW1" s="16" t="inlineStr">
        <is>
          <t>Trial 48</t>
        </is>
      </c>
      <c r="AX1" s="16" t="inlineStr">
        <is>
          <t>Trial 49</t>
        </is>
      </c>
      <c r="AY1" s="16" t="inlineStr">
        <is>
          <t>Trial 50</t>
        </is>
      </c>
      <c r="AZ1" s="16" t="inlineStr">
        <is>
          <t>Trial 51</t>
        </is>
      </c>
      <c r="BA1" s="16" t="inlineStr">
        <is>
          <t>Trial 52</t>
        </is>
      </c>
      <c r="BB1" s="16" t="inlineStr">
        <is>
          <t>Trial 53</t>
        </is>
      </c>
      <c r="BC1" s="16" t="inlineStr">
        <is>
          <t>Trial 54</t>
        </is>
      </c>
      <c r="BD1" s="16" t="inlineStr">
        <is>
          <t>Trial 55</t>
        </is>
      </c>
      <c r="BE1" s="16" t="inlineStr">
        <is>
          <t>Trial 56</t>
        </is>
      </c>
      <c r="BF1" s="16" t="inlineStr">
        <is>
          <t>Trial 57</t>
        </is>
      </c>
      <c r="BG1" s="16" t="inlineStr">
        <is>
          <t>Trial 58</t>
        </is>
      </c>
      <c r="BH1" s="16" t="inlineStr">
        <is>
          <t>Trial 59</t>
        </is>
      </c>
      <c r="BI1" s="16" t="inlineStr">
        <is>
          <t>Trial 60</t>
        </is>
      </c>
      <c r="BJ1" s="16" t="inlineStr">
        <is>
          <t>Trial 61</t>
        </is>
      </c>
      <c r="BK1" s="16" t="inlineStr">
        <is>
          <t>Trial 62</t>
        </is>
      </c>
      <c r="BL1" s="16" t="inlineStr">
        <is>
          <t>Trial 63</t>
        </is>
      </c>
      <c r="BM1" s="16" t="inlineStr">
        <is>
          <t>Trial 64</t>
        </is>
      </c>
      <c r="BN1" s="16" t="inlineStr">
        <is>
          <t>Trial 65</t>
        </is>
      </c>
      <c r="BO1" s="16" t="inlineStr">
        <is>
          <t>Trial 66</t>
        </is>
      </c>
      <c r="BP1" s="16" t="inlineStr">
        <is>
          <t>Trial 67</t>
        </is>
      </c>
      <c r="BQ1" s="16" t="inlineStr">
        <is>
          <t>Trial 68</t>
        </is>
      </c>
      <c r="BR1" s="16" t="inlineStr">
        <is>
          <t>Trial 69</t>
        </is>
      </c>
      <c r="BS1" s="16" t="inlineStr">
        <is>
          <t>Trial 70</t>
        </is>
      </c>
      <c r="BT1" s="16" t="inlineStr">
        <is>
          <t>Trial 71</t>
        </is>
      </c>
      <c r="BU1" s="16" t="inlineStr">
        <is>
          <t>Trial 72</t>
        </is>
      </c>
      <c r="BV1" s="16" t="inlineStr">
        <is>
          <t>Trial 73</t>
        </is>
      </c>
      <c r="BW1" s="16" t="inlineStr">
        <is>
          <t>Trial 74</t>
        </is>
      </c>
      <c r="BX1" s="16" t="inlineStr">
        <is>
          <t>Trial 75</t>
        </is>
      </c>
      <c r="BY1" s="16" t="inlineStr">
        <is>
          <t>Trial 76</t>
        </is>
      </c>
      <c r="BZ1" s="16" t="inlineStr">
        <is>
          <t>Trial 77</t>
        </is>
      </c>
      <c r="CA1" s="16" t="inlineStr">
        <is>
          <t>Trial 78</t>
        </is>
      </c>
      <c r="CB1" s="16" t="inlineStr">
        <is>
          <t>Trial 79</t>
        </is>
      </c>
      <c r="CC1" s="16" t="inlineStr">
        <is>
          <t>Trial 80</t>
        </is>
      </c>
      <c r="CD1" s="16" t="inlineStr">
        <is>
          <t>Trial 81</t>
        </is>
      </c>
      <c r="CE1" s="16" t="inlineStr">
        <is>
          <t>Trial 82</t>
        </is>
      </c>
      <c r="CF1" s="16" t="inlineStr">
        <is>
          <t>Trial 83</t>
        </is>
      </c>
      <c r="CG1" s="16" t="inlineStr">
        <is>
          <t>Trial 84</t>
        </is>
      </c>
      <c r="CH1" s="16" t="inlineStr">
        <is>
          <t>Trial 85</t>
        </is>
      </c>
      <c r="CI1" s="16" t="inlineStr">
        <is>
          <t>Trial 86</t>
        </is>
      </c>
      <c r="CJ1" s="16" t="inlineStr">
        <is>
          <t>Trial 87</t>
        </is>
      </c>
      <c r="CK1" s="16" t="inlineStr">
        <is>
          <t>Trial 88</t>
        </is>
      </c>
      <c r="CL1" s="16" t="inlineStr">
        <is>
          <t>Trial 89</t>
        </is>
      </c>
      <c r="CM1" s="16" t="inlineStr">
        <is>
          <t>Trial 90</t>
        </is>
      </c>
      <c r="CN1" s="16" t="inlineStr">
        <is>
          <t>Trial 91</t>
        </is>
      </c>
      <c r="CO1" s="16" t="inlineStr">
        <is>
          <t>Trial 92</t>
        </is>
      </c>
      <c r="CP1" s="16" t="inlineStr">
        <is>
          <t>Trial 93</t>
        </is>
      </c>
      <c r="CQ1" s="16" t="inlineStr">
        <is>
          <t>Trial 94</t>
        </is>
      </c>
      <c r="CR1" s="16" t="inlineStr">
        <is>
          <t>Trial 95</t>
        </is>
      </c>
      <c r="CS1" s="16" t="inlineStr">
        <is>
          <t>Trial 96</t>
        </is>
      </c>
      <c r="CT1" s="16" t="inlineStr">
        <is>
          <t>Trial 97</t>
        </is>
      </c>
      <c r="CU1" s="16" t="inlineStr">
        <is>
          <t>Trial 98</t>
        </is>
      </c>
      <c r="CV1" s="16" t="inlineStr">
        <is>
          <t>Trial 99</t>
        </is>
      </c>
      <c r="CW1" s="16" t="inlineStr">
        <is>
          <t>Trial 100</t>
        </is>
      </c>
      <c r="CX1" s="16" t="inlineStr">
        <is>
          <t>Trial 101</t>
        </is>
      </c>
      <c r="CY1" s="16" t="inlineStr">
        <is>
          <t>Trial 102</t>
        </is>
      </c>
      <c r="CZ1" s="16" t="inlineStr">
        <is>
          <t>Trial 103</t>
        </is>
      </c>
      <c r="DA1" s="16" t="inlineStr">
        <is>
          <t>Trial 104</t>
        </is>
      </c>
      <c r="DB1" s="16" t="inlineStr">
        <is>
          <t>Trial 105</t>
        </is>
      </c>
      <c r="DC1" s="16" t="inlineStr">
        <is>
          <t>Trial 106</t>
        </is>
      </c>
      <c r="DD1" s="16" t="inlineStr">
        <is>
          <t>Trial 107</t>
        </is>
      </c>
      <c r="DE1" s="16" t="inlineStr">
        <is>
          <t>Trial 108</t>
        </is>
      </c>
      <c r="DF1" s="16" t="inlineStr">
        <is>
          <t>Trial 109</t>
        </is>
      </c>
      <c r="DG1" s="16" t="inlineStr">
        <is>
          <t>Trial 110</t>
        </is>
      </c>
      <c r="DH1" s="16" t="inlineStr">
        <is>
          <t>Trial 111</t>
        </is>
      </c>
      <c r="DI1" s="16" t="inlineStr">
        <is>
          <t>Trial 112</t>
        </is>
      </c>
      <c r="DJ1" s="16" t="inlineStr">
        <is>
          <t>Trial 113</t>
        </is>
      </c>
      <c r="DK1" s="16" t="inlineStr">
        <is>
          <t>Trial 114</t>
        </is>
      </c>
      <c r="DL1" s="16" t="inlineStr">
        <is>
          <t>Trial 115</t>
        </is>
      </c>
      <c r="DM1" s="16" t="inlineStr">
        <is>
          <t>Trial 116</t>
        </is>
      </c>
      <c r="DN1" s="16" t="inlineStr">
        <is>
          <t>Trial 117</t>
        </is>
      </c>
      <c r="DO1" s="16" t="inlineStr">
        <is>
          <t>Trial 118</t>
        </is>
      </c>
      <c r="DP1" s="16" t="inlineStr">
        <is>
          <t>Trial 119</t>
        </is>
      </c>
      <c r="DQ1" s="16" t="inlineStr">
        <is>
          <t>Trial 120</t>
        </is>
      </c>
      <c r="DR1" s="16" t="inlineStr">
        <is>
          <t>Trial 121</t>
        </is>
      </c>
      <c r="DS1" s="16" t="inlineStr">
        <is>
          <t>Trial 122</t>
        </is>
      </c>
      <c r="DT1" s="16" t="inlineStr">
        <is>
          <t>Trial 123</t>
        </is>
      </c>
      <c r="DU1" s="16" t="inlineStr">
        <is>
          <t>Trial 124</t>
        </is>
      </c>
      <c r="DV1" s="16" t="inlineStr">
        <is>
          <t>Trial 125</t>
        </is>
      </c>
      <c r="DW1" s="16" t="inlineStr">
        <is>
          <t>Trial 126</t>
        </is>
      </c>
      <c r="DX1" s="16" t="inlineStr">
        <is>
          <t>Trial 127</t>
        </is>
      </c>
      <c r="DY1" s="16" t="inlineStr">
        <is>
          <t>Trial 128</t>
        </is>
      </c>
      <c r="DZ1" s="16" t="inlineStr">
        <is>
          <t>Trial 129</t>
        </is>
      </c>
      <c r="EA1" s="16" t="inlineStr">
        <is>
          <t>Trial 130</t>
        </is>
      </c>
      <c r="EB1" s="16" t="inlineStr">
        <is>
          <t>Trial 131</t>
        </is>
      </c>
      <c r="EC1" s="16" t="inlineStr">
        <is>
          <t>Trial 132</t>
        </is>
      </c>
      <c r="ED1" s="16" t="inlineStr">
        <is>
          <t>Trial 133</t>
        </is>
      </c>
      <c r="EE1" s="16" t="inlineStr">
        <is>
          <t>Trial 134</t>
        </is>
      </c>
      <c r="EF1" s="16" t="inlineStr">
        <is>
          <t>Trial 135</t>
        </is>
      </c>
      <c r="EG1" s="16" t="inlineStr">
        <is>
          <t>Trial 136</t>
        </is>
      </c>
      <c r="EH1" s="16" t="inlineStr">
        <is>
          <t>Trial 137</t>
        </is>
      </c>
      <c r="EI1" s="16" t="inlineStr">
        <is>
          <t>Trial 138</t>
        </is>
      </c>
      <c r="EJ1" s="16" t="inlineStr">
        <is>
          <t>Trial 139</t>
        </is>
      </c>
      <c r="EK1" s="16" t="inlineStr">
        <is>
          <t>Trial 140</t>
        </is>
      </c>
      <c r="EL1" s="16" t="inlineStr">
        <is>
          <t>Trial 141</t>
        </is>
      </c>
      <c r="EM1" s="16" t="inlineStr">
        <is>
          <t>Trial 142</t>
        </is>
      </c>
      <c r="EN1" s="16" t="inlineStr">
        <is>
          <t>Trial 143</t>
        </is>
      </c>
      <c r="EO1" s="16" t="inlineStr">
        <is>
          <t>Trial 144</t>
        </is>
      </c>
      <c r="EP1" s="16" t="inlineStr">
        <is>
          <t>Trial 145</t>
        </is>
      </c>
      <c r="EQ1" s="16" t="inlineStr">
        <is>
          <t>Trial 146</t>
        </is>
      </c>
      <c r="ER1" s="16" t="inlineStr">
        <is>
          <t>Trial 147</t>
        </is>
      </c>
      <c r="ES1" s="16" t="inlineStr">
        <is>
          <t>Trial 148</t>
        </is>
      </c>
      <c r="ET1" s="16" t="inlineStr">
        <is>
          <t>Trial 149</t>
        </is>
      </c>
      <c r="EU1" s="16" t="inlineStr">
        <is>
          <t>Trial 150</t>
        </is>
      </c>
      <c r="EV1" s="16" t="inlineStr">
        <is>
          <t>Trial 151</t>
        </is>
      </c>
      <c r="EW1" s="16" t="inlineStr">
        <is>
          <t>Trial 152</t>
        </is>
      </c>
      <c r="EX1" s="16" t="inlineStr">
        <is>
          <t>Trial 153</t>
        </is>
      </c>
      <c r="EY1" s="16" t="inlineStr">
        <is>
          <t>Trial 154</t>
        </is>
      </c>
      <c r="EZ1" s="16" t="inlineStr">
        <is>
          <t>Trial 155</t>
        </is>
      </c>
      <c r="FA1" s="16" t="inlineStr">
        <is>
          <t>Trial 156</t>
        </is>
      </c>
      <c r="FB1" s="16" t="inlineStr">
        <is>
          <t>Trial 157</t>
        </is>
      </c>
      <c r="FC1" s="16" t="inlineStr">
        <is>
          <t>Trial 158</t>
        </is>
      </c>
      <c r="FD1" s="16" t="inlineStr">
        <is>
          <t>Trial 159</t>
        </is>
      </c>
      <c r="FE1" s="16" t="inlineStr">
        <is>
          <t>Trial 160</t>
        </is>
      </c>
      <c r="FF1" s="16" t="inlineStr">
        <is>
          <t>Trial 161</t>
        </is>
      </c>
      <c r="FG1" s="16" t="inlineStr">
        <is>
          <t>Trial 162</t>
        </is>
      </c>
      <c r="FH1" s="16" t="inlineStr">
        <is>
          <t>Trial 163</t>
        </is>
      </c>
      <c r="FI1" s="16" t="inlineStr">
        <is>
          <t>Trial 164</t>
        </is>
      </c>
      <c r="FJ1" s="16" t="inlineStr">
        <is>
          <t>Trial 165</t>
        </is>
      </c>
      <c r="FK1" s="16" t="inlineStr">
        <is>
          <t>Trial 166</t>
        </is>
      </c>
      <c r="FL1" s="16" t="inlineStr">
        <is>
          <t>Trial 167</t>
        </is>
      </c>
      <c r="FM1" s="16" t="inlineStr">
        <is>
          <t>Trial 168</t>
        </is>
      </c>
      <c r="FN1" s="16" t="inlineStr">
        <is>
          <t>Trial 169</t>
        </is>
      </c>
      <c r="FO1" s="16" t="inlineStr">
        <is>
          <t>Trial 170</t>
        </is>
      </c>
      <c r="FP1" s="16" t="inlineStr">
        <is>
          <t>Trial 171</t>
        </is>
      </c>
      <c r="FQ1" s="16" t="inlineStr">
        <is>
          <t>Trial 172</t>
        </is>
      </c>
      <c r="FR1" s="16" t="inlineStr">
        <is>
          <t>Trial 173</t>
        </is>
      </c>
      <c r="FS1" s="16" t="inlineStr">
        <is>
          <t>Trial 174</t>
        </is>
      </c>
      <c r="FT1" s="16" t="inlineStr">
        <is>
          <t>Trial 175</t>
        </is>
      </c>
      <c r="FU1" s="16" t="inlineStr">
        <is>
          <t>Trial 176</t>
        </is>
      </c>
      <c r="FV1" s="16" t="inlineStr">
        <is>
          <t>Trial 177</t>
        </is>
      </c>
      <c r="FW1" s="16" t="inlineStr">
        <is>
          <t>Trial 178</t>
        </is>
      </c>
      <c r="FX1" s="16" t="inlineStr">
        <is>
          <t>Trial 179</t>
        </is>
      </c>
      <c r="FY1" s="16" t="inlineStr">
        <is>
          <t>Trial 180</t>
        </is>
      </c>
      <c r="FZ1" s="16" t="inlineStr">
        <is>
          <t>Trial 181</t>
        </is>
      </c>
      <c r="GA1" s="16" t="inlineStr">
        <is>
          <t>Trial 182</t>
        </is>
      </c>
      <c r="GB1" s="16" t="inlineStr">
        <is>
          <t>Trial 183</t>
        </is>
      </c>
      <c r="GC1" s="16" t="inlineStr">
        <is>
          <t>Trial 184</t>
        </is>
      </c>
      <c r="GD1" s="16" t="inlineStr">
        <is>
          <t>Trial 185</t>
        </is>
      </c>
      <c r="GE1" s="16" t="inlineStr">
        <is>
          <t>Trial 186</t>
        </is>
      </c>
      <c r="GF1" s="16" t="inlineStr">
        <is>
          <t>Trial 187</t>
        </is>
      </c>
      <c r="GG1" s="16" t="inlineStr">
        <is>
          <t>Trial 188</t>
        </is>
      </c>
      <c r="GH1" s="16" t="inlineStr">
        <is>
          <t>Trial 189</t>
        </is>
      </c>
      <c r="GI1" s="16" t="inlineStr">
        <is>
          <t>Trial 190</t>
        </is>
      </c>
      <c r="GJ1" s="16" t="inlineStr">
        <is>
          <t>Trial 191</t>
        </is>
      </c>
      <c r="GK1" s="16" t="inlineStr">
        <is>
          <t>Trial 192</t>
        </is>
      </c>
      <c r="GL1" s="16" t="inlineStr">
        <is>
          <t>Trial 193</t>
        </is>
      </c>
      <c r="GM1" s="16" t="inlineStr">
        <is>
          <t>Trial 194</t>
        </is>
      </c>
      <c r="GN1" s="16" t="inlineStr">
        <is>
          <t>Trial 195</t>
        </is>
      </c>
      <c r="GO1" s="16" t="inlineStr">
        <is>
          <t>Trial 196</t>
        </is>
      </c>
      <c r="GP1" s="16" t="inlineStr">
        <is>
          <t>Trial 197</t>
        </is>
      </c>
      <c r="GQ1" s="16" t="inlineStr">
        <is>
          <t>Trial 198</t>
        </is>
      </c>
      <c r="GR1" s="16" t="inlineStr">
        <is>
          <t>Trial 199</t>
        </is>
      </c>
      <c r="GS1" s="16" t="inlineStr">
        <is>
          <t>Trial 200</t>
        </is>
      </c>
      <c r="GT1" s="16" t="inlineStr">
        <is>
          <t>Trial 201</t>
        </is>
      </c>
      <c r="GU1" s="16" t="inlineStr">
        <is>
          <t>Trial 202</t>
        </is>
      </c>
      <c r="GV1" s="16" t="inlineStr">
        <is>
          <t>Trial 203</t>
        </is>
      </c>
      <c r="GW1" s="16" t="inlineStr">
        <is>
          <t>Trial 204</t>
        </is>
      </c>
      <c r="GX1" s="16" t="inlineStr">
        <is>
          <t>Trial 205</t>
        </is>
      </c>
      <c r="GY1" s="16" t="inlineStr">
        <is>
          <t>Trial 206</t>
        </is>
      </c>
      <c r="GZ1" s="16" t="inlineStr">
        <is>
          <t>Trial 207</t>
        </is>
      </c>
      <c r="HA1" s="16" t="inlineStr">
        <is>
          <t>Trial 208</t>
        </is>
      </c>
      <c r="HB1" s="16" t="inlineStr">
        <is>
          <t>Trial 209</t>
        </is>
      </c>
      <c r="HC1" s="16" t="inlineStr">
        <is>
          <t>Trial 210</t>
        </is>
      </c>
      <c r="HD1" s="16" t="inlineStr">
        <is>
          <t>Trial 211</t>
        </is>
      </c>
      <c r="HE1" s="16" t="inlineStr">
        <is>
          <t>Trial 212</t>
        </is>
      </c>
      <c r="HF1" s="16" t="inlineStr">
        <is>
          <t>Trial 213</t>
        </is>
      </c>
      <c r="HG1" s="16" t="inlineStr">
        <is>
          <t>Trial 214</t>
        </is>
      </c>
      <c r="HH1" s="16" t="inlineStr">
        <is>
          <t>Trial 215</t>
        </is>
      </c>
      <c r="HI1" s="16" t="inlineStr">
        <is>
          <t>Trial 216</t>
        </is>
      </c>
      <c r="HJ1" s="16" t="inlineStr">
        <is>
          <t>Trial 217</t>
        </is>
      </c>
      <c r="HK1" s="16" t="inlineStr">
        <is>
          <t>Trial 218</t>
        </is>
      </c>
      <c r="HL1" s="16" t="inlineStr">
        <is>
          <t>Trial 219</t>
        </is>
      </c>
      <c r="HM1" s="16" t="inlineStr">
        <is>
          <t>Trial 220</t>
        </is>
      </c>
      <c r="HN1" s="16" t="inlineStr">
        <is>
          <t>Trial 221</t>
        </is>
      </c>
      <c r="HO1" s="16" t="inlineStr">
        <is>
          <t>Trial 222</t>
        </is>
      </c>
      <c r="HP1" s="16" t="inlineStr">
        <is>
          <t>Trial 223</t>
        </is>
      </c>
      <c r="HQ1" s="16" t="inlineStr">
        <is>
          <t>Trial 224</t>
        </is>
      </c>
      <c r="HR1" s="16" t="inlineStr">
        <is>
          <t>Trial 225</t>
        </is>
      </c>
      <c r="HS1" s="16" t="inlineStr">
        <is>
          <t>Trial 226</t>
        </is>
      </c>
      <c r="HT1" s="16" t="inlineStr">
        <is>
          <t>Trial 227</t>
        </is>
      </c>
      <c r="HU1" s="16" t="inlineStr">
        <is>
          <t>Trial 228</t>
        </is>
      </c>
      <c r="HV1" s="16" t="inlineStr">
        <is>
          <t>Trial 229</t>
        </is>
      </c>
      <c r="HW1" s="16" t="inlineStr">
        <is>
          <t>Trial 230</t>
        </is>
      </c>
      <c r="HX1" s="16" t="inlineStr">
        <is>
          <t>Trial 231</t>
        </is>
      </c>
      <c r="HY1" s="16" t="inlineStr">
        <is>
          <t>Trial 232</t>
        </is>
      </c>
      <c r="HZ1" s="16" t="inlineStr">
        <is>
          <t>Trial 233</t>
        </is>
      </c>
      <c r="IA1" s="16" t="inlineStr">
        <is>
          <t>Trial 234</t>
        </is>
      </c>
      <c r="IB1" s="16" t="inlineStr">
        <is>
          <t>Trial 235</t>
        </is>
      </c>
      <c r="IC1" s="16" t="inlineStr">
        <is>
          <t>Trial 236</t>
        </is>
      </c>
      <c r="ID1" s="16" t="inlineStr">
        <is>
          <t>Trial 237</t>
        </is>
      </c>
      <c r="IE1" s="16" t="inlineStr">
        <is>
          <t>Trial 238</t>
        </is>
      </c>
      <c r="IF1" s="16" t="inlineStr">
        <is>
          <t>Trial 239</t>
        </is>
      </c>
      <c r="IG1" s="16" t="inlineStr">
        <is>
          <t>Trial 240</t>
        </is>
      </c>
      <c r="IH1" s="16" t="inlineStr">
        <is>
          <t>Trial 241</t>
        </is>
      </c>
      <c r="II1" s="16" t="inlineStr">
        <is>
          <t>Trial 242</t>
        </is>
      </c>
      <c r="IJ1" s="16" t="inlineStr">
        <is>
          <t>Trial 243</t>
        </is>
      </c>
      <c r="IK1" s="16" t="inlineStr">
        <is>
          <t>Trial 244</t>
        </is>
      </c>
      <c r="IL1" s="16" t="inlineStr">
        <is>
          <t>Trial 245</t>
        </is>
      </c>
      <c r="IM1" s="16" t="inlineStr">
        <is>
          <t>Trial 246</t>
        </is>
      </c>
      <c r="IN1" s="16" t="inlineStr">
        <is>
          <t>Trial 247</t>
        </is>
      </c>
      <c r="IO1" s="16" t="inlineStr">
        <is>
          <t>Trial 248</t>
        </is>
      </c>
      <c r="IP1" s="16" t="inlineStr">
        <is>
          <t>Trial 249</t>
        </is>
      </c>
      <c r="IQ1" s="16" t="inlineStr">
        <is>
          <t>Trial 250</t>
        </is>
      </c>
      <c r="IR1" s="16" t="inlineStr">
        <is>
          <t>Trial 251</t>
        </is>
      </c>
      <c r="IS1" s="16" t="inlineStr">
        <is>
          <t>Trial 252</t>
        </is>
      </c>
      <c r="IT1" s="16" t="inlineStr">
        <is>
          <t>Trial 253</t>
        </is>
      </c>
      <c r="IU1" s="16" t="inlineStr">
        <is>
          <t>Trial 254</t>
        </is>
      </c>
      <c r="IV1" s="16" t="inlineStr">
        <is>
          <t>Trial 255</t>
        </is>
      </c>
      <c r="IW1" s="16" t="inlineStr">
        <is>
          <t>Trial 256</t>
        </is>
      </c>
      <c r="IX1" s="16" t="inlineStr">
        <is>
          <t>Trial 257</t>
        </is>
      </c>
      <c r="IY1" s="16" t="inlineStr">
        <is>
          <t>Trial 258</t>
        </is>
      </c>
      <c r="IZ1" s="16" t="inlineStr">
        <is>
          <t>Trial 259</t>
        </is>
      </c>
      <c r="JA1" s="16" t="inlineStr">
        <is>
          <t>Trial 260</t>
        </is>
      </c>
      <c r="JB1" s="16" t="inlineStr">
        <is>
          <t>Trial 261</t>
        </is>
      </c>
      <c r="JC1" s="16" t="inlineStr">
        <is>
          <t>Trial 262</t>
        </is>
      </c>
      <c r="JD1" s="16" t="inlineStr">
        <is>
          <t>Trial 263</t>
        </is>
      </c>
      <c r="JE1" s="16" t="inlineStr">
        <is>
          <t>Trial 264</t>
        </is>
      </c>
      <c r="JF1" s="16" t="inlineStr">
        <is>
          <t>Trial 265</t>
        </is>
      </c>
      <c r="JG1" s="16" t="inlineStr">
        <is>
          <t>Trial 266</t>
        </is>
      </c>
      <c r="JH1" s="16" t="inlineStr">
        <is>
          <t>Trial 267</t>
        </is>
      </c>
      <c r="JI1" s="16" t="inlineStr">
        <is>
          <t>Trial 268</t>
        </is>
      </c>
      <c r="JJ1" s="16" t="inlineStr">
        <is>
          <t>Trial 269</t>
        </is>
      </c>
      <c r="JK1" s="16" t="inlineStr">
        <is>
          <t>Trial 270</t>
        </is>
      </c>
      <c r="JL1" s="16" t="inlineStr">
        <is>
          <t>Trial 271</t>
        </is>
      </c>
      <c r="JM1" s="16" t="inlineStr">
        <is>
          <t>Trial 272</t>
        </is>
      </c>
      <c r="JN1" s="16" t="inlineStr">
        <is>
          <t>Trial 273</t>
        </is>
      </c>
      <c r="JO1" s="16" t="inlineStr">
        <is>
          <t>Trial 274</t>
        </is>
      </c>
      <c r="JP1" s="16" t="inlineStr">
        <is>
          <t>Trial 275</t>
        </is>
      </c>
      <c r="JQ1" s="16" t="inlineStr">
        <is>
          <t>Trial 276</t>
        </is>
      </c>
      <c r="JR1" s="16" t="inlineStr">
        <is>
          <t>Trial 277</t>
        </is>
      </c>
      <c r="JS1" s="16" t="inlineStr">
        <is>
          <t>Trial 278</t>
        </is>
      </c>
      <c r="JT1" s="16" t="inlineStr">
        <is>
          <t>Trial 279</t>
        </is>
      </c>
      <c r="JU1" s="16" t="inlineStr">
        <is>
          <t>Trial 280</t>
        </is>
      </c>
      <c r="JV1" s="16" t="inlineStr">
        <is>
          <t>Trial 281</t>
        </is>
      </c>
      <c r="JW1" s="16" t="inlineStr">
        <is>
          <t>Trial 282</t>
        </is>
      </c>
      <c r="JX1" s="16" t="inlineStr">
        <is>
          <t>Trial 283</t>
        </is>
      </c>
      <c r="JY1" s="16" t="inlineStr">
        <is>
          <t>Trial 284</t>
        </is>
      </c>
      <c r="JZ1" s="16" t="inlineStr">
        <is>
          <t>Trial 285</t>
        </is>
      </c>
      <c r="KA1" s="16" t="inlineStr">
        <is>
          <t>Trial 286</t>
        </is>
      </c>
      <c r="KB1" s="16" t="inlineStr">
        <is>
          <t>Trial 287</t>
        </is>
      </c>
      <c r="KC1" s="16" t="inlineStr">
        <is>
          <t>Trial 288</t>
        </is>
      </c>
      <c r="KD1" s="16" t="inlineStr">
        <is>
          <t>Trial 289</t>
        </is>
      </c>
      <c r="KE1" s="16" t="inlineStr">
        <is>
          <t>Trial 290</t>
        </is>
      </c>
      <c r="KF1" s="16" t="inlineStr">
        <is>
          <t>Trial 291</t>
        </is>
      </c>
      <c r="KG1" s="16" t="inlineStr">
        <is>
          <t>Trial 292</t>
        </is>
      </c>
      <c r="KH1" s="16" t="inlineStr">
        <is>
          <t>Trial 293</t>
        </is>
      </c>
      <c r="KI1" s="16" t="inlineStr">
        <is>
          <t>Trial 294</t>
        </is>
      </c>
      <c r="KJ1" s="16" t="inlineStr">
        <is>
          <t>Trial 295</t>
        </is>
      </c>
      <c r="KK1" s="16" t="inlineStr">
        <is>
          <t>Trial 296</t>
        </is>
      </c>
      <c r="KL1" s="16" t="inlineStr">
        <is>
          <t>Trial 297</t>
        </is>
      </c>
      <c r="KM1" s="16" t="inlineStr">
        <is>
          <t>Trial 298</t>
        </is>
      </c>
      <c r="KN1" s="16" t="inlineStr">
        <is>
          <t>Trial 299</t>
        </is>
      </c>
      <c r="KO1" s="16" t="inlineStr">
        <is>
          <t>Trial 300</t>
        </is>
      </c>
      <c r="KP1" s="16" t="inlineStr">
        <is>
          <t>Trial 301</t>
        </is>
      </c>
      <c r="KQ1" s="16" t="inlineStr">
        <is>
          <t>Trial 302</t>
        </is>
      </c>
      <c r="KR1" s="16" t="inlineStr">
        <is>
          <t>Trial 303</t>
        </is>
      </c>
      <c r="KS1" s="16" t="inlineStr">
        <is>
          <t>Trial 304</t>
        </is>
      </c>
      <c r="KT1" s="16" t="inlineStr">
        <is>
          <t>Trial 305</t>
        </is>
      </c>
      <c r="KU1" s="16" t="inlineStr">
        <is>
          <t>Trial 306</t>
        </is>
      </c>
      <c r="KV1" s="16" t="inlineStr">
        <is>
          <t>Trial 307</t>
        </is>
      </c>
      <c r="KW1" s="16" t="inlineStr">
        <is>
          <t>Trial 308</t>
        </is>
      </c>
      <c r="KX1" s="16" t="inlineStr">
        <is>
          <t>Trial 309</t>
        </is>
      </c>
      <c r="KY1" s="16" t="inlineStr">
        <is>
          <t>Trial 310</t>
        </is>
      </c>
      <c r="KZ1" s="16" t="inlineStr">
        <is>
          <t>Trial 311</t>
        </is>
      </c>
      <c r="LA1" s="16" t="inlineStr">
        <is>
          <t>Trial 312</t>
        </is>
      </c>
      <c r="LB1" s="16" t="inlineStr">
        <is>
          <t>Trial 313</t>
        </is>
      </c>
      <c r="LC1" s="16" t="inlineStr">
        <is>
          <t>Trial 314</t>
        </is>
      </c>
      <c r="LD1" s="16" t="inlineStr">
        <is>
          <t>Trial 315</t>
        </is>
      </c>
      <c r="LE1" s="16" t="inlineStr">
        <is>
          <t>Trial 316</t>
        </is>
      </c>
      <c r="LF1" s="16" t="inlineStr">
        <is>
          <t>Trial 317</t>
        </is>
      </c>
      <c r="LG1" s="16" t="inlineStr">
        <is>
          <t>Trial 318</t>
        </is>
      </c>
      <c r="LH1" s="16" t="inlineStr">
        <is>
          <t>Trial 319</t>
        </is>
      </c>
      <c r="LI1" s="16" t="inlineStr">
        <is>
          <t>Trial 320</t>
        </is>
      </c>
      <c r="LJ1" s="16" t="inlineStr">
        <is>
          <t>Trial 321</t>
        </is>
      </c>
      <c r="LK1" s="16" t="inlineStr">
        <is>
          <t>Trial 322</t>
        </is>
      </c>
      <c r="LL1" s="16" t="inlineStr">
        <is>
          <t>Trial 323</t>
        </is>
      </c>
      <c r="LM1" s="16" t="inlineStr">
        <is>
          <t>Trial 324</t>
        </is>
      </c>
      <c r="LN1" s="16" t="inlineStr">
        <is>
          <t>Trial 325</t>
        </is>
      </c>
      <c r="LO1" s="16" t="inlineStr">
        <is>
          <t>Trial 326</t>
        </is>
      </c>
      <c r="LP1" s="16" t="inlineStr">
        <is>
          <t>Trial 327</t>
        </is>
      </c>
      <c r="LQ1" s="16" t="inlineStr">
        <is>
          <t>Trial 328</t>
        </is>
      </c>
      <c r="LR1" s="16" t="inlineStr">
        <is>
          <t>Trial 329</t>
        </is>
      </c>
      <c r="LS1" s="16" t="inlineStr">
        <is>
          <t>Trial 330</t>
        </is>
      </c>
      <c r="LT1" s="16" t="inlineStr">
        <is>
          <t>Trial 331</t>
        </is>
      </c>
      <c r="LU1" s="16" t="inlineStr">
        <is>
          <t>Trial 332</t>
        </is>
      </c>
      <c r="LV1" s="16" t="inlineStr">
        <is>
          <t>Trial 333</t>
        </is>
      </c>
      <c r="LW1" s="16" t="inlineStr">
        <is>
          <t>Trial 334</t>
        </is>
      </c>
      <c r="LX1" s="16" t="inlineStr">
        <is>
          <t>Trial 335</t>
        </is>
      </c>
      <c r="LY1" s="16" t="inlineStr">
        <is>
          <t>Trial 336</t>
        </is>
      </c>
      <c r="LZ1" s="16" t="inlineStr">
        <is>
          <t>Trial 337</t>
        </is>
      </c>
      <c r="MA1" s="16" t="inlineStr">
        <is>
          <t>Trial 338</t>
        </is>
      </c>
      <c r="MB1" s="16" t="inlineStr">
        <is>
          <t>Trial 339</t>
        </is>
      </c>
      <c r="MC1" s="16" t="inlineStr">
        <is>
          <t>Trial 340</t>
        </is>
      </c>
      <c r="MD1" s="16" t="inlineStr">
        <is>
          <t>Trial 341</t>
        </is>
      </c>
      <c r="ME1" s="16" t="inlineStr">
        <is>
          <t>Trial 342</t>
        </is>
      </c>
      <c r="MF1" s="16" t="inlineStr">
        <is>
          <t>Trial 343</t>
        </is>
      </c>
      <c r="MG1" s="16" t="inlineStr">
        <is>
          <t>Trial 344</t>
        </is>
      </c>
      <c r="MH1" s="16" t="inlineStr">
        <is>
          <t>Trial 345</t>
        </is>
      </c>
      <c r="MI1" s="16" t="inlineStr">
        <is>
          <t>Trial 346</t>
        </is>
      </c>
      <c r="MJ1" s="16" t="inlineStr">
        <is>
          <t>Trial 347</t>
        </is>
      </c>
      <c r="MK1" s="16" t="inlineStr">
        <is>
          <t>Trial 348</t>
        </is>
      </c>
      <c r="ML1" s="16" t="inlineStr">
        <is>
          <t>Trial 349</t>
        </is>
      </c>
      <c r="MM1" s="16" t="inlineStr">
        <is>
          <t>Trial 350</t>
        </is>
      </c>
      <c r="MN1" s="16" t="inlineStr">
        <is>
          <t>Trial 351</t>
        </is>
      </c>
      <c r="MO1" s="16" t="inlineStr">
        <is>
          <t>Trial 352</t>
        </is>
      </c>
      <c r="MP1" s="16" t="inlineStr">
        <is>
          <t>Trial 353</t>
        </is>
      </c>
      <c r="MQ1" s="16" t="inlineStr">
        <is>
          <t>Trial 354</t>
        </is>
      </c>
      <c r="MR1" s="16" t="inlineStr">
        <is>
          <t>Trial 355</t>
        </is>
      </c>
      <c r="MS1" s="16" t="inlineStr">
        <is>
          <t>Trial 356</t>
        </is>
      </c>
      <c r="MT1" s="16" t="inlineStr">
        <is>
          <t>Trial 357</t>
        </is>
      </c>
      <c r="MU1" s="16" t="inlineStr">
        <is>
          <t>Trial 358</t>
        </is>
      </c>
      <c r="MV1" s="16" t="inlineStr">
        <is>
          <t>Trial 359</t>
        </is>
      </c>
      <c r="MW1" s="16" t="inlineStr">
        <is>
          <t>Trial 360</t>
        </is>
      </c>
      <c r="MX1" s="16" t="inlineStr">
        <is>
          <t>Trial 361</t>
        </is>
      </c>
      <c r="MY1" s="16" t="inlineStr">
        <is>
          <t>Trial 362</t>
        </is>
      </c>
      <c r="MZ1" s="16" t="inlineStr">
        <is>
          <t>Trial 363</t>
        </is>
      </c>
      <c r="NA1" s="16" t="inlineStr">
        <is>
          <t>Trial 364</t>
        </is>
      </c>
      <c r="NB1" s="16" t="inlineStr">
        <is>
          <t>Trial 365</t>
        </is>
      </c>
      <c r="NC1" s="16" t="inlineStr">
        <is>
          <t>Trial 366</t>
        </is>
      </c>
      <c r="ND1" s="16" t="inlineStr">
        <is>
          <t>Trial 367</t>
        </is>
      </c>
      <c r="NE1" s="16" t="inlineStr">
        <is>
          <t>Trial 368</t>
        </is>
      </c>
      <c r="NF1" s="16" t="inlineStr">
        <is>
          <t>Trial 369</t>
        </is>
      </c>
      <c r="NG1" s="16" t="inlineStr">
        <is>
          <t>Trial 370</t>
        </is>
      </c>
      <c r="NH1" s="16" t="inlineStr">
        <is>
          <t>Trial 371</t>
        </is>
      </c>
      <c r="NI1" s="16" t="inlineStr">
        <is>
          <t>Trial 372</t>
        </is>
      </c>
      <c r="NJ1" s="16" t="inlineStr">
        <is>
          <t>Trial 373</t>
        </is>
      </c>
      <c r="NK1" s="16" t="inlineStr">
        <is>
          <t>Trial 374</t>
        </is>
      </c>
      <c r="NL1" s="16" t="inlineStr">
        <is>
          <t>Trial 375</t>
        </is>
      </c>
      <c r="NM1" s="16" t="inlineStr">
        <is>
          <t>Trial 376</t>
        </is>
      </c>
      <c r="NN1" s="16" t="inlineStr">
        <is>
          <t>Trial 377</t>
        </is>
      </c>
      <c r="NO1" s="16" t="inlineStr">
        <is>
          <t>Trial 378</t>
        </is>
      </c>
      <c r="NP1" s="16" t="inlineStr">
        <is>
          <t>Trial 379</t>
        </is>
      </c>
      <c r="NQ1" s="16" t="inlineStr">
        <is>
          <t>Trial 380</t>
        </is>
      </c>
      <c r="NR1" s="16" t="inlineStr">
        <is>
          <t>Trial 381</t>
        </is>
      </c>
      <c r="NS1" s="16" t="inlineStr">
        <is>
          <t>Trial 382</t>
        </is>
      </c>
      <c r="NT1" s="16" t="inlineStr">
        <is>
          <t>Trial 383</t>
        </is>
      </c>
      <c r="NU1" s="16" t="inlineStr">
        <is>
          <t>Trial 384</t>
        </is>
      </c>
      <c r="NV1" s="16" t="inlineStr">
        <is>
          <t>Trial 385</t>
        </is>
      </c>
      <c r="NW1" s="16" t="inlineStr">
        <is>
          <t>Trial 386</t>
        </is>
      </c>
      <c r="NX1" s="16" t="inlineStr">
        <is>
          <t>Trial 387</t>
        </is>
      </c>
      <c r="NY1" s="16" t="inlineStr">
        <is>
          <t>Trial 388</t>
        </is>
      </c>
      <c r="NZ1" s="16" t="inlineStr">
        <is>
          <t>Trial 389</t>
        </is>
      </c>
      <c r="OA1" s="16" t="inlineStr">
        <is>
          <t>Trial 390</t>
        </is>
      </c>
      <c r="OB1" s="16" t="inlineStr">
        <is>
          <t>Trial 391</t>
        </is>
      </c>
      <c r="OC1" s="16" t="inlineStr">
        <is>
          <t>Trial 392</t>
        </is>
      </c>
      <c r="OD1" s="16" t="inlineStr">
        <is>
          <t>Trial 393</t>
        </is>
      </c>
      <c r="OE1" s="16" t="inlineStr">
        <is>
          <t>Trial 394</t>
        </is>
      </c>
      <c r="OF1" s="16" t="inlineStr">
        <is>
          <t>Trial 395</t>
        </is>
      </c>
      <c r="OG1" s="16" t="inlineStr">
        <is>
          <t>Trial 396</t>
        </is>
      </c>
      <c r="OH1" s="16" t="inlineStr">
        <is>
          <t>Trial 397</t>
        </is>
      </c>
      <c r="OI1" s="16" t="inlineStr">
        <is>
          <t>Trial 398</t>
        </is>
      </c>
      <c r="OJ1" s="16" t="inlineStr">
        <is>
          <t>Trial 399</t>
        </is>
      </c>
      <c r="OK1" s="16" t="inlineStr">
        <is>
          <t>Trial 400</t>
        </is>
      </c>
      <c r="OL1" s="16" t="inlineStr">
        <is>
          <t>Trial 401</t>
        </is>
      </c>
      <c r="OM1" s="16" t="inlineStr">
        <is>
          <t>Trial 402</t>
        </is>
      </c>
      <c r="ON1" s="16" t="inlineStr">
        <is>
          <t>Trial 403</t>
        </is>
      </c>
      <c r="OO1" s="16" t="inlineStr">
        <is>
          <t>Trial 404</t>
        </is>
      </c>
      <c r="OP1" s="16" t="inlineStr">
        <is>
          <t>Trial 405</t>
        </is>
      </c>
      <c r="OQ1" s="16" t="inlineStr">
        <is>
          <t>Trial 406</t>
        </is>
      </c>
      <c r="OR1" s="16" t="inlineStr">
        <is>
          <t>Trial 407</t>
        </is>
      </c>
      <c r="OS1" s="16" t="inlineStr">
        <is>
          <t>Trial 408</t>
        </is>
      </c>
      <c r="OT1" s="16" t="inlineStr">
        <is>
          <t>Trial 409</t>
        </is>
      </c>
      <c r="OU1" s="16" t="inlineStr">
        <is>
          <t>Trial 410</t>
        </is>
      </c>
      <c r="OV1" s="16" t="inlineStr">
        <is>
          <t>Trial 411</t>
        </is>
      </c>
      <c r="OW1" s="16" t="inlineStr">
        <is>
          <t>Trial 412</t>
        </is>
      </c>
      <c r="OX1" s="16" t="inlineStr">
        <is>
          <t>Trial 413</t>
        </is>
      </c>
      <c r="OY1" s="16" t="inlineStr">
        <is>
          <t>Trial 414</t>
        </is>
      </c>
      <c r="OZ1" s="16" t="inlineStr">
        <is>
          <t>Trial 415</t>
        </is>
      </c>
      <c r="PA1" s="16" t="inlineStr">
        <is>
          <t>Trial 416</t>
        </is>
      </c>
      <c r="PB1" s="16" t="inlineStr">
        <is>
          <t>Trial 417</t>
        </is>
      </c>
      <c r="PC1" s="16" t="inlineStr">
        <is>
          <t>Trial 418</t>
        </is>
      </c>
      <c r="PD1" s="16" t="inlineStr">
        <is>
          <t>Trial 419</t>
        </is>
      </c>
      <c r="PE1" s="16" t="inlineStr">
        <is>
          <t>Trial 420</t>
        </is>
      </c>
      <c r="PF1" s="16" t="inlineStr">
        <is>
          <t>Trial 421</t>
        </is>
      </c>
      <c r="PG1" s="16" t="inlineStr">
        <is>
          <t>Trial 422</t>
        </is>
      </c>
      <c r="PH1" s="16" t="inlineStr">
        <is>
          <t>Trial 423</t>
        </is>
      </c>
      <c r="PI1" s="16" t="inlineStr">
        <is>
          <t>Trial 424</t>
        </is>
      </c>
      <c r="PJ1" s="16" t="inlineStr">
        <is>
          <t>Trial 425</t>
        </is>
      </c>
      <c r="PK1" s="16" t="inlineStr">
        <is>
          <t>Trial 426</t>
        </is>
      </c>
      <c r="PL1" s="16" t="inlineStr">
        <is>
          <t>Trial 427</t>
        </is>
      </c>
      <c r="PM1" s="16" t="inlineStr">
        <is>
          <t>Trial 428</t>
        </is>
      </c>
      <c r="PN1" s="16" t="inlineStr">
        <is>
          <t>Trial 429</t>
        </is>
      </c>
      <c r="PO1" s="16" t="inlineStr">
        <is>
          <t>Trial 430</t>
        </is>
      </c>
      <c r="PP1" s="16" t="inlineStr">
        <is>
          <t>Trial 431</t>
        </is>
      </c>
      <c r="PQ1" s="16" t="inlineStr">
        <is>
          <t>Trial 432</t>
        </is>
      </c>
      <c r="PR1" s="16" t="inlineStr">
        <is>
          <t>Trial 433</t>
        </is>
      </c>
      <c r="PS1" s="16" t="inlineStr">
        <is>
          <t>Trial 434</t>
        </is>
      </c>
      <c r="PT1" s="16" t="inlineStr">
        <is>
          <t>Trial 435</t>
        </is>
      </c>
      <c r="PU1" s="16" t="inlineStr">
        <is>
          <t>Trial 436</t>
        </is>
      </c>
      <c r="PV1" s="16" t="inlineStr">
        <is>
          <t>Trial 437</t>
        </is>
      </c>
      <c r="PW1" s="16" t="inlineStr">
        <is>
          <t>Trial 438</t>
        </is>
      </c>
      <c r="PX1" s="16" t="inlineStr">
        <is>
          <t>Trial 439</t>
        </is>
      </c>
      <c r="PY1" s="16" t="inlineStr">
        <is>
          <t>Trial 440</t>
        </is>
      </c>
      <c r="PZ1" s="16" t="inlineStr">
        <is>
          <t>Trial 441</t>
        </is>
      </c>
      <c r="QA1" s="16" t="inlineStr">
        <is>
          <t>Trial 442</t>
        </is>
      </c>
      <c r="QB1" s="16" t="inlineStr">
        <is>
          <t>Trial 443</t>
        </is>
      </c>
      <c r="QC1" s="16" t="inlineStr">
        <is>
          <t>Trial 444</t>
        </is>
      </c>
      <c r="QD1" s="16" t="inlineStr">
        <is>
          <t>Trial 445</t>
        </is>
      </c>
      <c r="QE1" s="16" t="inlineStr">
        <is>
          <t>Trial 446</t>
        </is>
      </c>
      <c r="QF1" s="16" t="inlineStr">
        <is>
          <t>Trial 447</t>
        </is>
      </c>
      <c r="QG1" s="16" t="inlineStr">
        <is>
          <t>Trial 448</t>
        </is>
      </c>
      <c r="QH1" s="16" t="inlineStr">
        <is>
          <t>Trial 449</t>
        </is>
      </c>
      <c r="QI1" s="16" t="inlineStr">
        <is>
          <t>Trial 450</t>
        </is>
      </c>
      <c r="QJ1" s="16" t="inlineStr">
        <is>
          <t>Trial 451</t>
        </is>
      </c>
      <c r="QK1" s="16" t="inlineStr">
        <is>
          <t>Trial 452</t>
        </is>
      </c>
      <c r="QL1" s="16" t="inlineStr">
        <is>
          <t>Trial 453</t>
        </is>
      </c>
      <c r="QM1" s="16" t="inlineStr">
        <is>
          <t>Trial 454</t>
        </is>
      </c>
      <c r="QN1" s="16" t="inlineStr">
        <is>
          <t>Trial 455</t>
        </is>
      </c>
      <c r="QO1" s="16" t="inlineStr">
        <is>
          <t>Trial 456</t>
        </is>
      </c>
      <c r="QP1" s="16" t="inlineStr">
        <is>
          <t>Trial 457</t>
        </is>
      </c>
      <c r="QQ1" s="16" t="inlineStr">
        <is>
          <t>Trial 458</t>
        </is>
      </c>
      <c r="QR1" s="16" t="inlineStr">
        <is>
          <t>Trial 459</t>
        </is>
      </c>
      <c r="QS1" s="16" t="inlineStr">
        <is>
          <t>Trial 460</t>
        </is>
      </c>
      <c r="QT1" s="16" t="inlineStr">
        <is>
          <t>Trial 461</t>
        </is>
      </c>
      <c r="QU1" s="16" t="inlineStr">
        <is>
          <t>Trial 462</t>
        </is>
      </c>
      <c r="QV1" s="16" t="inlineStr">
        <is>
          <t>Trial 463</t>
        </is>
      </c>
      <c r="QW1" s="16" t="inlineStr">
        <is>
          <t>Trial 464</t>
        </is>
      </c>
      <c r="QX1" s="16" t="inlineStr">
        <is>
          <t>Trial 465</t>
        </is>
      </c>
      <c r="QY1" s="16" t="inlineStr">
        <is>
          <t>Trial 466</t>
        </is>
      </c>
      <c r="QZ1" s="16" t="inlineStr">
        <is>
          <t>Trial 467</t>
        </is>
      </c>
      <c r="RA1" s="16" t="inlineStr">
        <is>
          <t>Trial 468</t>
        </is>
      </c>
      <c r="RB1" s="16" t="inlineStr">
        <is>
          <t>Trial 469</t>
        </is>
      </c>
      <c r="RC1" s="16" t="inlineStr">
        <is>
          <t>Trial 470</t>
        </is>
      </c>
      <c r="RD1" s="16" t="inlineStr">
        <is>
          <t>Trial 471</t>
        </is>
      </c>
      <c r="RE1" s="16" t="inlineStr">
        <is>
          <t>Trial 472</t>
        </is>
      </c>
      <c r="RF1" s="16" t="inlineStr">
        <is>
          <t>Trial 473</t>
        </is>
      </c>
      <c r="RG1" s="16" t="inlineStr">
        <is>
          <t>Trial 474</t>
        </is>
      </c>
      <c r="RH1" s="16" t="inlineStr">
        <is>
          <t>Trial 475</t>
        </is>
      </c>
      <c r="RI1" s="16" t="inlineStr">
        <is>
          <t>Trial 476</t>
        </is>
      </c>
      <c r="RJ1" s="16" t="inlineStr">
        <is>
          <t>Trial 477</t>
        </is>
      </c>
      <c r="RK1" s="16" t="inlineStr">
        <is>
          <t>Trial 478</t>
        </is>
      </c>
      <c r="RL1" s="16" t="inlineStr">
        <is>
          <t>Trial 479</t>
        </is>
      </c>
      <c r="RM1" s="16" t="inlineStr">
        <is>
          <t>Trial 480</t>
        </is>
      </c>
      <c r="RN1" s="16" t="inlineStr">
        <is>
          <t>Trial 481</t>
        </is>
      </c>
      <c r="RO1" s="16" t="inlineStr">
        <is>
          <t>Trial 482</t>
        </is>
      </c>
      <c r="RP1" s="16" t="inlineStr">
        <is>
          <t>Trial 483</t>
        </is>
      </c>
      <c r="RQ1" s="16" t="inlineStr">
        <is>
          <t>Trial 484</t>
        </is>
      </c>
      <c r="RR1" s="16" t="inlineStr">
        <is>
          <t>Trial 485</t>
        </is>
      </c>
      <c r="RS1" s="16" t="inlineStr">
        <is>
          <t>Trial 486</t>
        </is>
      </c>
      <c r="RT1" s="16" t="inlineStr">
        <is>
          <t>Trial 487</t>
        </is>
      </c>
      <c r="RU1" s="16" t="inlineStr">
        <is>
          <t>Trial 488</t>
        </is>
      </c>
      <c r="RV1" s="16" t="inlineStr">
        <is>
          <t>Trial 489</t>
        </is>
      </c>
      <c r="RW1" s="16" t="inlineStr">
        <is>
          <t>Trial 490</t>
        </is>
      </c>
      <c r="RX1" s="16" t="inlineStr">
        <is>
          <t>Trial 491</t>
        </is>
      </c>
      <c r="RY1" s="16" t="inlineStr">
        <is>
          <t>Trial 492</t>
        </is>
      </c>
      <c r="RZ1" s="16" t="inlineStr">
        <is>
          <t>Trial 493</t>
        </is>
      </c>
      <c r="SA1" s="16" t="inlineStr">
        <is>
          <t>Trial 494</t>
        </is>
      </c>
      <c r="SB1" s="16" t="inlineStr">
        <is>
          <t>Trial 495</t>
        </is>
      </c>
      <c r="SC1" s="16" t="inlineStr">
        <is>
          <t>Trial 496</t>
        </is>
      </c>
      <c r="SD1" s="16" t="inlineStr">
        <is>
          <t>Trial 497</t>
        </is>
      </c>
      <c r="SE1" s="16" t="inlineStr">
        <is>
          <t>Trial 498</t>
        </is>
      </c>
      <c r="SF1" s="16" t="inlineStr">
        <is>
          <t>Trial 499</t>
        </is>
      </c>
      <c r="SG1" s="16" t="inlineStr">
        <is>
          <t>Trial 500</t>
        </is>
      </c>
    </row>
    <row r="2">
      <c r="A2" s="17" t="inlineStr">
        <is>
          <t>OBL-001</t>
        </is>
      </c>
      <c r="B2" s="21">
        <f>Defaults!B2*Obligors!$G$2*Obligors!$H$2</f>
        <v/>
      </c>
      <c r="C2" s="21">
        <f>Defaults!C2*Obligors!$G$2*Obligors!$H$2</f>
        <v/>
      </c>
      <c r="D2" s="21">
        <f>Defaults!D2*Obligors!$G$2*Obligors!$H$2</f>
        <v/>
      </c>
      <c r="E2" s="21">
        <f>Defaults!E2*Obligors!$G$2*Obligors!$H$2</f>
        <v/>
      </c>
      <c r="F2" s="21">
        <f>Defaults!F2*Obligors!$G$2*Obligors!$H$2</f>
        <v/>
      </c>
      <c r="G2" s="21">
        <f>Defaults!G2*Obligors!$G$2*Obligors!$H$2</f>
        <v/>
      </c>
      <c r="H2" s="21">
        <f>Defaults!H2*Obligors!$G$2*Obligors!$H$2</f>
        <v/>
      </c>
      <c r="I2" s="21">
        <f>Defaults!I2*Obligors!$G$2*Obligors!$H$2</f>
        <v/>
      </c>
      <c r="J2" s="21">
        <f>Defaults!J2*Obligors!$G$2*Obligors!$H$2</f>
        <v/>
      </c>
      <c r="K2" s="21">
        <f>Defaults!K2*Obligors!$G$2*Obligors!$H$2</f>
        <v/>
      </c>
      <c r="L2" s="21">
        <f>Defaults!L2*Obligors!$G$2*Obligors!$H$2</f>
        <v/>
      </c>
      <c r="M2" s="21">
        <f>Defaults!M2*Obligors!$G$2*Obligors!$H$2</f>
        <v/>
      </c>
      <c r="N2" s="21">
        <f>Defaults!N2*Obligors!$G$2*Obligors!$H$2</f>
        <v/>
      </c>
      <c r="O2" s="21">
        <f>Defaults!O2*Obligors!$G$2*Obligors!$H$2</f>
        <v/>
      </c>
      <c r="P2" s="21">
        <f>Defaults!P2*Obligors!$G$2*Obligors!$H$2</f>
        <v/>
      </c>
      <c r="Q2" s="21">
        <f>Defaults!Q2*Obligors!$G$2*Obligors!$H$2</f>
        <v/>
      </c>
      <c r="R2" s="21">
        <f>Defaults!R2*Obligors!$G$2*Obligors!$H$2</f>
        <v/>
      </c>
      <c r="S2" s="21">
        <f>Defaults!S2*Obligors!$G$2*Obligors!$H$2</f>
        <v/>
      </c>
      <c r="T2" s="21">
        <f>Defaults!T2*Obligors!$G$2*Obligors!$H$2</f>
        <v/>
      </c>
      <c r="U2" s="21">
        <f>Defaults!U2*Obligors!$G$2*Obligors!$H$2</f>
        <v/>
      </c>
      <c r="V2" s="21">
        <f>Defaults!V2*Obligors!$G$2*Obligors!$H$2</f>
        <v/>
      </c>
      <c r="W2" s="21">
        <f>Defaults!W2*Obligors!$G$2*Obligors!$H$2</f>
        <v/>
      </c>
      <c r="X2" s="21">
        <f>Defaults!X2*Obligors!$G$2*Obligors!$H$2</f>
        <v/>
      </c>
      <c r="Y2" s="21">
        <f>Defaults!Y2*Obligors!$G$2*Obligors!$H$2</f>
        <v/>
      </c>
      <c r="Z2" s="21">
        <f>Defaults!Z2*Obligors!$G$2*Obligors!$H$2</f>
        <v/>
      </c>
      <c r="AA2" s="21">
        <f>Defaults!AA2*Obligors!$G$2*Obligors!$H$2</f>
        <v/>
      </c>
      <c r="AB2" s="21">
        <f>Defaults!AB2*Obligors!$G$2*Obligors!$H$2</f>
        <v/>
      </c>
      <c r="AC2" s="21">
        <f>Defaults!AC2*Obligors!$G$2*Obligors!$H$2</f>
        <v/>
      </c>
      <c r="AD2" s="21">
        <f>Defaults!AD2*Obligors!$G$2*Obligors!$H$2</f>
        <v/>
      </c>
      <c r="AE2" s="21">
        <f>Defaults!AE2*Obligors!$G$2*Obligors!$H$2</f>
        <v/>
      </c>
      <c r="AF2" s="21">
        <f>Defaults!AF2*Obligors!$G$2*Obligors!$H$2</f>
        <v/>
      </c>
      <c r="AG2" s="21">
        <f>Defaults!AG2*Obligors!$G$2*Obligors!$H$2</f>
        <v/>
      </c>
      <c r="AH2" s="21">
        <f>Defaults!AH2*Obligors!$G$2*Obligors!$H$2</f>
        <v/>
      </c>
      <c r="AI2" s="21">
        <f>Defaults!AI2*Obligors!$G$2*Obligors!$H$2</f>
        <v/>
      </c>
      <c r="AJ2" s="21">
        <f>Defaults!AJ2*Obligors!$G$2*Obligors!$H$2</f>
        <v/>
      </c>
      <c r="AK2" s="21">
        <f>Defaults!AK2*Obligors!$G$2*Obligors!$H$2</f>
        <v/>
      </c>
      <c r="AL2" s="21">
        <f>Defaults!AL2*Obligors!$G$2*Obligors!$H$2</f>
        <v/>
      </c>
      <c r="AM2" s="21">
        <f>Defaults!AM2*Obligors!$G$2*Obligors!$H$2</f>
        <v/>
      </c>
      <c r="AN2" s="21">
        <f>Defaults!AN2*Obligors!$G$2*Obligors!$H$2</f>
        <v/>
      </c>
      <c r="AO2" s="21">
        <f>Defaults!AO2*Obligors!$G$2*Obligors!$H$2</f>
        <v/>
      </c>
      <c r="AP2" s="21">
        <f>Defaults!AP2*Obligors!$G$2*Obligors!$H$2</f>
        <v/>
      </c>
      <c r="AQ2" s="21">
        <f>Defaults!AQ2*Obligors!$G$2*Obligors!$H$2</f>
        <v/>
      </c>
      <c r="AR2" s="21">
        <f>Defaults!AR2*Obligors!$G$2*Obligors!$H$2</f>
        <v/>
      </c>
      <c r="AS2" s="21">
        <f>Defaults!AS2*Obligors!$G$2*Obligors!$H$2</f>
        <v/>
      </c>
      <c r="AT2" s="21">
        <f>Defaults!AT2*Obligors!$G$2*Obligors!$H$2</f>
        <v/>
      </c>
      <c r="AU2" s="21">
        <f>Defaults!AU2*Obligors!$G$2*Obligors!$H$2</f>
        <v/>
      </c>
      <c r="AV2" s="21">
        <f>Defaults!AV2*Obligors!$G$2*Obligors!$H$2</f>
        <v/>
      </c>
      <c r="AW2" s="21">
        <f>Defaults!AW2*Obligors!$G$2*Obligors!$H$2</f>
        <v/>
      </c>
      <c r="AX2" s="21">
        <f>Defaults!AX2*Obligors!$G$2*Obligors!$H$2</f>
        <v/>
      </c>
      <c r="AY2" s="21">
        <f>Defaults!AY2*Obligors!$G$2*Obligors!$H$2</f>
        <v/>
      </c>
      <c r="AZ2" s="21">
        <f>Defaults!AZ2*Obligors!$G$2*Obligors!$H$2</f>
        <v/>
      </c>
      <c r="BA2" s="21">
        <f>Defaults!BA2*Obligors!$G$2*Obligors!$H$2</f>
        <v/>
      </c>
      <c r="BB2" s="21">
        <f>Defaults!BB2*Obligors!$G$2*Obligors!$H$2</f>
        <v/>
      </c>
      <c r="BC2" s="21">
        <f>Defaults!BC2*Obligors!$G$2*Obligors!$H$2</f>
        <v/>
      </c>
      <c r="BD2" s="21">
        <f>Defaults!BD2*Obligors!$G$2*Obligors!$H$2</f>
        <v/>
      </c>
      <c r="BE2" s="21">
        <f>Defaults!BE2*Obligors!$G$2*Obligors!$H$2</f>
        <v/>
      </c>
      <c r="BF2" s="21">
        <f>Defaults!BF2*Obligors!$G$2*Obligors!$H$2</f>
        <v/>
      </c>
      <c r="BG2" s="21">
        <f>Defaults!BG2*Obligors!$G$2*Obligors!$H$2</f>
        <v/>
      </c>
      <c r="BH2" s="21">
        <f>Defaults!BH2*Obligors!$G$2*Obligors!$H$2</f>
        <v/>
      </c>
      <c r="BI2" s="21">
        <f>Defaults!BI2*Obligors!$G$2*Obligors!$H$2</f>
        <v/>
      </c>
      <c r="BJ2" s="21">
        <f>Defaults!BJ2*Obligors!$G$2*Obligors!$H$2</f>
        <v/>
      </c>
      <c r="BK2" s="21">
        <f>Defaults!BK2*Obligors!$G$2*Obligors!$H$2</f>
        <v/>
      </c>
      <c r="BL2" s="21">
        <f>Defaults!BL2*Obligors!$G$2*Obligors!$H$2</f>
        <v/>
      </c>
      <c r="BM2" s="21">
        <f>Defaults!BM2*Obligors!$G$2*Obligors!$H$2</f>
        <v/>
      </c>
      <c r="BN2" s="21">
        <f>Defaults!BN2*Obligors!$G$2*Obligors!$H$2</f>
        <v/>
      </c>
      <c r="BO2" s="21">
        <f>Defaults!BO2*Obligors!$G$2*Obligors!$H$2</f>
        <v/>
      </c>
      <c r="BP2" s="21">
        <f>Defaults!BP2*Obligors!$G$2*Obligors!$H$2</f>
        <v/>
      </c>
      <c r="BQ2" s="21">
        <f>Defaults!BQ2*Obligors!$G$2*Obligors!$H$2</f>
        <v/>
      </c>
      <c r="BR2" s="21">
        <f>Defaults!BR2*Obligors!$G$2*Obligors!$H$2</f>
        <v/>
      </c>
      <c r="BS2" s="21">
        <f>Defaults!BS2*Obligors!$G$2*Obligors!$H$2</f>
        <v/>
      </c>
      <c r="BT2" s="21">
        <f>Defaults!BT2*Obligors!$G$2*Obligors!$H$2</f>
        <v/>
      </c>
      <c r="BU2" s="21">
        <f>Defaults!BU2*Obligors!$G$2*Obligors!$H$2</f>
        <v/>
      </c>
      <c r="BV2" s="21">
        <f>Defaults!BV2*Obligors!$G$2*Obligors!$H$2</f>
        <v/>
      </c>
      <c r="BW2" s="21">
        <f>Defaults!BW2*Obligors!$G$2*Obligors!$H$2</f>
        <v/>
      </c>
      <c r="BX2" s="21">
        <f>Defaults!BX2*Obligors!$G$2*Obligors!$H$2</f>
        <v/>
      </c>
      <c r="BY2" s="21">
        <f>Defaults!BY2*Obligors!$G$2*Obligors!$H$2</f>
        <v/>
      </c>
      <c r="BZ2" s="21">
        <f>Defaults!BZ2*Obligors!$G$2*Obligors!$H$2</f>
        <v/>
      </c>
      <c r="CA2" s="21">
        <f>Defaults!CA2*Obligors!$G$2*Obligors!$H$2</f>
        <v/>
      </c>
      <c r="CB2" s="21">
        <f>Defaults!CB2*Obligors!$G$2*Obligors!$H$2</f>
        <v/>
      </c>
      <c r="CC2" s="21">
        <f>Defaults!CC2*Obligors!$G$2*Obligors!$H$2</f>
        <v/>
      </c>
      <c r="CD2" s="21">
        <f>Defaults!CD2*Obligors!$G$2*Obligors!$H$2</f>
        <v/>
      </c>
      <c r="CE2" s="21">
        <f>Defaults!CE2*Obligors!$G$2*Obligors!$H$2</f>
        <v/>
      </c>
      <c r="CF2" s="21">
        <f>Defaults!CF2*Obligors!$G$2*Obligors!$H$2</f>
        <v/>
      </c>
      <c r="CG2" s="21">
        <f>Defaults!CG2*Obligors!$G$2*Obligors!$H$2</f>
        <v/>
      </c>
      <c r="CH2" s="21">
        <f>Defaults!CH2*Obligors!$G$2*Obligors!$H$2</f>
        <v/>
      </c>
      <c r="CI2" s="21">
        <f>Defaults!CI2*Obligors!$G$2*Obligors!$H$2</f>
        <v/>
      </c>
      <c r="CJ2" s="21">
        <f>Defaults!CJ2*Obligors!$G$2*Obligors!$H$2</f>
        <v/>
      </c>
      <c r="CK2" s="21">
        <f>Defaults!CK2*Obligors!$G$2*Obligors!$H$2</f>
        <v/>
      </c>
      <c r="CL2" s="21">
        <f>Defaults!CL2*Obligors!$G$2*Obligors!$H$2</f>
        <v/>
      </c>
      <c r="CM2" s="21">
        <f>Defaults!CM2*Obligors!$G$2*Obligors!$H$2</f>
        <v/>
      </c>
      <c r="CN2" s="21">
        <f>Defaults!CN2*Obligors!$G$2*Obligors!$H$2</f>
        <v/>
      </c>
      <c r="CO2" s="21">
        <f>Defaults!CO2*Obligors!$G$2*Obligors!$H$2</f>
        <v/>
      </c>
      <c r="CP2" s="21">
        <f>Defaults!CP2*Obligors!$G$2*Obligors!$H$2</f>
        <v/>
      </c>
      <c r="CQ2" s="21">
        <f>Defaults!CQ2*Obligors!$G$2*Obligors!$H$2</f>
        <v/>
      </c>
      <c r="CR2" s="21">
        <f>Defaults!CR2*Obligors!$G$2*Obligors!$H$2</f>
        <v/>
      </c>
      <c r="CS2" s="21">
        <f>Defaults!CS2*Obligors!$G$2*Obligors!$H$2</f>
        <v/>
      </c>
      <c r="CT2" s="21">
        <f>Defaults!CT2*Obligors!$G$2*Obligors!$H$2</f>
        <v/>
      </c>
      <c r="CU2" s="21">
        <f>Defaults!CU2*Obligors!$G$2*Obligors!$H$2</f>
        <v/>
      </c>
      <c r="CV2" s="21">
        <f>Defaults!CV2*Obligors!$G$2*Obligors!$H$2</f>
        <v/>
      </c>
      <c r="CW2" s="21">
        <f>Defaults!CW2*Obligors!$G$2*Obligors!$H$2</f>
        <v/>
      </c>
      <c r="CX2" s="21">
        <f>Defaults!CX2*Obligors!$G$2*Obligors!$H$2</f>
        <v/>
      </c>
      <c r="CY2" s="21">
        <f>Defaults!CY2*Obligors!$G$2*Obligors!$H$2</f>
        <v/>
      </c>
      <c r="CZ2" s="21">
        <f>Defaults!CZ2*Obligors!$G$2*Obligors!$H$2</f>
        <v/>
      </c>
      <c r="DA2" s="21">
        <f>Defaults!DA2*Obligors!$G$2*Obligors!$H$2</f>
        <v/>
      </c>
      <c r="DB2" s="21">
        <f>Defaults!DB2*Obligors!$G$2*Obligors!$H$2</f>
        <v/>
      </c>
      <c r="DC2" s="21">
        <f>Defaults!DC2*Obligors!$G$2*Obligors!$H$2</f>
        <v/>
      </c>
      <c r="DD2" s="21">
        <f>Defaults!DD2*Obligors!$G$2*Obligors!$H$2</f>
        <v/>
      </c>
      <c r="DE2" s="21">
        <f>Defaults!DE2*Obligors!$G$2*Obligors!$H$2</f>
        <v/>
      </c>
      <c r="DF2" s="21">
        <f>Defaults!DF2*Obligors!$G$2*Obligors!$H$2</f>
        <v/>
      </c>
      <c r="DG2" s="21">
        <f>Defaults!DG2*Obligors!$G$2*Obligors!$H$2</f>
        <v/>
      </c>
      <c r="DH2" s="21">
        <f>Defaults!DH2*Obligors!$G$2*Obligors!$H$2</f>
        <v/>
      </c>
      <c r="DI2" s="21">
        <f>Defaults!DI2*Obligors!$G$2*Obligors!$H$2</f>
        <v/>
      </c>
      <c r="DJ2" s="21">
        <f>Defaults!DJ2*Obligors!$G$2*Obligors!$H$2</f>
        <v/>
      </c>
      <c r="DK2" s="21">
        <f>Defaults!DK2*Obligors!$G$2*Obligors!$H$2</f>
        <v/>
      </c>
      <c r="DL2" s="21">
        <f>Defaults!DL2*Obligors!$G$2*Obligors!$H$2</f>
        <v/>
      </c>
      <c r="DM2" s="21">
        <f>Defaults!DM2*Obligors!$G$2*Obligors!$H$2</f>
        <v/>
      </c>
      <c r="DN2" s="21">
        <f>Defaults!DN2*Obligors!$G$2*Obligors!$H$2</f>
        <v/>
      </c>
      <c r="DO2" s="21">
        <f>Defaults!DO2*Obligors!$G$2*Obligors!$H$2</f>
        <v/>
      </c>
      <c r="DP2" s="21">
        <f>Defaults!DP2*Obligors!$G$2*Obligors!$H$2</f>
        <v/>
      </c>
      <c r="DQ2" s="21">
        <f>Defaults!DQ2*Obligors!$G$2*Obligors!$H$2</f>
        <v/>
      </c>
      <c r="DR2" s="21">
        <f>Defaults!DR2*Obligors!$G$2*Obligors!$H$2</f>
        <v/>
      </c>
      <c r="DS2" s="21">
        <f>Defaults!DS2*Obligors!$G$2*Obligors!$H$2</f>
        <v/>
      </c>
      <c r="DT2" s="21">
        <f>Defaults!DT2*Obligors!$G$2*Obligors!$H$2</f>
        <v/>
      </c>
      <c r="DU2" s="21">
        <f>Defaults!DU2*Obligors!$G$2*Obligors!$H$2</f>
        <v/>
      </c>
      <c r="DV2" s="21">
        <f>Defaults!DV2*Obligors!$G$2*Obligors!$H$2</f>
        <v/>
      </c>
      <c r="DW2" s="21">
        <f>Defaults!DW2*Obligors!$G$2*Obligors!$H$2</f>
        <v/>
      </c>
      <c r="DX2" s="21">
        <f>Defaults!DX2*Obligors!$G$2*Obligors!$H$2</f>
        <v/>
      </c>
      <c r="DY2" s="21">
        <f>Defaults!DY2*Obligors!$G$2*Obligors!$H$2</f>
        <v/>
      </c>
      <c r="DZ2" s="21">
        <f>Defaults!DZ2*Obligors!$G$2*Obligors!$H$2</f>
        <v/>
      </c>
      <c r="EA2" s="21">
        <f>Defaults!EA2*Obligors!$G$2*Obligors!$H$2</f>
        <v/>
      </c>
      <c r="EB2" s="21">
        <f>Defaults!EB2*Obligors!$G$2*Obligors!$H$2</f>
        <v/>
      </c>
      <c r="EC2" s="21">
        <f>Defaults!EC2*Obligors!$G$2*Obligors!$H$2</f>
        <v/>
      </c>
      <c r="ED2" s="21">
        <f>Defaults!ED2*Obligors!$G$2*Obligors!$H$2</f>
        <v/>
      </c>
      <c r="EE2" s="21">
        <f>Defaults!EE2*Obligors!$G$2*Obligors!$H$2</f>
        <v/>
      </c>
      <c r="EF2" s="21">
        <f>Defaults!EF2*Obligors!$G$2*Obligors!$H$2</f>
        <v/>
      </c>
      <c r="EG2" s="21">
        <f>Defaults!EG2*Obligors!$G$2*Obligors!$H$2</f>
        <v/>
      </c>
      <c r="EH2" s="21">
        <f>Defaults!EH2*Obligors!$G$2*Obligors!$H$2</f>
        <v/>
      </c>
      <c r="EI2" s="21">
        <f>Defaults!EI2*Obligors!$G$2*Obligors!$H$2</f>
        <v/>
      </c>
      <c r="EJ2" s="21">
        <f>Defaults!EJ2*Obligors!$G$2*Obligors!$H$2</f>
        <v/>
      </c>
      <c r="EK2" s="21">
        <f>Defaults!EK2*Obligors!$G$2*Obligors!$H$2</f>
        <v/>
      </c>
      <c r="EL2" s="21">
        <f>Defaults!EL2*Obligors!$G$2*Obligors!$H$2</f>
        <v/>
      </c>
      <c r="EM2" s="21">
        <f>Defaults!EM2*Obligors!$G$2*Obligors!$H$2</f>
        <v/>
      </c>
      <c r="EN2" s="21">
        <f>Defaults!EN2*Obligors!$G$2*Obligors!$H$2</f>
        <v/>
      </c>
      <c r="EO2" s="21">
        <f>Defaults!EO2*Obligors!$G$2*Obligors!$H$2</f>
        <v/>
      </c>
      <c r="EP2" s="21">
        <f>Defaults!EP2*Obligors!$G$2*Obligors!$H$2</f>
        <v/>
      </c>
      <c r="EQ2" s="21">
        <f>Defaults!EQ2*Obligors!$G$2*Obligors!$H$2</f>
        <v/>
      </c>
      <c r="ER2" s="21">
        <f>Defaults!ER2*Obligors!$G$2*Obligors!$H$2</f>
        <v/>
      </c>
      <c r="ES2" s="21">
        <f>Defaults!ES2*Obligors!$G$2*Obligors!$H$2</f>
        <v/>
      </c>
      <c r="ET2" s="21">
        <f>Defaults!ET2*Obligors!$G$2*Obligors!$H$2</f>
        <v/>
      </c>
      <c r="EU2" s="21">
        <f>Defaults!EU2*Obligors!$G$2*Obligors!$H$2</f>
        <v/>
      </c>
      <c r="EV2" s="21">
        <f>Defaults!EV2*Obligors!$G$2*Obligors!$H$2</f>
        <v/>
      </c>
      <c r="EW2" s="21">
        <f>Defaults!EW2*Obligors!$G$2*Obligors!$H$2</f>
        <v/>
      </c>
      <c r="EX2" s="21">
        <f>Defaults!EX2*Obligors!$G$2*Obligors!$H$2</f>
        <v/>
      </c>
      <c r="EY2" s="21">
        <f>Defaults!EY2*Obligors!$G$2*Obligors!$H$2</f>
        <v/>
      </c>
      <c r="EZ2" s="21">
        <f>Defaults!EZ2*Obligors!$G$2*Obligors!$H$2</f>
        <v/>
      </c>
      <c r="FA2" s="21">
        <f>Defaults!FA2*Obligors!$G$2*Obligors!$H$2</f>
        <v/>
      </c>
      <c r="FB2" s="21">
        <f>Defaults!FB2*Obligors!$G$2*Obligors!$H$2</f>
        <v/>
      </c>
      <c r="FC2" s="21">
        <f>Defaults!FC2*Obligors!$G$2*Obligors!$H$2</f>
        <v/>
      </c>
      <c r="FD2" s="21">
        <f>Defaults!FD2*Obligors!$G$2*Obligors!$H$2</f>
        <v/>
      </c>
      <c r="FE2" s="21">
        <f>Defaults!FE2*Obligors!$G$2*Obligors!$H$2</f>
        <v/>
      </c>
      <c r="FF2" s="21">
        <f>Defaults!FF2*Obligors!$G$2*Obligors!$H$2</f>
        <v/>
      </c>
      <c r="FG2" s="21">
        <f>Defaults!FG2*Obligors!$G$2*Obligors!$H$2</f>
        <v/>
      </c>
      <c r="FH2" s="21">
        <f>Defaults!FH2*Obligors!$G$2*Obligors!$H$2</f>
        <v/>
      </c>
      <c r="FI2" s="21">
        <f>Defaults!FI2*Obligors!$G$2*Obligors!$H$2</f>
        <v/>
      </c>
      <c r="FJ2" s="21">
        <f>Defaults!FJ2*Obligors!$G$2*Obligors!$H$2</f>
        <v/>
      </c>
      <c r="FK2" s="21">
        <f>Defaults!FK2*Obligors!$G$2*Obligors!$H$2</f>
        <v/>
      </c>
      <c r="FL2" s="21">
        <f>Defaults!FL2*Obligors!$G$2*Obligors!$H$2</f>
        <v/>
      </c>
      <c r="FM2" s="21">
        <f>Defaults!FM2*Obligors!$G$2*Obligors!$H$2</f>
        <v/>
      </c>
      <c r="FN2" s="21">
        <f>Defaults!FN2*Obligors!$G$2*Obligors!$H$2</f>
        <v/>
      </c>
      <c r="FO2" s="21">
        <f>Defaults!FO2*Obligors!$G$2*Obligors!$H$2</f>
        <v/>
      </c>
      <c r="FP2" s="21">
        <f>Defaults!FP2*Obligors!$G$2*Obligors!$H$2</f>
        <v/>
      </c>
      <c r="FQ2" s="21">
        <f>Defaults!FQ2*Obligors!$G$2*Obligors!$H$2</f>
        <v/>
      </c>
      <c r="FR2" s="21">
        <f>Defaults!FR2*Obligors!$G$2*Obligors!$H$2</f>
        <v/>
      </c>
      <c r="FS2" s="21">
        <f>Defaults!FS2*Obligors!$G$2*Obligors!$H$2</f>
        <v/>
      </c>
      <c r="FT2" s="21">
        <f>Defaults!FT2*Obligors!$G$2*Obligors!$H$2</f>
        <v/>
      </c>
      <c r="FU2" s="21">
        <f>Defaults!FU2*Obligors!$G$2*Obligors!$H$2</f>
        <v/>
      </c>
      <c r="FV2" s="21">
        <f>Defaults!FV2*Obligors!$G$2*Obligors!$H$2</f>
        <v/>
      </c>
      <c r="FW2" s="21">
        <f>Defaults!FW2*Obligors!$G$2*Obligors!$H$2</f>
        <v/>
      </c>
      <c r="FX2" s="21">
        <f>Defaults!FX2*Obligors!$G$2*Obligors!$H$2</f>
        <v/>
      </c>
      <c r="FY2" s="21">
        <f>Defaults!FY2*Obligors!$G$2*Obligors!$H$2</f>
        <v/>
      </c>
      <c r="FZ2" s="21">
        <f>Defaults!FZ2*Obligors!$G$2*Obligors!$H$2</f>
        <v/>
      </c>
      <c r="GA2" s="21">
        <f>Defaults!GA2*Obligors!$G$2*Obligors!$H$2</f>
        <v/>
      </c>
      <c r="GB2" s="21">
        <f>Defaults!GB2*Obligors!$G$2*Obligors!$H$2</f>
        <v/>
      </c>
      <c r="GC2" s="21">
        <f>Defaults!GC2*Obligors!$G$2*Obligors!$H$2</f>
        <v/>
      </c>
      <c r="GD2" s="21">
        <f>Defaults!GD2*Obligors!$G$2*Obligors!$H$2</f>
        <v/>
      </c>
      <c r="GE2" s="21">
        <f>Defaults!GE2*Obligors!$G$2*Obligors!$H$2</f>
        <v/>
      </c>
      <c r="GF2" s="21">
        <f>Defaults!GF2*Obligors!$G$2*Obligors!$H$2</f>
        <v/>
      </c>
      <c r="GG2" s="21">
        <f>Defaults!GG2*Obligors!$G$2*Obligors!$H$2</f>
        <v/>
      </c>
      <c r="GH2" s="21">
        <f>Defaults!GH2*Obligors!$G$2*Obligors!$H$2</f>
        <v/>
      </c>
      <c r="GI2" s="21">
        <f>Defaults!GI2*Obligors!$G$2*Obligors!$H$2</f>
        <v/>
      </c>
      <c r="GJ2" s="21">
        <f>Defaults!GJ2*Obligors!$G$2*Obligors!$H$2</f>
        <v/>
      </c>
      <c r="GK2" s="21">
        <f>Defaults!GK2*Obligors!$G$2*Obligors!$H$2</f>
        <v/>
      </c>
      <c r="GL2" s="21">
        <f>Defaults!GL2*Obligors!$G$2*Obligors!$H$2</f>
        <v/>
      </c>
      <c r="GM2" s="21">
        <f>Defaults!GM2*Obligors!$G$2*Obligors!$H$2</f>
        <v/>
      </c>
      <c r="GN2" s="21">
        <f>Defaults!GN2*Obligors!$G$2*Obligors!$H$2</f>
        <v/>
      </c>
      <c r="GO2" s="21">
        <f>Defaults!GO2*Obligors!$G$2*Obligors!$H$2</f>
        <v/>
      </c>
      <c r="GP2" s="21">
        <f>Defaults!GP2*Obligors!$G$2*Obligors!$H$2</f>
        <v/>
      </c>
      <c r="GQ2" s="21">
        <f>Defaults!GQ2*Obligors!$G$2*Obligors!$H$2</f>
        <v/>
      </c>
      <c r="GR2" s="21">
        <f>Defaults!GR2*Obligors!$G$2*Obligors!$H$2</f>
        <v/>
      </c>
      <c r="GS2" s="21">
        <f>Defaults!GS2*Obligors!$G$2*Obligors!$H$2</f>
        <v/>
      </c>
      <c r="GT2" s="21">
        <f>Defaults!GT2*Obligors!$G$2*Obligors!$H$2</f>
        <v/>
      </c>
      <c r="GU2" s="21">
        <f>Defaults!GU2*Obligors!$G$2*Obligors!$H$2</f>
        <v/>
      </c>
      <c r="GV2" s="21">
        <f>Defaults!GV2*Obligors!$G$2*Obligors!$H$2</f>
        <v/>
      </c>
      <c r="GW2" s="21">
        <f>Defaults!GW2*Obligors!$G$2*Obligors!$H$2</f>
        <v/>
      </c>
      <c r="GX2" s="21">
        <f>Defaults!GX2*Obligors!$G$2*Obligors!$H$2</f>
        <v/>
      </c>
      <c r="GY2" s="21">
        <f>Defaults!GY2*Obligors!$G$2*Obligors!$H$2</f>
        <v/>
      </c>
      <c r="GZ2" s="21">
        <f>Defaults!GZ2*Obligors!$G$2*Obligors!$H$2</f>
        <v/>
      </c>
      <c r="HA2" s="21">
        <f>Defaults!HA2*Obligors!$G$2*Obligors!$H$2</f>
        <v/>
      </c>
      <c r="HB2" s="21">
        <f>Defaults!HB2*Obligors!$G$2*Obligors!$H$2</f>
        <v/>
      </c>
      <c r="HC2" s="21">
        <f>Defaults!HC2*Obligors!$G$2*Obligors!$H$2</f>
        <v/>
      </c>
      <c r="HD2" s="21">
        <f>Defaults!HD2*Obligors!$G$2*Obligors!$H$2</f>
        <v/>
      </c>
      <c r="HE2" s="21">
        <f>Defaults!HE2*Obligors!$G$2*Obligors!$H$2</f>
        <v/>
      </c>
      <c r="HF2" s="21">
        <f>Defaults!HF2*Obligors!$G$2*Obligors!$H$2</f>
        <v/>
      </c>
      <c r="HG2" s="21">
        <f>Defaults!HG2*Obligors!$G$2*Obligors!$H$2</f>
        <v/>
      </c>
      <c r="HH2" s="21">
        <f>Defaults!HH2*Obligors!$G$2*Obligors!$H$2</f>
        <v/>
      </c>
      <c r="HI2" s="21">
        <f>Defaults!HI2*Obligors!$G$2*Obligors!$H$2</f>
        <v/>
      </c>
      <c r="HJ2" s="21">
        <f>Defaults!HJ2*Obligors!$G$2*Obligors!$H$2</f>
        <v/>
      </c>
      <c r="HK2" s="21">
        <f>Defaults!HK2*Obligors!$G$2*Obligors!$H$2</f>
        <v/>
      </c>
      <c r="HL2" s="21">
        <f>Defaults!HL2*Obligors!$G$2*Obligors!$H$2</f>
        <v/>
      </c>
      <c r="HM2" s="21">
        <f>Defaults!HM2*Obligors!$G$2*Obligors!$H$2</f>
        <v/>
      </c>
      <c r="HN2" s="21">
        <f>Defaults!HN2*Obligors!$G$2*Obligors!$H$2</f>
        <v/>
      </c>
      <c r="HO2" s="21">
        <f>Defaults!HO2*Obligors!$G$2*Obligors!$H$2</f>
        <v/>
      </c>
      <c r="HP2" s="21">
        <f>Defaults!HP2*Obligors!$G$2*Obligors!$H$2</f>
        <v/>
      </c>
      <c r="HQ2" s="21">
        <f>Defaults!HQ2*Obligors!$G$2*Obligors!$H$2</f>
        <v/>
      </c>
      <c r="HR2" s="21">
        <f>Defaults!HR2*Obligors!$G$2*Obligors!$H$2</f>
        <v/>
      </c>
      <c r="HS2" s="21">
        <f>Defaults!HS2*Obligors!$G$2*Obligors!$H$2</f>
        <v/>
      </c>
      <c r="HT2" s="21">
        <f>Defaults!HT2*Obligors!$G$2*Obligors!$H$2</f>
        <v/>
      </c>
      <c r="HU2" s="21">
        <f>Defaults!HU2*Obligors!$G$2*Obligors!$H$2</f>
        <v/>
      </c>
      <c r="HV2" s="21">
        <f>Defaults!HV2*Obligors!$G$2*Obligors!$H$2</f>
        <v/>
      </c>
      <c r="HW2" s="21">
        <f>Defaults!HW2*Obligors!$G$2*Obligors!$H$2</f>
        <v/>
      </c>
      <c r="HX2" s="21">
        <f>Defaults!HX2*Obligors!$G$2*Obligors!$H$2</f>
        <v/>
      </c>
      <c r="HY2" s="21">
        <f>Defaults!HY2*Obligors!$G$2*Obligors!$H$2</f>
        <v/>
      </c>
      <c r="HZ2" s="21">
        <f>Defaults!HZ2*Obligors!$G$2*Obligors!$H$2</f>
        <v/>
      </c>
      <c r="IA2" s="21">
        <f>Defaults!IA2*Obligors!$G$2*Obligors!$H$2</f>
        <v/>
      </c>
      <c r="IB2" s="21">
        <f>Defaults!IB2*Obligors!$G$2*Obligors!$H$2</f>
        <v/>
      </c>
      <c r="IC2" s="21">
        <f>Defaults!IC2*Obligors!$G$2*Obligors!$H$2</f>
        <v/>
      </c>
      <c r="ID2" s="21">
        <f>Defaults!ID2*Obligors!$G$2*Obligors!$H$2</f>
        <v/>
      </c>
      <c r="IE2" s="21">
        <f>Defaults!IE2*Obligors!$G$2*Obligors!$H$2</f>
        <v/>
      </c>
      <c r="IF2" s="21">
        <f>Defaults!IF2*Obligors!$G$2*Obligors!$H$2</f>
        <v/>
      </c>
      <c r="IG2" s="21">
        <f>Defaults!IG2*Obligors!$G$2*Obligors!$H$2</f>
        <v/>
      </c>
      <c r="IH2" s="21">
        <f>Defaults!IH2*Obligors!$G$2*Obligors!$H$2</f>
        <v/>
      </c>
      <c r="II2" s="21">
        <f>Defaults!II2*Obligors!$G$2*Obligors!$H$2</f>
        <v/>
      </c>
      <c r="IJ2" s="21">
        <f>Defaults!IJ2*Obligors!$G$2*Obligors!$H$2</f>
        <v/>
      </c>
      <c r="IK2" s="21">
        <f>Defaults!IK2*Obligors!$G$2*Obligors!$H$2</f>
        <v/>
      </c>
      <c r="IL2" s="21">
        <f>Defaults!IL2*Obligors!$G$2*Obligors!$H$2</f>
        <v/>
      </c>
      <c r="IM2" s="21">
        <f>Defaults!IM2*Obligors!$G$2*Obligors!$H$2</f>
        <v/>
      </c>
      <c r="IN2" s="21">
        <f>Defaults!IN2*Obligors!$G$2*Obligors!$H$2</f>
        <v/>
      </c>
      <c r="IO2" s="21">
        <f>Defaults!IO2*Obligors!$G$2*Obligors!$H$2</f>
        <v/>
      </c>
      <c r="IP2" s="21">
        <f>Defaults!IP2*Obligors!$G$2*Obligors!$H$2</f>
        <v/>
      </c>
      <c r="IQ2" s="21">
        <f>Defaults!IQ2*Obligors!$G$2*Obligors!$H$2</f>
        <v/>
      </c>
      <c r="IR2" s="21">
        <f>Defaults!IR2*Obligors!$G$2*Obligors!$H$2</f>
        <v/>
      </c>
      <c r="IS2" s="21">
        <f>Defaults!IS2*Obligors!$G$2*Obligors!$H$2</f>
        <v/>
      </c>
      <c r="IT2" s="21">
        <f>Defaults!IT2*Obligors!$G$2*Obligors!$H$2</f>
        <v/>
      </c>
      <c r="IU2" s="21">
        <f>Defaults!IU2*Obligors!$G$2*Obligors!$H$2</f>
        <v/>
      </c>
      <c r="IV2" s="21">
        <f>Defaults!IV2*Obligors!$G$2*Obligors!$H$2</f>
        <v/>
      </c>
      <c r="IW2" s="21">
        <f>Defaults!IW2*Obligors!$G$2*Obligors!$H$2</f>
        <v/>
      </c>
      <c r="IX2" s="21">
        <f>Defaults!IX2*Obligors!$G$2*Obligors!$H$2</f>
        <v/>
      </c>
      <c r="IY2" s="21">
        <f>Defaults!IY2*Obligors!$G$2*Obligors!$H$2</f>
        <v/>
      </c>
      <c r="IZ2" s="21">
        <f>Defaults!IZ2*Obligors!$G$2*Obligors!$H$2</f>
        <v/>
      </c>
      <c r="JA2" s="21">
        <f>Defaults!JA2*Obligors!$G$2*Obligors!$H$2</f>
        <v/>
      </c>
      <c r="JB2" s="21">
        <f>Defaults!JB2*Obligors!$G$2*Obligors!$H$2</f>
        <v/>
      </c>
      <c r="JC2" s="21">
        <f>Defaults!JC2*Obligors!$G$2*Obligors!$H$2</f>
        <v/>
      </c>
      <c r="JD2" s="21">
        <f>Defaults!JD2*Obligors!$G$2*Obligors!$H$2</f>
        <v/>
      </c>
      <c r="JE2" s="21">
        <f>Defaults!JE2*Obligors!$G$2*Obligors!$H$2</f>
        <v/>
      </c>
      <c r="JF2" s="21">
        <f>Defaults!JF2*Obligors!$G$2*Obligors!$H$2</f>
        <v/>
      </c>
      <c r="JG2" s="21">
        <f>Defaults!JG2*Obligors!$G$2*Obligors!$H$2</f>
        <v/>
      </c>
      <c r="JH2" s="21">
        <f>Defaults!JH2*Obligors!$G$2*Obligors!$H$2</f>
        <v/>
      </c>
      <c r="JI2" s="21">
        <f>Defaults!JI2*Obligors!$G$2*Obligors!$H$2</f>
        <v/>
      </c>
      <c r="JJ2" s="21">
        <f>Defaults!JJ2*Obligors!$G$2*Obligors!$H$2</f>
        <v/>
      </c>
      <c r="JK2" s="21">
        <f>Defaults!JK2*Obligors!$G$2*Obligors!$H$2</f>
        <v/>
      </c>
      <c r="JL2" s="21">
        <f>Defaults!JL2*Obligors!$G$2*Obligors!$H$2</f>
        <v/>
      </c>
      <c r="JM2" s="21">
        <f>Defaults!JM2*Obligors!$G$2*Obligors!$H$2</f>
        <v/>
      </c>
      <c r="JN2" s="21">
        <f>Defaults!JN2*Obligors!$G$2*Obligors!$H$2</f>
        <v/>
      </c>
      <c r="JO2" s="21">
        <f>Defaults!JO2*Obligors!$G$2*Obligors!$H$2</f>
        <v/>
      </c>
      <c r="JP2" s="21">
        <f>Defaults!JP2*Obligors!$G$2*Obligors!$H$2</f>
        <v/>
      </c>
      <c r="JQ2" s="21">
        <f>Defaults!JQ2*Obligors!$G$2*Obligors!$H$2</f>
        <v/>
      </c>
      <c r="JR2" s="21">
        <f>Defaults!JR2*Obligors!$G$2*Obligors!$H$2</f>
        <v/>
      </c>
      <c r="JS2" s="21">
        <f>Defaults!JS2*Obligors!$G$2*Obligors!$H$2</f>
        <v/>
      </c>
      <c r="JT2" s="21">
        <f>Defaults!JT2*Obligors!$G$2*Obligors!$H$2</f>
        <v/>
      </c>
      <c r="JU2" s="21">
        <f>Defaults!JU2*Obligors!$G$2*Obligors!$H$2</f>
        <v/>
      </c>
      <c r="JV2" s="21">
        <f>Defaults!JV2*Obligors!$G$2*Obligors!$H$2</f>
        <v/>
      </c>
      <c r="JW2" s="21">
        <f>Defaults!JW2*Obligors!$G$2*Obligors!$H$2</f>
        <v/>
      </c>
      <c r="JX2" s="21">
        <f>Defaults!JX2*Obligors!$G$2*Obligors!$H$2</f>
        <v/>
      </c>
      <c r="JY2" s="21">
        <f>Defaults!JY2*Obligors!$G$2*Obligors!$H$2</f>
        <v/>
      </c>
      <c r="JZ2" s="21">
        <f>Defaults!JZ2*Obligors!$G$2*Obligors!$H$2</f>
        <v/>
      </c>
      <c r="KA2" s="21">
        <f>Defaults!KA2*Obligors!$G$2*Obligors!$H$2</f>
        <v/>
      </c>
      <c r="KB2" s="21">
        <f>Defaults!KB2*Obligors!$G$2*Obligors!$H$2</f>
        <v/>
      </c>
      <c r="KC2" s="21">
        <f>Defaults!KC2*Obligors!$G$2*Obligors!$H$2</f>
        <v/>
      </c>
      <c r="KD2" s="21">
        <f>Defaults!KD2*Obligors!$G$2*Obligors!$H$2</f>
        <v/>
      </c>
      <c r="KE2" s="21">
        <f>Defaults!KE2*Obligors!$G$2*Obligors!$H$2</f>
        <v/>
      </c>
      <c r="KF2" s="21">
        <f>Defaults!KF2*Obligors!$G$2*Obligors!$H$2</f>
        <v/>
      </c>
      <c r="KG2" s="21">
        <f>Defaults!KG2*Obligors!$G$2*Obligors!$H$2</f>
        <v/>
      </c>
      <c r="KH2" s="21">
        <f>Defaults!KH2*Obligors!$G$2*Obligors!$H$2</f>
        <v/>
      </c>
      <c r="KI2" s="21">
        <f>Defaults!KI2*Obligors!$G$2*Obligors!$H$2</f>
        <v/>
      </c>
      <c r="KJ2" s="21">
        <f>Defaults!KJ2*Obligors!$G$2*Obligors!$H$2</f>
        <v/>
      </c>
      <c r="KK2" s="21">
        <f>Defaults!KK2*Obligors!$G$2*Obligors!$H$2</f>
        <v/>
      </c>
      <c r="KL2" s="21">
        <f>Defaults!KL2*Obligors!$G$2*Obligors!$H$2</f>
        <v/>
      </c>
      <c r="KM2" s="21">
        <f>Defaults!KM2*Obligors!$G$2*Obligors!$H$2</f>
        <v/>
      </c>
      <c r="KN2" s="21">
        <f>Defaults!KN2*Obligors!$G$2*Obligors!$H$2</f>
        <v/>
      </c>
      <c r="KO2" s="21">
        <f>Defaults!KO2*Obligors!$G$2*Obligors!$H$2</f>
        <v/>
      </c>
      <c r="KP2" s="21">
        <f>Defaults!KP2*Obligors!$G$2*Obligors!$H$2</f>
        <v/>
      </c>
      <c r="KQ2" s="21">
        <f>Defaults!KQ2*Obligors!$G$2*Obligors!$H$2</f>
        <v/>
      </c>
      <c r="KR2" s="21">
        <f>Defaults!KR2*Obligors!$G$2*Obligors!$H$2</f>
        <v/>
      </c>
      <c r="KS2" s="21">
        <f>Defaults!KS2*Obligors!$G$2*Obligors!$H$2</f>
        <v/>
      </c>
      <c r="KT2" s="21">
        <f>Defaults!KT2*Obligors!$G$2*Obligors!$H$2</f>
        <v/>
      </c>
      <c r="KU2" s="21">
        <f>Defaults!KU2*Obligors!$G$2*Obligors!$H$2</f>
        <v/>
      </c>
      <c r="KV2" s="21">
        <f>Defaults!KV2*Obligors!$G$2*Obligors!$H$2</f>
        <v/>
      </c>
      <c r="KW2" s="21">
        <f>Defaults!KW2*Obligors!$G$2*Obligors!$H$2</f>
        <v/>
      </c>
      <c r="KX2" s="21">
        <f>Defaults!KX2*Obligors!$G$2*Obligors!$H$2</f>
        <v/>
      </c>
      <c r="KY2" s="21">
        <f>Defaults!KY2*Obligors!$G$2*Obligors!$H$2</f>
        <v/>
      </c>
      <c r="KZ2" s="21">
        <f>Defaults!KZ2*Obligors!$G$2*Obligors!$H$2</f>
        <v/>
      </c>
      <c r="LA2" s="21">
        <f>Defaults!LA2*Obligors!$G$2*Obligors!$H$2</f>
        <v/>
      </c>
      <c r="LB2" s="21">
        <f>Defaults!LB2*Obligors!$G$2*Obligors!$H$2</f>
        <v/>
      </c>
      <c r="LC2" s="21">
        <f>Defaults!LC2*Obligors!$G$2*Obligors!$H$2</f>
        <v/>
      </c>
      <c r="LD2" s="21">
        <f>Defaults!LD2*Obligors!$G$2*Obligors!$H$2</f>
        <v/>
      </c>
      <c r="LE2" s="21">
        <f>Defaults!LE2*Obligors!$G$2*Obligors!$H$2</f>
        <v/>
      </c>
      <c r="LF2" s="21">
        <f>Defaults!LF2*Obligors!$G$2*Obligors!$H$2</f>
        <v/>
      </c>
      <c r="LG2" s="21">
        <f>Defaults!LG2*Obligors!$G$2*Obligors!$H$2</f>
        <v/>
      </c>
      <c r="LH2" s="21">
        <f>Defaults!LH2*Obligors!$G$2*Obligors!$H$2</f>
        <v/>
      </c>
      <c r="LI2" s="21">
        <f>Defaults!LI2*Obligors!$G$2*Obligors!$H$2</f>
        <v/>
      </c>
      <c r="LJ2" s="21">
        <f>Defaults!LJ2*Obligors!$G$2*Obligors!$H$2</f>
        <v/>
      </c>
      <c r="LK2" s="21">
        <f>Defaults!LK2*Obligors!$G$2*Obligors!$H$2</f>
        <v/>
      </c>
      <c r="LL2" s="21">
        <f>Defaults!LL2*Obligors!$G$2*Obligors!$H$2</f>
        <v/>
      </c>
      <c r="LM2" s="21">
        <f>Defaults!LM2*Obligors!$G$2*Obligors!$H$2</f>
        <v/>
      </c>
      <c r="LN2" s="21">
        <f>Defaults!LN2*Obligors!$G$2*Obligors!$H$2</f>
        <v/>
      </c>
      <c r="LO2" s="21">
        <f>Defaults!LO2*Obligors!$G$2*Obligors!$H$2</f>
        <v/>
      </c>
      <c r="LP2" s="21">
        <f>Defaults!LP2*Obligors!$G$2*Obligors!$H$2</f>
        <v/>
      </c>
      <c r="LQ2" s="21">
        <f>Defaults!LQ2*Obligors!$G$2*Obligors!$H$2</f>
        <v/>
      </c>
      <c r="LR2" s="21">
        <f>Defaults!LR2*Obligors!$G$2*Obligors!$H$2</f>
        <v/>
      </c>
      <c r="LS2" s="21">
        <f>Defaults!LS2*Obligors!$G$2*Obligors!$H$2</f>
        <v/>
      </c>
      <c r="LT2" s="21">
        <f>Defaults!LT2*Obligors!$G$2*Obligors!$H$2</f>
        <v/>
      </c>
      <c r="LU2" s="21">
        <f>Defaults!LU2*Obligors!$G$2*Obligors!$H$2</f>
        <v/>
      </c>
      <c r="LV2" s="21">
        <f>Defaults!LV2*Obligors!$G$2*Obligors!$H$2</f>
        <v/>
      </c>
      <c r="LW2" s="21">
        <f>Defaults!LW2*Obligors!$G$2*Obligors!$H$2</f>
        <v/>
      </c>
      <c r="LX2" s="21">
        <f>Defaults!LX2*Obligors!$G$2*Obligors!$H$2</f>
        <v/>
      </c>
      <c r="LY2" s="21">
        <f>Defaults!LY2*Obligors!$G$2*Obligors!$H$2</f>
        <v/>
      </c>
      <c r="LZ2" s="21">
        <f>Defaults!LZ2*Obligors!$G$2*Obligors!$H$2</f>
        <v/>
      </c>
      <c r="MA2" s="21">
        <f>Defaults!MA2*Obligors!$G$2*Obligors!$H$2</f>
        <v/>
      </c>
      <c r="MB2" s="21">
        <f>Defaults!MB2*Obligors!$G$2*Obligors!$H$2</f>
        <v/>
      </c>
      <c r="MC2" s="21">
        <f>Defaults!MC2*Obligors!$G$2*Obligors!$H$2</f>
        <v/>
      </c>
      <c r="MD2" s="21">
        <f>Defaults!MD2*Obligors!$G$2*Obligors!$H$2</f>
        <v/>
      </c>
      <c r="ME2" s="21">
        <f>Defaults!ME2*Obligors!$G$2*Obligors!$H$2</f>
        <v/>
      </c>
      <c r="MF2" s="21">
        <f>Defaults!MF2*Obligors!$G$2*Obligors!$H$2</f>
        <v/>
      </c>
      <c r="MG2" s="21">
        <f>Defaults!MG2*Obligors!$G$2*Obligors!$H$2</f>
        <v/>
      </c>
      <c r="MH2" s="21">
        <f>Defaults!MH2*Obligors!$G$2*Obligors!$H$2</f>
        <v/>
      </c>
      <c r="MI2" s="21">
        <f>Defaults!MI2*Obligors!$G$2*Obligors!$H$2</f>
        <v/>
      </c>
      <c r="MJ2" s="21">
        <f>Defaults!MJ2*Obligors!$G$2*Obligors!$H$2</f>
        <v/>
      </c>
      <c r="MK2" s="21">
        <f>Defaults!MK2*Obligors!$G$2*Obligors!$H$2</f>
        <v/>
      </c>
      <c r="ML2" s="21">
        <f>Defaults!ML2*Obligors!$G$2*Obligors!$H$2</f>
        <v/>
      </c>
      <c r="MM2" s="21">
        <f>Defaults!MM2*Obligors!$G$2*Obligors!$H$2</f>
        <v/>
      </c>
      <c r="MN2" s="21">
        <f>Defaults!MN2*Obligors!$G$2*Obligors!$H$2</f>
        <v/>
      </c>
      <c r="MO2" s="21">
        <f>Defaults!MO2*Obligors!$G$2*Obligors!$H$2</f>
        <v/>
      </c>
      <c r="MP2" s="21">
        <f>Defaults!MP2*Obligors!$G$2*Obligors!$H$2</f>
        <v/>
      </c>
      <c r="MQ2" s="21">
        <f>Defaults!MQ2*Obligors!$G$2*Obligors!$H$2</f>
        <v/>
      </c>
      <c r="MR2" s="21">
        <f>Defaults!MR2*Obligors!$G$2*Obligors!$H$2</f>
        <v/>
      </c>
      <c r="MS2" s="21">
        <f>Defaults!MS2*Obligors!$G$2*Obligors!$H$2</f>
        <v/>
      </c>
      <c r="MT2" s="21">
        <f>Defaults!MT2*Obligors!$G$2*Obligors!$H$2</f>
        <v/>
      </c>
      <c r="MU2" s="21">
        <f>Defaults!MU2*Obligors!$G$2*Obligors!$H$2</f>
        <v/>
      </c>
      <c r="MV2" s="21">
        <f>Defaults!MV2*Obligors!$G$2*Obligors!$H$2</f>
        <v/>
      </c>
      <c r="MW2" s="21">
        <f>Defaults!MW2*Obligors!$G$2*Obligors!$H$2</f>
        <v/>
      </c>
      <c r="MX2" s="21">
        <f>Defaults!MX2*Obligors!$G$2*Obligors!$H$2</f>
        <v/>
      </c>
      <c r="MY2" s="21">
        <f>Defaults!MY2*Obligors!$G$2*Obligors!$H$2</f>
        <v/>
      </c>
      <c r="MZ2" s="21">
        <f>Defaults!MZ2*Obligors!$G$2*Obligors!$H$2</f>
        <v/>
      </c>
      <c r="NA2" s="21">
        <f>Defaults!NA2*Obligors!$G$2*Obligors!$H$2</f>
        <v/>
      </c>
      <c r="NB2" s="21">
        <f>Defaults!NB2*Obligors!$G$2*Obligors!$H$2</f>
        <v/>
      </c>
      <c r="NC2" s="21">
        <f>Defaults!NC2*Obligors!$G$2*Obligors!$H$2</f>
        <v/>
      </c>
      <c r="ND2" s="21">
        <f>Defaults!ND2*Obligors!$G$2*Obligors!$H$2</f>
        <v/>
      </c>
      <c r="NE2" s="21">
        <f>Defaults!NE2*Obligors!$G$2*Obligors!$H$2</f>
        <v/>
      </c>
      <c r="NF2" s="21">
        <f>Defaults!NF2*Obligors!$G$2*Obligors!$H$2</f>
        <v/>
      </c>
      <c r="NG2" s="21">
        <f>Defaults!NG2*Obligors!$G$2*Obligors!$H$2</f>
        <v/>
      </c>
      <c r="NH2" s="21">
        <f>Defaults!NH2*Obligors!$G$2*Obligors!$H$2</f>
        <v/>
      </c>
      <c r="NI2" s="21">
        <f>Defaults!NI2*Obligors!$G$2*Obligors!$H$2</f>
        <v/>
      </c>
      <c r="NJ2" s="21">
        <f>Defaults!NJ2*Obligors!$G$2*Obligors!$H$2</f>
        <v/>
      </c>
      <c r="NK2" s="21">
        <f>Defaults!NK2*Obligors!$G$2*Obligors!$H$2</f>
        <v/>
      </c>
      <c r="NL2" s="21">
        <f>Defaults!NL2*Obligors!$G$2*Obligors!$H$2</f>
        <v/>
      </c>
      <c r="NM2" s="21">
        <f>Defaults!NM2*Obligors!$G$2*Obligors!$H$2</f>
        <v/>
      </c>
      <c r="NN2" s="21">
        <f>Defaults!NN2*Obligors!$G$2*Obligors!$H$2</f>
        <v/>
      </c>
      <c r="NO2" s="21">
        <f>Defaults!NO2*Obligors!$G$2*Obligors!$H$2</f>
        <v/>
      </c>
      <c r="NP2" s="21">
        <f>Defaults!NP2*Obligors!$G$2*Obligors!$H$2</f>
        <v/>
      </c>
      <c r="NQ2" s="21">
        <f>Defaults!NQ2*Obligors!$G$2*Obligors!$H$2</f>
        <v/>
      </c>
      <c r="NR2" s="21">
        <f>Defaults!NR2*Obligors!$G$2*Obligors!$H$2</f>
        <v/>
      </c>
      <c r="NS2" s="21">
        <f>Defaults!NS2*Obligors!$G$2*Obligors!$H$2</f>
        <v/>
      </c>
      <c r="NT2" s="21">
        <f>Defaults!NT2*Obligors!$G$2*Obligors!$H$2</f>
        <v/>
      </c>
      <c r="NU2" s="21">
        <f>Defaults!NU2*Obligors!$G$2*Obligors!$H$2</f>
        <v/>
      </c>
      <c r="NV2" s="21">
        <f>Defaults!NV2*Obligors!$G$2*Obligors!$H$2</f>
        <v/>
      </c>
      <c r="NW2" s="21">
        <f>Defaults!NW2*Obligors!$G$2*Obligors!$H$2</f>
        <v/>
      </c>
      <c r="NX2" s="21">
        <f>Defaults!NX2*Obligors!$G$2*Obligors!$H$2</f>
        <v/>
      </c>
      <c r="NY2" s="21">
        <f>Defaults!NY2*Obligors!$G$2*Obligors!$H$2</f>
        <v/>
      </c>
      <c r="NZ2" s="21">
        <f>Defaults!NZ2*Obligors!$G$2*Obligors!$H$2</f>
        <v/>
      </c>
      <c r="OA2" s="21">
        <f>Defaults!OA2*Obligors!$G$2*Obligors!$H$2</f>
        <v/>
      </c>
      <c r="OB2" s="21">
        <f>Defaults!OB2*Obligors!$G$2*Obligors!$H$2</f>
        <v/>
      </c>
      <c r="OC2" s="21">
        <f>Defaults!OC2*Obligors!$G$2*Obligors!$H$2</f>
        <v/>
      </c>
      <c r="OD2" s="21">
        <f>Defaults!OD2*Obligors!$G$2*Obligors!$H$2</f>
        <v/>
      </c>
      <c r="OE2" s="21">
        <f>Defaults!OE2*Obligors!$G$2*Obligors!$H$2</f>
        <v/>
      </c>
      <c r="OF2" s="21">
        <f>Defaults!OF2*Obligors!$G$2*Obligors!$H$2</f>
        <v/>
      </c>
      <c r="OG2" s="21">
        <f>Defaults!OG2*Obligors!$G$2*Obligors!$H$2</f>
        <v/>
      </c>
      <c r="OH2" s="21">
        <f>Defaults!OH2*Obligors!$G$2*Obligors!$H$2</f>
        <v/>
      </c>
      <c r="OI2" s="21">
        <f>Defaults!OI2*Obligors!$G$2*Obligors!$H$2</f>
        <v/>
      </c>
      <c r="OJ2" s="21">
        <f>Defaults!OJ2*Obligors!$G$2*Obligors!$H$2</f>
        <v/>
      </c>
      <c r="OK2" s="21">
        <f>Defaults!OK2*Obligors!$G$2*Obligors!$H$2</f>
        <v/>
      </c>
      <c r="OL2" s="21">
        <f>Defaults!OL2*Obligors!$G$2*Obligors!$H$2</f>
        <v/>
      </c>
      <c r="OM2" s="21">
        <f>Defaults!OM2*Obligors!$G$2*Obligors!$H$2</f>
        <v/>
      </c>
      <c r="ON2" s="21">
        <f>Defaults!ON2*Obligors!$G$2*Obligors!$H$2</f>
        <v/>
      </c>
      <c r="OO2" s="21">
        <f>Defaults!OO2*Obligors!$G$2*Obligors!$H$2</f>
        <v/>
      </c>
      <c r="OP2" s="21">
        <f>Defaults!OP2*Obligors!$G$2*Obligors!$H$2</f>
        <v/>
      </c>
      <c r="OQ2" s="21">
        <f>Defaults!OQ2*Obligors!$G$2*Obligors!$H$2</f>
        <v/>
      </c>
      <c r="OR2" s="21">
        <f>Defaults!OR2*Obligors!$G$2*Obligors!$H$2</f>
        <v/>
      </c>
      <c r="OS2" s="21">
        <f>Defaults!OS2*Obligors!$G$2*Obligors!$H$2</f>
        <v/>
      </c>
      <c r="OT2" s="21">
        <f>Defaults!OT2*Obligors!$G$2*Obligors!$H$2</f>
        <v/>
      </c>
      <c r="OU2" s="21">
        <f>Defaults!OU2*Obligors!$G$2*Obligors!$H$2</f>
        <v/>
      </c>
      <c r="OV2" s="21">
        <f>Defaults!OV2*Obligors!$G$2*Obligors!$H$2</f>
        <v/>
      </c>
      <c r="OW2" s="21">
        <f>Defaults!OW2*Obligors!$G$2*Obligors!$H$2</f>
        <v/>
      </c>
      <c r="OX2" s="21">
        <f>Defaults!OX2*Obligors!$G$2*Obligors!$H$2</f>
        <v/>
      </c>
      <c r="OY2" s="21">
        <f>Defaults!OY2*Obligors!$G$2*Obligors!$H$2</f>
        <v/>
      </c>
      <c r="OZ2" s="21">
        <f>Defaults!OZ2*Obligors!$G$2*Obligors!$H$2</f>
        <v/>
      </c>
      <c r="PA2" s="21">
        <f>Defaults!PA2*Obligors!$G$2*Obligors!$H$2</f>
        <v/>
      </c>
      <c r="PB2" s="21">
        <f>Defaults!PB2*Obligors!$G$2*Obligors!$H$2</f>
        <v/>
      </c>
      <c r="PC2" s="21">
        <f>Defaults!PC2*Obligors!$G$2*Obligors!$H$2</f>
        <v/>
      </c>
      <c r="PD2" s="21">
        <f>Defaults!PD2*Obligors!$G$2*Obligors!$H$2</f>
        <v/>
      </c>
      <c r="PE2" s="21">
        <f>Defaults!PE2*Obligors!$G$2*Obligors!$H$2</f>
        <v/>
      </c>
      <c r="PF2" s="21">
        <f>Defaults!PF2*Obligors!$G$2*Obligors!$H$2</f>
        <v/>
      </c>
      <c r="PG2" s="21">
        <f>Defaults!PG2*Obligors!$G$2*Obligors!$H$2</f>
        <v/>
      </c>
      <c r="PH2" s="21">
        <f>Defaults!PH2*Obligors!$G$2*Obligors!$H$2</f>
        <v/>
      </c>
      <c r="PI2" s="21">
        <f>Defaults!PI2*Obligors!$G$2*Obligors!$H$2</f>
        <v/>
      </c>
      <c r="PJ2" s="21">
        <f>Defaults!PJ2*Obligors!$G$2*Obligors!$H$2</f>
        <v/>
      </c>
      <c r="PK2" s="21">
        <f>Defaults!PK2*Obligors!$G$2*Obligors!$H$2</f>
        <v/>
      </c>
      <c r="PL2" s="21">
        <f>Defaults!PL2*Obligors!$G$2*Obligors!$H$2</f>
        <v/>
      </c>
      <c r="PM2" s="21">
        <f>Defaults!PM2*Obligors!$G$2*Obligors!$H$2</f>
        <v/>
      </c>
      <c r="PN2" s="21">
        <f>Defaults!PN2*Obligors!$G$2*Obligors!$H$2</f>
        <v/>
      </c>
      <c r="PO2" s="21">
        <f>Defaults!PO2*Obligors!$G$2*Obligors!$H$2</f>
        <v/>
      </c>
      <c r="PP2" s="21">
        <f>Defaults!PP2*Obligors!$G$2*Obligors!$H$2</f>
        <v/>
      </c>
      <c r="PQ2" s="21">
        <f>Defaults!PQ2*Obligors!$G$2*Obligors!$H$2</f>
        <v/>
      </c>
      <c r="PR2" s="21">
        <f>Defaults!PR2*Obligors!$G$2*Obligors!$H$2</f>
        <v/>
      </c>
      <c r="PS2" s="21">
        <f>Defaults!PS2*Obligors!$G$2*Obligors!$H$2</f>
        <v/>
      </c>
      <c r="PT2" s="21">
        <f>Defaults!PT2*Obligors!$G$2*Obligors!$H$2</f>
        <v/>
      </c>
      <c r="PU2" s="21">
        <f>Defaults!PU2*Obligors!$G$2*Obligors!$H$2</f>
        <v/>
      </c>
      <c r="PV2" s="21">
        <f>Defaults!PV2*Obligors!$G$2*Obligors!$H$2</f>
        <v/>
      </c>
      <c r="PW2" s="21">
        <f>Defaults!PW2*Obligors!$G$2*Obligors!$H$2</f>
        <v/>
      </c>
      <c r="PX2" s="21">
        <f>Defaults!PX2*Obligors!$G$2*Obligors!$H$2</f>
        <v/>
      </c>
      <c r="PY2" s="21">
        <f>Defaults!PY2*Obligors!$G$2*Obligors!$H$2</f>
        <v/>
      </c>
      <c r="PZ2" s="21">
        <f>Defaults!PZ2*Obligors!$G$2*Obligors!$H$2</f>
        <v/>
      </c>
      <c r="QA2" s="21">
        <f>Defaults!QA2*Obligors!$G$2*Obligors!$H$2</f>
        <v/>
      </c>
      <c r="QB2" s="21">
        <f>Defaults!QB2*Obligors!$G$2*Obligors!$H$2</f>
        <v/>
      </c>
      <c r="QC2" s="21">
        <f>Defaults!QC2*Obligors!$G$2*Obligors!$H$2</f>
        <v/>
      </c>
      <c r="QD2" s="21">
        <f>Defaults!QD2*Obligors!$G$2*Obligors!$H$2</f>
        <v/>
      </c>
      <c r="QE2" s="21">
        <f>Defaults!QE2*Obligors!$G$2*Obligors!$H$2</f>
        <v/>
      </c>
      <c r="QF2" s="21">
        <f>Defaults!QF2*Obligors!$G$2*Obligors!$H$2</f>
        <v/>
      </c>
      <c r="QG2" s="21">
        <f>Defaults!QG2*Obligors!$G$2*Obligors!$H$2</f>
        <v/>
      </c>
      <c r="QH2" s="21">
        <f>Defaults!QH2*Obligors!$G$2*Obligors!$H$2</f>
        <v/>
      </c>
      <c r="QI2" s="21">
        <f>Defaults!QI2*Obligors!$G$2*Obligors!$H$2</f>
        <v/>
      </c>
      <c r="QJ2" s="21">
        <f>Defaults!QJ2*Obligors!$G$2*Obligors!$H$2</f>
        <v/>
      </c>
      <c r="QK2" s="21">
        <f>Defaults!QK2*Obligors!$G$2*Obligors!$H$2</f>
        <v/>
      </c>
      <c r="QL2" s="21">
        <f>Defaults!QL2*Obligors!$G$2*Obligors!$H$2</f>
        <v/>
      </c>
      <c r="QM2" s="21">
        <f>Defaults!QM2*Obligors!$G$2*Obligors!$H$2</f>
        <v/>
      </c>
      <c r="QN2" s="21">
        <f>Defaults!QN2*Obligors!$G$2*Obligors!$H$2</f>
        <v/>
      </c>
      <c r="QO2" s="21">
        <f>Defaults!QO2*Obligors!$G$2*Obligors!$H$2</f>
        <v/>
      </c>
      <c r="QP2" s="21">
        <f>Defaults!QP2*Obligors!$G$2*Obligors!$H$2</f>
        <v/>
      </c>
      <c r="QQ2" s="21">
        <f>Defaults!QQ2*Obligors!$G$2*Obligors!$H$2</f>
        <v/>
      </c>
      <c r="QR2" s="21">
        <f>Defaults!QR2*Obligors!$G$2*Obligors!$H$2</f>
        <v/>
      </c>
      <c r="QS2" s="21">
        <f>Defaults!QS2*Obligors!$G$2*Obligors!$H$2</f>
        <v/>
      </c>
      <c r="QT2" s="21">
        <f>Defaults!QT2*Obligors!$G$2*Obligors!$H$2</f>
        <v/>
      </c>
      <c r="QU2" s="21">
        <f>Defaults!QU2*Obligors!$G$2*Obligors!$H$2</f>
        <v/>
      </c>
      <c r="QV2" s="21">
        <f>Defaults!QV2*Obligors!$G$2*Obligors!$H$2</f>
        <v/>
      </c>
      <c r="QW2" s="21">
        <f>Defaults!QW2*Obligors!$G$2*Obligors!$H$2</f>
        <v/>
      </c>
      <c r="QX2" s="21">
        <f>Defaults!QX2*Obligors!$G$2*Obligors!$H$2</f>
        <v/>
      </c>
      <c r="QY2" s="21">
        <f>Defaults!QY2*Obligors!$G$2*Obligors!$H$2</f>
        <v/>
      </c>
      <c r="QZ2" s="21">
        <f>Defaults!QZ2*Obligors!$G$2*Obligors!$H$2</f>
        <v/>
      </c>
      <c r="RA2" s="21">
        <f>Defaults!RA2*Obligors!$G$2*Obligors!$H$2</f>
        <v/>
      </c>
      <c r="RB2" s="21">
        <f>Defaults!RB2*Obligors!$G$2*Obligors!$H$2</f>
        <v/>
      </c>
      <c r="RC2" s="21">
        <f>Defaults!RC2*Obligors!$G$2*Obligors!$H$2</f>
        <v/>
      </c>
      <c r="RD2" s="21">
        <f>Defaults!RD2*Obligors!$G$2*Obligors!$H$2</f>
        <v/>
      </c>
      <c r="RE2" s="21">
        <f>Defaults!RE2*Obligors!$G$2*Obligors!$H$2</f>
        <v/>
      </c>
      <c r="RF2" s="21">
        <f>Defaults!RF2*Obligors!$G$2*Obligors!$H$2</f>
        <v/>
      </c>
      <c r="RG2" s="21">
        <f>Defaults!RG2*Obligors!$G$2*Obligors!$H$2</f>
        <v/>
      </c>
      <c r="RH2" s="21">
        <f>Defaults!RH2*Obligors!$G$2*Obligors!$H$2</f>
        <v/>
      </c>
      <c r="RI2" s="21">
        <f>Defaults!RI2*Obligors!$G$2*Obligors!$H$2</f>
        <v/>
      </c>
      <c r="RJ2" s="21">
        <f>Defaults!RJ2*Obligors!$G$2*Obligors!$H$2</f>
        <v/>
      </c>
      <c r="RK2" s="21">
        <f>Defaults!RK2*Obligors!$G$2*Obligors!$H$2</f>
        <v/>
      </c>
      <c r="RL2" s="21">
        <f>Defaults!RL2*Obligors!$G$2*Obligors!$H$2</f>
        <v/>
      </c>
      <c r="RM2" s="21">
        <f>Defaults!RM2*Obligors!$G$2*Obligors!$H$2</f>
        <v/>
      </c>
      <c r="RN2" s="21">
        <f>Defaults!RN2*Obligors!$G$2*Obligors!$H$2</f>
        <v/>
      </c>
      <c r="RO2" s="21">
        <f>Defaults!RO2*Obligors!$G$2*Obligors!$H$2</f>
        <v/>
      </c>
      <c r="RP2" s="21">
        <f>Defaults!RP2*Obligors!$G$2*Obligors!$H$2</f>
        <v/>
      </c>
      <c r="RQ2" s="21">
        <f>Defaults!RQ2*Obligors!$G$2*Obligors!$H$2</f>
        <v/>
      </c>
      <c r="RR2" s="21">
        <f>Defaults!RR2*Obligors!$G$2*Obligors!$H$2</f>
        <v/>
      </c>
      <c r="RS2" s="21">
        <f>Defaults!RS2*Obligors!$G$2*Obligors!$H$2</f>
        <v/>
      </c>
      <c r="RT2" s="21">
        <f>Defaults!RT2*Obligors!$G$2*Obligors!$H$2</f>
        <v/>
      </c>
      <c r="RU2" s="21">
        <f>Defaults!RU2*Obligors!$G$2*Obligors!$H$2</f>
        <v/>
      </c>
      <c r="RV2" s="21">
        <f>Defaults!RV2*Obligors!$G$2*Obligors!$H$2</f>
        <v/>
      </c>
      <c r="RW2" s="21">
        <f>Defaults!RW2*Obligors!$G$2*Obligors!$H$2</f>
        <v/>
      </c>
      <c r="RX2" s="21">
        <f>Defaults!RX2*Obligors!$G$2*Obligors!$H$2</f>
        <v/>
      </c>
      <c r="RY2" s="21">
        <f>Defaults!RY2*Obligors!$G$2*Obligors!$H$2</f>
        <v/>
      </c>
      <c r="RZ2" s="21">
        <f>Defaults!RZ2*Obligors!$G$2*Obligors!$H$2</f>
        <v/>
      </c>
      <c r="SA2" s="21">
        <f>Defaults!SA2*Obligors!$G$2*Obligors!$H$2</f>
        <v/>
      </c>
      <c r="SB2" s="21">
        <f>Defaults!SB2*Obligors!$G$2*Obligors!$H$2</f>
        <v/>
      </c>
      <c r="SC2" s="21">
        <f>Defaults!SC2*Obligors!$G$2*Obligors!$H$2</f>
        <v/>
      </c>
      <c r="SD2" s="21">
        <f>Defaults!SD2*Obligors!$G$2*Obligors!$H$2</f>
        <v/>
      </c>
      <c r="SE2" s="21">
        <f>Defaults!SE2*Obligors!$G$2*Obligors!$H$2</f>
        <v/>
      </c>
      <c r="SF2" s="21">
        <f>Defaults!SF2*Obligors!$G$2*Obligors!$H$2</f>
        <v/>
      </c>
      <c r="SG2" s="21">
        <f>Defaults!SG2*Obligors!$G$2*Obligors!$H$2</f>
        <v/>
      </c>
    </row>
    <row r="3">
      <c r="A3" s="17" t="inlineStr">
        <is>
          <t>OBL-002</t>
        </is>
      </c>
      <c r="B3" s="21">
        <f>Defaults!B3*Obligors!$G$3*Obligors!$H$3</f>
        <v/>
      </c>
      <c r="C3" s="21">
        <f>Defaults!C3*Obligors!$G$3*Obligors!$H$3</f>
        <v/>
      </c>
      <c r="D3" s="21">
        <f>Defaults!D3*Obligors!$G$3*Obligors!$H$3</f>
        <v/>
      </c>
      <c r="E3" s="21">
        <f>Defaults!E3*Obligors!$G$3*Obligors!$H$3</f>
        <v/>
      </c>
      <c r="F3" s="21">
        <f>Defaults!F3*Obligors!$G$3*Obligors!$H$3</f>
        <v/>
      </c>
      <c r="G3" s="21">
        <f>Defaults!G3*Obligors!$G$3*Obligors!$H$3</f>
        <v/>
      </c>
      <c r="H3" s="21">
        <f>Defaults!H3*Obligors!$G$3*Obligors!$H$3</f>
        <v/>
      </c>
      <c r="I3" s="21">
        <f>Defaults!I3*Obligors!$G$3*Obligors!$H$3</f>
        <v/>
      </c>
      <c r="J3" s="21">
        <f>Defaults!J3*Obligors!$G$3*Obligors!$H$3</f>
        <v/>
      </c>
      <c r="K3" s="21">
        <f>Defaults!K3*Obligors!$G$3*Obligors!$H$3</f>
        <v/>
      </c>
      <c r="L3" s="21">
        <f>Defaults!L3*Obligors!$G$3*Obligors!$H$3</f>
        <v/>
      </c>
      <c r="M3" s="21">
        <f>Defaults!M3*Obligors!$G$3*Obligors!$H$3</f>
        <v/>
      </c>
      <c r="N3" s="21">
        <f>Defaults!N3*Obligors!$G$3*Obligors!$H$3</f>
        <v/>
      </c>
      <c r="O3" s="21">
        <f>Defaults!O3*Obligors!$G$3*Obligors!$H$3</f>
        <v/>
      </c>
      <c r="P3" s="21">
        <f>Defaults!P3*Obligors!$G$3*Obligors!$H$3</f>
        <v/>
      </c>
      <c r="Q3" s="21">
        <f>Defaults!Q3*Obligors!$G$3*Obligors!$H$3</f>
        <v/>
      </c>
      <c r="R3" s="21">
        <f>Defaults!R3*Obligors!$G$3*Obligors!$H$3</f>
        <v/>
      </c>
      <c r="S3" s="21">
        <f>Defaults!S3*Obligors!$G$3*Obligors!$H$3</f>
        <v/>
      </c>
      <c r="T3" s="21">
        <f>Defaults!T3*Obligors!$G$3*Obligors!$H$3</f>
        <v/>
      </c>
      <c r="U3" s="21">
        <f>Defaults!U3*Obligors!$G$3*Obligors!$H$3</f>
        <v/>
      </c>
      <c r="V3" s="21">
        <f>Defaults!V3*Obligors!$G$3*Obligors!$H$3</f>
        <v/>
      </c>
      <c r="W3" s="21">
        <f>Defaults!W3*Obligors!$G$3*Obligors!$H$3</f>
        <v/>
      </c>
      <c r="X3" s="21">
        <f>Defaults!X3*Obligors!$G$3*Obligors!$H$3</f>
        <v/>
      </c>
      <c r="Y3" s="21">
        <f>Defaults!Y3*Obligors!$G$3*Obligors!$H$3</f>
        <v/>
      </c>
      <c r="Z3" s="21">
        <f>Defaults!Z3*Obligors!$G$3*Obligors!$H$3</f>
        <v/>
      </c>
      <c r="AA3" s="21">
        <f>Defaults!AA3*Obligors!$G$3*Obligors!$H$3</f>
        <v/>
      </c>
      <c r="AB3" s="21">
        <f>Defaults!AB3*Obligors!$G$3*Obligors!$H$3</f>
        <v/>
      </c>
      <c r="AC3" s="21">
        <f>Defaults!AC3*Obligors!$G$3*Obligors!$H$3</f>
        <v/>
      </c>
      <c r="AD3" s="21">
        <f>Defaults!AD3*Obligors!$G$3*Obligors!$H$3</f>
        <v/>
      </c>
      <c r="AE3" s="21">
        <f>Defaults!AE3*Obligors!$G$3*Obligors!$H$3</f>
        <v/>
      </c>
      <c r="AF3" s="21">
        <f>Defaults!AF3*Obligors!$G$3*Obligors!$H$3</f>
        <v/>
      </c>
      <c r="AG3" s="21">
        <f>Defaults!AG3*Obligors!$G$3*Obligors!$H$3</f>
        <v/>
      </c>
      <c r="AH3" s="21">
        <f>Defaults!AH3*Obligors!$G$3*Obligors!$H$3</f>
        <v/>
      </c>
      <c r="AI3" s="21">
        <f>Defaults!AI3*Obligors!$G$3*Obligors!$H$3</f>
        <v/>
      </c>
      <c r="AJ3" s="21">
        <f>Defaults!AJ3*Obligors!$G$3*Obligors!$H$3</f>
        <v/>
      </c>
      <c r="AK3" s="21">
        <f>Defaults!AK3*Obligors!$G$3*Obligors!$H$3</f>
        <v/>
      </c>
      <c r="AL3" s="21">
        <f>Defaults!AL3*Obligors!$G$3*Obligors!$H$3</f>
        <v/>
      </c>
      <c r="AM3" s="21">
        <f>Defaults!AM3*Obligors!$G$3*Obligors!$H$3</f>
        <v/>
      </c>
      <c r="AN3" s="21">
        <f>Defaults!AN3*Obligors!$G$3*Obligors!$H$3</f>
        <v/>
      </c>
      <c r="AO3" s="21">
        <f>Defaults!AO3*Obligors!$G$3*Obligors!$H$3</f>
        <v/>
      </c>
      <c r="AP3" s="21">
        <f>Defaults!AP3*Obligors!$G$3*Obligors!$H$3</f>
        <v/>
      </c>
      <c r="AQ3" s="21">
        <f>Defaults!AQ3*Obligors!$G$3*Obligors!$H$3</f>
        <v/>
      </c>
      <c r="AR3" s="21">
        <f>Defaults!AR3*Obligors!$G$3*Obligors!$H$3</f>
        <v/>
      </c>
      <c r="AS3" s="21">
        <f>Defaults!AS3*Obligors!$G$3*Obligors!$H$3</f>
        <v/>
      </c>
      <c r="AT3" s="21">
        <f>Defaults!AT3*Obligors!$G$3*Obligors!$H$3</f>
        <v/>
      </c>
      <c r="AU3" s="21">
        <f>Defaults!AU3*Obligors!$G$3*Obligors!$H$3</f>
        <v/>
      </c>
      <c r="AV3" s="21">
        <f>Defaults!AV3*Obligors!$G$3*Obligors!$H$3</f>
        <v/>
      </c>
      <c r="AW3" s="21">
        <f>Defaults!AW3*Obligors!$G$3*Obligors!$H$3</f>
        <v/>
      </c>
      <c r="AX3" s="21">
        <f>Defaults!AX3*Obligors!$G$3*Obligors!$H$3</f>
        <v/>
      </c>
      <c r="AY3" s="21">
        <f>Defaults!AY3*Obligors!$G$3*Obligors!$H$3</f>
        <v/>
      </c>
      <c r="AZ3" s="21">
        <f>Defaults!AZ3*Obligors!$G$3*Obligors!$H$3</f>
        <v/>
      </c>
      <c r="BA3" s="21">
        <f>Defaults!BA3*Obligors!$G$3*Obligors!$H$3</f>
        <v/>
      </c>
      <c r="BB3" s="21">
        <f>Defaults!BB3*Obligors!$G$3*Obligors!$H$3</f>
        <v/>
      </c>
      <c r="BC3" s="21">
        <f>Defaults!BC3*Obligors!$G$3*Obligors!$H$3</f>
        <v/>
      </c>
      <c r="BD3" s="21">
        <f>Defaults!BD3*Obligors!$G$3*Obligors!$H$3</f>
        <v/>
      </c>
      <c r="BE3" s="21">
        <f>Defaults!BE3*Obligors!$G$3*Obligors!$H$3</f>
        <v/>
      </c>
      <c r="BF3" s="21">
        <f>Defaults!BF3*Obligors!$G$3*Obligors!$H$3</f>
        <v/>
      </c>
      <c r="BG3" s="21">
        <f>Defaults!BG3*Obligors!$G$3*Obligors!$H$3</f>
        <v/>
      </c>
      <c r="BH3" s="21">
        <f>Defaults!BH3*Obligors!$G$3*Obligors!$H$3</f>
        <v/>
      </c>
      <c r="BI3" s="21">
        <f>Defaults!BI3*Obligors!$G$3*Obligors!$H$3</f>
        <v/>
      </c>
      <c r="BJ3" s="21">
        <f>Defaults!BJ3*Obligors!$G$3*Obligors!$H$3</f>
        <v/>
      </c>
      <c r="BK3" s="21">
        <f>Defaults!BK3*Obligors!$G$3*Obligors!$H$3</f>
        <v/>
      </c>
      <c r="BL3" s="21">
        <f>Defaults!BL3*Obligors!$G$3*Obligors!$H$3</f>
        <v/>
      </c>
      <c r="BM3" s="21">
        <f>Defaults!BM3*Obligors!$G$3*Obligors!$H$3</f>
        <v/>
      </c>
      <c r="BN3" s="21">
        <f>Defaults!BN3*Obligors!$G$3*Obligors!$H$3</f>
        <v/>
      </c>
      <c r="BO3" s="21">
        <f>Defaults!BO3*Obligors!$G$3*Obligors!$H$3</f>
        <v/>
      </c>
      <c r="BP3" s="21">
        <f>Defaults!BP3*Obligors!$G$3*Obligors!$H$3</f>
        <v/>
      </c>
      <c r="BQ3" s="21">
        <f>Defaults!BQ3*Obligors!$G$3*Obligors!$H$3</f>
        <v/>
      </c>
      <c r="BR3" s="21">
        <f>Defaults!BR3*Obligors!$G$3*Obligors!$H$3</f>
        <v/>
      </c>
      <c r="BS3" s="21">
        <f>Defaults!BS3*Obligors!$G$3*Obligors!$H$3</f>
        <v/>
      </c>
      <c r="BT3" s="21">
        <f>Defaults!BT3*Obligors!$G$3*Obligors!$H$3</f>
        <v/>
      </c>
      <c r="BU3" s="21">
        <f>Defaults!BU3*Obligors!$G$3*Obligors!$H$3</f>
        <v/>
      </c>
      <c r="BV3" s="21">
        <f>Defaults!BV3*Obligors!$G$3*Obligors!$H$3</f>
        <v/>
      </c>
      <c r="BW3" s="21">
        <f>Defaults!BW3*Obligors!$G$3*Obligors!$H$3</f>
        <v/>
      </c>
      <c r="BX3" s="21">
        <f>Defaults!BX3*Obligors!$G$3*Obligors!$H$3</f>
        <v/>
      </c>
      <c r="BY3" s="21">
        <f>Defaults!BY3*Obligors!$G$3*Obligors!$H$3</f>
        <v/>
      </c>
      <c r="BZ3" s="21">
        <f>Defaults!BZ3*Obligors!$G$3*Obligors!$H$3</f>
        <v/>
      </c>
      <c r="CA3" s="21">
        <f>Defaults!CA3*Obligors!$G$3*Obligors!$H$3</f>
        <v/>
      </c>
      <c r="CB3" s="21">
        <f>Defaults!CB3*Obligors!$G$3*Obligors!$H$3</f>
        <v/>
      </c>
      <c r="CC3" s="21">
        <f>Defaults!CC3*Obligors!$G$3*Obligors!$H$3</f>
        <v/>
      </c>
      <c r="CD3" s="21">
        <f>Defaults!CD3*Obligors!$G$3*Obligors!$H$3</f>
        <v/>
      </c>
      <c r="CE3" s="21">
        <f>Defaults!CE3*Obligors!$G$3*Obligors!$H$3</f>
        <v/>
      </c>
      <c r="CF3" s="21">
        <f>Defaults!CF3*Obligors!$G$3*Obligors!$H$3</f>
        <v/>
      </c>
      <c r="CG3" s="21">
        <f>Defaults!CG3*Obligors!$G$3*Obligors!$H$3</f>
        <v/>
      </c>
      <c r="CH3" s="21">
        <f>Defaults!CH3*Obligors!$G$3*Obligors!$H$3</f>
        <v/>
      </c>
      <c r="CI3" s="21">
        <f>Defaults!CI3*Obligors!$G$3*Obligors!$H$3</f>
        <v/>
      </c>
      <c r="CJ3" s="21">
        <f>Defaults!CJ3*Obligors!$G$3*Obligors!$H$3</f>
        <v/>
      </c>
      <c r="CK3" s="21">
        <f>Defaults!CK3*Obligors!$G$3*Obligors!$H$3</f>
        <v/>
      </c>
      <c r="CL3" s="21">
        <f>Defaults!CL3*Obligors!$G$3*Obligors!$H$3</f>
        <v/>
      </c>
      <c r="CM3" s="21">
        <f>Defaults!CM3*Obligors!$G$3*Obligors!$H$3</f>
        <v/>
      </c>
      <c r="CN3" s="21">
        <f>Defaults!CN3*Obligors!$G$3*Obligors!$H$3</f>
        <v/>
      </c>
      <c r="CO3" s="21">
        <f>Defaults!CO3*Obligors!$G$3*Obligors!$H$3</f>
        <v/>
      </c>
      <c r="CP3" s="21">
        <f>Defaults!CP3*Obligors!$G$3*Obligors!$H$3</f>
        <v/>
      </c>
      <c r="CQ3" s="21">
        <f>Defaults!CQ3*Obligors!$G$3*Obligors!$H$3</f>
        <v/>
      </c>
      <c r="CR3" s="21">
        <f>Defaults!CR3*Obligors!$G$3*Obligors!$H$3</f>
        <v/>
      </c>
      <c r="CS3" s="21">
        <f>Defaults!CS3*Obligors!$G$3*Obligors!$H$3</f>
        <v/>
      </c>
      <c r="CT3" s="21">
        <f>Defaults!CT3*Obligors!$G$3*Obligors!$H$3</f>
        <v/>
      </c>
      <c r="CU3" s="21">
        <f>Defaults!CU3*Obligors!$G$3*Obligors!$H$3</f>
        <v/>
      </c>
      <c r="CV3" s="21">
        <f>Defaults!CV3*Obligors!$G$3*Obligors!$H$3</f>
        <v/>
      </c>
      <c r="CW3" s="21">
        <f>Defaults!CW3*Obligors!$G$3*Obligors!$H$3</f>
        <v/>
      </c>
      <c r="CX3" s="21">
        <f>Defaults!CX3*Obligors!$G$3*Obligors!$H$3</f>
        <v/>
      </c>
      <c r="CY3" s="21">
        <f>Defaults!CY3*Obligors!$G$3*Obligors!$H$3</f>
        <v/>
      </c>
      <c r="CZ3" s="21">
        <f>Defaults!CZ3*Obligors!$G$3*Obligors!$H$3</f>
        <v/>
      </c>
      <c r="DA3" s="21">
        <f>Defaults!DA3*Obligors!$G$3*Obligors!$H$3</f>
        <v/>
      </c>
      <c r="DB3" s="21">
        <f>Defaults!DB3*Obligors!$G$3*Obligors!$H$3</f>
        <v/>
      </c>
      <c r="DC3" s="21">
        <f>Defaults!DC3*Obligors!$G$3*Obligors!$H$3</f>
        <v/>
      </c>
      <c r="DD3" s="21">
        <f>Defaults!DD3*Obligors!$G$3*Obligors!$H$3</f>
        <v/>
      </c>
      <c r="DE3" s="21">
        <f>Defaults!DE3*Obligors!$G$3*Obligors!$H$3</f>
        <v/>
      </c>
      <c r="DF3" s="21">
        <f>Defaults!DF3*Obligors!$G$3*Obligors!$H$3</f>
        <v/>
      </c>
      <c r="DG3" s="21">
        <f>Defaults!DG3*Obligors!$G$3*Obligors!$H$3</f>
        <v/>
      </c>
      <c r="DH3" s="21">
        <f>Defaults!DH3*Obligors!$G$3*Obligors!$H$3</f>
        <v/>
      </c>
      <c r="DI3" s="21">
        <f>Defaults!DI3*Obligors!$G$3*Obligors!$H$3</f>
        <v/>
      </c>
      <c r="DJ3" s="21">
        <f>Defaults!DJ3*Obligors!$G$3*Obligors!$H$3</f>
        <v/>
      </c>
      <c r="DK3" s="21">
        <f>Defaults!DK3*Obligors!$G$3*Obligors!$H$3</f>
        <v/>
      </c>
      <c r="DL3" s="21">
        <f>Defaults!DL3*Obligors!$G$3*Obligors!$H$3</f>
        <v/>
      </c>
      <c r="DM3" s="21">
        <f>Defaults!DM3*Obligors!$G$3*Obligors!$H$3</f>
        <v/>
      </c>
      <c r="DN3" s="21">
        <f>Defaults!DN3*Obligors!$G$3*Obligors!$H$3</f>
        <v/>
      </c>
      <c r="DO3" s="21">
        <f>Defaults!DO3*Obligors!$G$3*Obligors!$H$3</f>
        <v/>
      </c>
      <c r="DP3" s="21">
        <f>Defaults!DP3*Obligors!$G$3*Obligors!$H$3</f>
        <v/>
      </c>
      <c r="DQ3" s="21">
        <f>Defaults!DQ3*Obligors!$G$3*Obligors!$H$3</f>
        <v/>
      </c>
      <c r="DR3" s="21">
        <f>Defaults!DR3*Obligors!$G$3*Obligors!$H$3</f>
        <v/>
      </c>
      <c r="DS3" s="21">
        <f>Defaults!DS3*Obligors!$G$3*Obligors!$H$3</f>
        <v/>
      </c>
      <c r="DT3" s="21">
        <f>Defaults!DT3*Obligors!$G$3*Obligors!$H$3</f>
        <v/>
      </c>
      <c r="DU3" s="21">
        <f>Defaults!DU3*Obligors!$G$3*Obligors!$H$3</f>
        <v/>
      </c>
      <c r="DV3" s="21">
        <f>Defaults!DV3*Obligors!$G$3*Obligors!$H$3</f>
        <v/>
      </c>
      <c r="DW3" s="21">
        <f>Defaults!DW3*Obligors!$G$3*Obligors!$H$3</f>
        <v/>
      </c>
      <c r="DX3" s="21">
        <f>Defaults!DX3*Obligors!$G$3*Obligors!$H$3</f>
        <v/>
      </c>
      <c r="DY3" s="21">
        <f>Defaults!DY3*Obligors!$G$3*Obligors!$H$3</f>
        <v/>
      </c>
      <c r="DZ3" s="21">
        <f>Defaults!DZ3*Obligors!$G$3*Obligors!$H$3</f>
        <v/>
      </c>
      <c r="EA3" s="21">
        <f>Defaults!EA3*Obligors!$G$3*Obligors!$H$3</f>
        <v/>
      </c>
      <c r="EB3" s="21">
        <f>Defaults!EB3*Obligors!$G$3*Obligors!$H$3</f>
        <v/>
      </c>
      <c r="EC3" s="21">
        <f>Defaults!EC3*Obligors!$G$3*Obligors!$H$3</f>
        <v/>
      </c>
      <c r="ED3" s="21">
        <f>Defaults!ED3*Obligors!$G$3*Obligors!$H$3</f>
        <v/>
      </c>
      <c r="EE3" s="21">
        <f>Defaults!EE3*Obligors!$G$3*Obligors!$H$3</f>
        <v/>
      </c>
      <c r="EF3" s="21">
        <f>Defaults!EF3*Obligors!$G$3*Obligors!$H$3</f>
        <v/>
      </c>
      <c r="EG3" s="21">
        <f>Defaults!EG3*Obligors!$G$3*Obligors!$H$3</f>
        <v/>
      </c>
      <c r="EH3" s="21">
        <f>Defaults!EH3*Obligors!$G$3*Obligors!$H$3</f>
        <v/>
      </c>
      <c r="EI3" s="21">
        <f>Defaults!EI3*Obligors!$G$3*Obligors!$H$3</f>
        <v/>
      </c>
      <c r="EJ3" s="21">
        <f>Defaults!EJ3*Obligors!$G$3*Obligors!$H$3</f>
        <v/>
      </c>
      <c r="EK3" s="21">
        <f>Defaults!EK3*Obligors!$G$3*Obligors!$H$3</f>
        <v/>
      </c>
      <c r="EL3" s="21">
        <f>Defaults!EL3*Obligors!$G$3*Obligors!$H$3</f>
        <v/>
      </c>
      <c r="EM3" s="21">
        <f>Defaults!EM3*Obligors!$G$3*Obligors!$H$3</f>
        <v/>
      </c>
      <c r="EN3" s="21">
        <f>Defaults!EN3*Obligors!$G$3*Obligors!$H$3</f>
        <v/>
      </c>
      <c r="EO3" s="21">
        <f>Defaults!EO3*Obligors!$G$3*Obligors!$H$3</f>
        <v/>
      </c>
      <c r="EP3" s="21">
        <f>Defaults!EP3*Obligors!$G$3*Obligors!$H$3</f>
        <v/>
      </c>
      <c r="EQ3" s="21">
        <f>Defaults!EQ3*Obligors!$G$3*Obligors!$H$3</f>
        <v/>
      </c>
      <c r="ER3" s="21">
        <f>Defaults!ER3*Obligors!$G$3*Obligors!$H$3</f>
        <v/>
      </c>
      <c r="ES3" s="21">
        <f>Defaults!ES3*Obligors!$G$3*Obligors!$H$3</f>
        <v/>
      </c>
      <c r="ET3" s="21">
        <f>Defaults!ET3*Obligors!$G$3*Obligors!$H$3</f>
        <v/>
      </c>
      <c r="EU3" s="21">
        <f>Defaults!EU3*Obligors!$G$3*Obligors!$H$3</f>
        <v/>
      </c>
      <c r="EV3" s="21">
        <f>Defaults!EV3*Obligors!$G$3*Obligors!$H$3</f>
        <v/>
      </c>
      <c r="EW3" s="21">
        <f>Defaults!EW3*Obligors!$G$3*Obligors!$H$3</f>
        <v/>
      </c>
      <c r="EX3" s="21">
        <f>Defaults!EX3*Obligors!$G$3*Obligors!$H$3</f>
        <v/>
      </c>
      <c r="EY3" s="21">
        <f>Defaults!EY3*Obligors!$G$3*Obligors!$H$3</f>
        <v/>
      </c>
      <c r="EZ3" s="21">
        <f>Defaults!EZ3*Obligors!$G$3*Obligors!$H$3</f>
        <v/>
      </c>
      <c r="FA3" s="21">
        <f>Defaults!FA3*Obligors!$G$3*Obligors!$H$3</f>
        <v/>
      </c>
      <c r="FB3" s="21">
        <f>Defaults!FB3*Obligors!$G$3*Obligors!$H$3</f>
        <v/>
      </c>
      <c r="FC3" s="21">
        <f>Defaults!FC3*Obligors!$G$3*Obligors!$H$3</f>
        <v/>
      </c>
      <c r="FD3" s="21">
        <f>Defaults!FD3*Obligors!$G$3*Obligors!$H$3</f>
        <v/>
      </c>
      <c r="FE3" s="21">
        <f>Defaults!FE3*Obligors!$G$3*Obligors!$H$3</f>
        <v/>
      </c>
      <c r="FF3" s="21">
        <f>Defaults!FF3*Obligors!$G$3*Obligors!$H$3</f>
        <v/>
      </c>
      <c r="FG3" s="21">
        <f>Defaults!FG3*Obligors!$G$3*Obligors!$H$3</f>
        <v/>
      </c>
      <c r="FH3" s="21">
        <f>Defaults!FH3*Obligors!$G$3*Obligors!$H$3</f>
        <v/>
      </c>
      <c r="FI3" s="21">
        <f>Defaults!FI3*Obligors!$G$3*Obligors!$H$3</f>
        <v/>
      </c>
      <c r="FJ3" s="21">
        <f>Defaults!FJ3*Obligors!$G$3*Obligors!$H$3</f>
        <v/>
      </c>
      <c r="FK3" s="21">
        <f>Defaults!FK3*Obligors!$G$3*Obligors!$H$3</f>
        <v/>
      </c>
      <c r="FL3" s="21">
        <f>Defaults!FL3*Obligors!$G$3*Obligors!$H$3</f>
        <v/>
      </c>
      <c r="FM3" s="21">
        <f>Defaults!FM3*Obligors!$G$3*Obligors!$H$3</f>
        <v/>
      </c>
      <c r="FN3" s="21">
        <f>Defaults!FN3*Obligors!$G$3*Obligors!$H$3</f>
        <v/>
      </c>
      <c r="FO3" s="21">
        <f>Defaults!FO3*Obligors!$G$3*Obligors!$H$3</f>
        <v/>
      </c>
      <c r="FP3" s="21">
        <f>Defaults!FP3*Obligors!$G$3*Obligors!$H$3</f>
        <v/>
      </c>
      <c r="FQ3" s="21">
        <f>Defaults!FQ3*Obligors!$G$3*Obligors!$H$3</f>
        <v/>
      </c>
      <c r="FR3" s="21">
        <f>Defaults!FR3*Obligors!$G$3*Obligors!$H$3</f>
        <v/>
      </c>
      <c r="FS3" s="21">
        <f>Defaults!FS3*Obligors!$G$3*Obligors!$H$3</f>
        <v/>
      </c>
      <c r="FT3" s="21">
        <f>Defaults!FT3*Obligors!$G$3*Obligors!$H$3</f>
        <v/>
      </c>
      <c r="FU3" s="21">
        <f>Defaults!FU3*Obligors!$G$3*Obligors!$H$3</f>
        <v/>
      </c>
      <c r="FV3" s="21">
        <f>Defaults!FV3*Obligors!$G$3*Obligors!$H$3</f>
        <v/>
      </c>
      <c r="FW3" s="21">
        <f>Defaults!FW3*Obligors!$G$3*Obligors!$H$3</f>
        <v/>
      </c>
      <c r="FX3" s="21">
        <f>Defaults!FX3*Obligors!$G$3*Obligors!$H$3</f>
        <v/>
      </c>
      <c r="FY3" s="21">
        <f>Defaults!FY3*Obligors!$G$3*Obligors!$H$3</f>
        <v/>
      </c>
      <c r="FZ3" s="21">
        <f>Defaults!FZ3*Obligors!$G$3*Obligors!$H$3</f>
        <v/>
      </c>
      <c r="GA3" s="21">
        <f>Defaults!GA3*Obligors!$G$3*Obligors!$H$3</f>
        <v/>
      </c>
      <c r="GB3" s="21">
        <f>Defaults!GB3*Obligors!$G$3*Obligors!$H$3</f>
        <v/>
      </c>
      <c r="GC3" s="21">
        <f>Defaults!GC3*Obligors!$G$3*Obligors!$H$3</f>
        <v/>
      </c>
      <c r="GD3" s="21">
        <f>Defaults!GD3*Obligors!$G$3*Obligors!$H$3</f>
        <v/>
      </c>
      <c r="GE3" s="21">
        <f>Defaults!GE3*Obligors!$G$3*Obligors!$H$3</f>
        <v/>
      </c>
      <c r="GF3" s="21">
        <f>Defaults!GF3*Obligors!$G$3*Obligors!$H$3</f>
        <v/>
      </c>
      <c r="GG3" s="21">
        <f>Defaults!GG3*Obligors!$G$3*Obligors!$H$3</f>
        <v/>
      </c>
      <c r="GH3" s="21">
        <f>Defaults!GH3*Obligors!$G$3*Obligors!$H$3</f>
        <v/>
      </c>
      <c r="GI3" s="21">
        <f>Defaults!GI3*Obligors!$G$3*Obligors!$H$3</f>
        <v/>
      </c>
      <c r="GJ3" s="21">
        <f>Defaults!GJ3*Obligors!$G$3*Obligors!$H$3</f>
        <v/>
      </c>
      <c r="GK3" s="21">
        <f>Defaults!GK3*Obligors!$G$3*Obligors!$H$3</f>
        <v/>
      </c>
      <c r="GL3" s="21">
        <f>Defaults!GL3*Obligors!$G$3*Obligors!$H$3</f>
        <v/>
      </c>
      <c r="GM3" s="21">
        <f>Defaults!GM3*Obligors!$G$3*Obligors!$H$3</f>
        <v/>
      </c>
      <c r="GN3" s="21">
        <f>Defaults!GN3*Obligors!$G$3*Obligors!$H$3</f>
        <v/>
      </c>
      <c r="GO3" s="21">
        <f>Defaults!GO3*Obligors!$G$3*Obligors!$H$3</f>
        <v/>
      </c>
      <c r="GP3" s="21">
        <f>Defaults!GP3*Obligors!$G$3*Obligors!$H$3</f>
        <v/>
      </c>
      <c r="GQ3" s="21">
        <f>Defaults!GQ3*Obligors!$G$3*Obligors!$H$3</f>
        <v/>
      </c>
      <c r="GR3" s="21">
        <f>Defaults!GR3*Obligors!$G$3*Obligors!$H$3</f>
        <v/>
      </c>
      <c r="GS3" s="21">
        <f>Defaults!GS3*Obligors!$G$3*Obligors!$H$3</f>
        <v/>
      </c>
      <c r="GT3" s="21">
        <f>Defaults!GT3*Obligors!$G$3*Obligors!$H$3</f>
        <v/>
      </c>
      <c r="GU3" s="21">
        <f>Defaults!GU3*Obligors!$G$3*Obligors!$H$3</f>
        <v/>
      </c>
      <c r="GV3" s="21">
        <f>Defaults!GV3*Obligors!$G$3*Obligors!$H$3</f>
        <v/>
      </c>
      <c r="GW3" s="21">
        <f>Defaults!GW3*Obligors!$G$3*Obligors!$H$3</f>
        <v/>
      </c>
      <c r="GX3" s="21">
        <f>Defaults!GX3*Obligors!$G$3*Obligors!$H$3</f>
        <v/>
      </c>
      <c r="GY3" s="21">
        <f>Defaults!GY3*Obligors!$G$3*Obligors!$H$3</f>
        <v/>
      </c>
      <c r="GZ3" s="21">
        <f>Defaults!GZ3*Obligors!$G$3*Obligors!$H$3</f>
        <v/>
      </c>
      <c r="HA3" s="21">
        <f>Defaults!HA3*Obligors!$G$3*Obligors!$H$3</f>
        <v/>
      </c>
      <c r="HB3" s="21">
        <f>Defaults!HB3*Obligors!$G$3*Obligors!$H$3</f>
        <v/>
      </c>
      <c r="HC3" s="21">
        <f>Defaults!HC3*Obligors!$G$3*Obligors!$H$3</f>
        <v/>
      </c>
      <c r="HD3" s="21">
        <f>Defaults!HD3*Obligors!$G$3*Obligors!$H$3</f>
        <v/>
      </c>
      <c r="HE3" s="21">
        <f>Defaults!HE3*Obligors!$G$3*Obligors!$H$3</f>
        <v/>
      </c>
      <c r="HF3" s="21">
        <f>Defaults!HF3*Obligors!$G$3*Obligors!$H$3</f>
        <v/>
      </c>
      <c r="HG3" s="21">
        <f>Defaults!HG3*Obligors!$G$3*Obligors!$H$3</f>
        <v/>
      </c>
      <c r="HH3" s="21">
        <f>Defaults!HH3*Obligors!$G$3*Obligors!$H$3</f>
        <v/>
      </c>
      <c r="HI3" s="21">
        <f>Defaults!HI3*Obligors!$G$3*Obligors!$H$3</f>
        <v/>
      </c>
      <c r="HJ3" s="21">
        <f>Defaults!HJ3*Obligors!$G$3*Obligors!$H$3</f>
        <v/>
      </c>
      <c r="HK3" s="21">
        <f>Defaults!HK3*Obligors!$G$3*Obligors!$H$3</f>
        <v/>
      </c>
      <c r="HL3" s="21">
        <f>Defaults!HL3*Obligors!$G$3*Obligors!$H$3</f>
        <v/>
      </c>
      <c r="HM3" s="21">
        <f>Defaults!HM3*Obligors!$G$3*Obligors!$H$3</f>
        <v/>
      </c>
      <c r="HN3" s="21">
        <f>Defaults!HN3*Obligors!$G$3*Obligors!$H$3</f>
        <v/>
      </c>
      <c r="HO3" s="21">
        <f>Defaults!HO3*Obligors!$G$3*Obligors!$H$3</f>
        <v/>
      </c>
      <c r="HP3" s="21">
        <f>Defaults!HP3*Obligors!$G$3*Obligors!$H$3</f>
        <v/>
      </c>
      <c r="HQ3" s="21">
        <f>Defaults!HQ3*Obligors!$G$3*Obligors!$H$3</f>
        <v/>
      </c>
      <c r="HR3" s="21">
        <f>Defaults!HR3*Obligors!$G$3*Obligors!$H$3</f>
        <v/>
      </c>
      <c r="HS3" s="21">
        <f>Defaults!HS3*Obligors!$G$3*Obligors!$H$3</f>
        <v/>
      </c>
      <c r="HT3" s="21">
        <f>Defaults!HT3*Obligors!$G$3*Obligors!$H$3</f>
        <v/>
      </c>
      <c r="HU3" s="21">
        <f>Defaults!HU3*Obligors!$G$3*Obligors!$H$3</f>
        <v/>
      </c>
      <c r="HV3" s="21">
        <f>Defaults!HV3*Obligors!$G$3*Obligors!$H$3</f>
        <v/>
      </c>
      <c r="HW3" s="21">
        <f>Defaults!HW3*Obligors!$G$3*Obligors!$H$3</f>
        <v/>
      </c>
      <c r="HX3" s="21">
        <f>Defaults!HX3*Obligors!$G$3*Obligors!$H$3</f>
        <v/>
      </c>
      <c r="HY3" s="21">
        <f>Defaults!HY3*Obligors!$G$3*Obligors!$H$3</f>
        <v/>
      </c>
      <c r="HZ3" s="21">
        <f>Defaults!HZ3*Obligors!$G$3*Obligors!$H$3</f>
        <v/>
      </c>
      <c r="IA3" s="21">
        <f>Defaults!IA3*Obligors!$G$3*Obligors!$H$3</f>
        <v/>
      </c>
      <c r="IB3" s="21">
        <f>Defaults!IB3*Obligors!$G$3*Obligors!$H$3</f>
        <v/>
      </c>
      <c r="IC3" s="21">
        <f>Defaults!IC3*Obligors!$G$3*Obligors!$H$3</f>
        <v/>
      </c>
      <c r="ID3" s="21">
        <f>Defaults!ID3*Obligors!$G$3*Obligors!$H$3</f>
        <v/>
      </c>
      <c r="IE3" s="21">
        <f>Defaults!IE3*Obligors!$G$3*Obligors!$H$3</f>
        <v/>
      </c>
      <c r="IF3" s="21">
        <f>Defaults!IF3*Obligors!$G$3*Obligors!$H$3</f>
        <v/>
      </c>
      <c r="IG3" s="21">
        <f>Defaults!IG3*Obligors!$G$3*Obligors!$H$3</f>
        <v/>
      </c>
      <c r="IH3" s="21">
        <f>Defaults!IH3*Obligors!$G$3*Obligors!$H$3</f>
        <v/>
      </c>
      <c r="II3" s="21">
        <f>Defaults!II3*Obligors!$G$3*Obligors!$H$3</f>
        <v/>
      </c>
      <c r="IJ3" s="21">
        <f>Defaults!IJ3*Obligors!$G$3*Obligors!$H$3</f>
        <v/>
      </c>
      <c r="IK3" s="21">
        <f>Defaults!IK3*Obligors!$G$3*Obligors!$H$3</f>
        <v/>
      </c>
      <c r="IL3" s="21">
        <f>Defaults!IL3*Obligors!$G$3*Obligors!$H$3</f>
        <v/>
      </c>
      <c r="IM3" s="21">
        <f>Defaults!IM3*Obligors!$G$3*Obligors!$H$3</f>
        <v/>
      </c>
      <c r="IN3" s="21">
        <f>Defaults!IN3*Obligors!$G$3*Obligors!$H$3</f>
        <v/>
      </c>
      <c r="IO3" s="21">
        <f>Defaults!IO3*Obligors!$G$3*Obligors!$H$3</f>
        <v/>
      </c>
      <c r="IP3" s="21">
        <f>Defaults!IP3*Obligors!$G$3*Obligors!$H$3</f>
        <v/>
      </c>
      <c r="IQ3" s="21">
        <f>Defaults!IQ3*Obligors!$G$3*Obligors!$H$3</f>
        <v/>
      </c>
      <c r="IR3" s="21">
        <f>Defaults!IR3*Obligors!$G$3*Obligors!$H$3</f>
        <v/>
      </c>
      <c r="IS3" s="21">
        <f>Defaults!IS3*Obligors!$G$3*Obligors!$H$3</f>
        <v/>
      </c>
      <c r="IT3" s="21">
        <f>Defaults!IT3*Obligors!$G$3*Obligors!$H$3</f>
        <v/>
      </c>
      <c r="IU3" s="21">
        <f>Defaults!IU3*Obligors!$G$3*Obligors!$H$3</f>
        <v/>
      </c>
      <c r="IV3" s="21">
        <f>Defaults!IV3*Obligors!$G$3*Obligors!$H$3</f>
        <v/>
      </c>
      <c r="IW3" s="21">
        <f>Defaults!IW3*Obligors!$G$3*Obligors!$H$3</f>
        <v/>
      </c>
      <c r="IX3" s="21">
        <f>Defaults!IX3*Obligors!$G$3*Obligors!$H$3</f>
        <v/>
      </c>
      <c r="IY3" s="21">
        <f>Defaults!IY3*Obligors!$G$3*Obligors!$H$3</f>
        <v/>
      </c>
      <c r="IZ3" s="21">
        <f>Defaults!IZ3*Obligors!$G$3*Obligors!$H$3</f>
        <v/>
      </c>
      <c r="JA3" s="21">
        <f>Defaults!JA3*Obligors!$G$3*Obligors!$H$3</f>
        <v/>
      </c>
      <c r="JB3" s="21">
        <f>Defaults!JB3*Obligors!$G$3*Obligors!$H$3</f>
        <v/>
      </c>
      <c r="JC3" s="21">
        <f>Defaults!JC3*Obligors!$G$3*Obligors!$H$3</f>
        <v/>
      </c>
      <c r="JD3" s="21">
        <f>Defaults!JD3*Obligors!$G$3*Obligors!$H$3</f>
        <v/>
      </c>
      <c r="JE3" s="21">
        <f>Defaults!JE3*Obligors!$G$3*Obligors!$H$3</f>
        <v/>
      </c>
      <c r="JF3" s="21">
        <f>Defaults!JF3*Obligors!$G$3*Obligors!$H$3</f>
        <v/>
      </c>
      <c r="JG3" s="21">
        <f>Defaults!JG3*Obligors!$G$3*Obligors!$H$3</f>
        <v/>
      </c>
      <c r="JH3" s="21">
        <f>Defaults!JH3*Obligors!$G$3*Obligors!$H$3</f>
        <v/>
      </c>
      <c r="JI3" s="21">
        <f>Defaults!JI3*Obligors!$G$3*Obligors!$H$3</f>
        <v/>
      </c>
      <c r="JJ3" s="21">
        <f>Defaults!JJ3*Obligors!$G$3*Obligors!$H$3</f>
        <v/>
      </c>
      <c r="JK3" s="21">
        <f>Defaults!JK3*Obligors!$G$3*Obligors!$H$3</f>
        <v/>
      </c>
      <c r="JL3" s="21">
        <f>Defaults!JL3*Obligors!$G$3*Obligors!$H$3</f>
        <v/>
      </c>
      <c r="JM3" s="21">
        <f>Defaults!JM3*Obligors!$G$3*Obligors!$H$3</f>
        <v/>
      </c>
      <c r="JN3" s="21">
        <f>Defaults!JN3*Obligors!$G$3*Obligors!$H$3</f>
        <v/>
      </c>
      <c r="JO3" s="21">
        <f>Defaults!JO3*Obligors!$G$3*Obligors!$H$3</f>
        <v/>
      </c>
      <c r="JP3" s="21">
        <f>Defaults!JP3*Obligors!$G$3*Obligors!$H$3</f>
        <v/>
      </c>
      <c r="JQ3" s="21">
        <f>Defaults!JQ3*Obligors!$G$3*Obligors!$H$3</f>
        <v/>
      </c>
      <c r="JR3" s="21">
        <f>Defaults!JR3*Obligors!$G$3*Obligors!$H$3</f>
        <v/>
      </c>
      <c r="JS3" s="21">
        <f>Defaults!JS3*Obligors!$G$3*Obligors!$H$3</f>
        <v/>
      </c>
      <c r="JT3" s="21">
        <f>Defaults!JT3*Obligors!$G$3*Obligors!$H$3</f>
        <v/>
      </c>
      <c r="JU3" s="21">
        <f>Defaults!JU3*Obligors!$G$3*Obligors!$H$3</f>
        <v/>
      </c>
      <c r="JV3" s="21">
        <f>Defaults!JV3*Obligors!$G$3*Obligors!$H$3</f>
        <v/>
      </c>
      <c r="JW3" s="21">
        <f>Defaults!JW3*Obligors!$G$3*Obligors!$H$3</f>
        <v/>
      </c>
      <c r="JX3" s="21">
        <f>Defaults!JX3*Obligors!$G$3*Obligors!$H$3</f>
        <v/>
      </c>
      <c r="JY3" s="21">
        <f>Defaults!JY3*Obligors!$G$3*Obligors!$H$3</f>
        <v/>
      </c>
      <c r="JZ3" s="21">
        <f>Defaults!JZ3*Obligors!$G$3*Obligors!$H$3</f>
        <v/>
      </c>
      <c r="KA3" s="21">
        <f>Defaults!KA3*Obligors!$G$3*Obligors!$H$3</f>
        <v/>
      </c>
      <c r="KB3" s="21">
        <f>Defaults!KB3*Obligors!$G$3*Obligors!$H$3</f>
        <v/>
      </c>
      <c r="KC3" s="21">
        <f>Defaults!KC3*Obligors!$G$3*Obligors!$H$3</f>
        <v/>
      </c>
      <c r="KD3" s="21">
        <f>Defaults!KD3*Obligors!$G$3*Obligors!$H$3</f>
        <v/>
      </c>
      <c r="KE3" s="21">
        <f>Defaults!KE3*Obligors!$G$3*Obligors!$H$3</f>
        <v/>
      </c>
      <c r="KF3" s="21">
        <f>Defaults!KF3*Obligors!$G$3*Obligors!$H$3</f>
        <v/>
      </c>
      <c r="KG3" s="21">
        <f>Defaults!KG3*Obligors!$G$3*Obligors!$H$3</f>
        <v/>
      </c>
      <c r="KH3" s="21">
        <f>Defaults!KH3*Obligors!$G$3*Obligors!$H$3</f>
        <v/>
      </c>
      <c r="KI3" s="21">
        <f>Defaults!KI3*Obligors!$G$3*Obligors!$H$3</f>
        <v/>
      </c>
      <c r="KJ3" s="21">
        <f>Defaults!KJ3*Obligors!$G$3*Obligors!$H$3</f>
        <v/>
      </c>
      <c r="KK3" s="21">
        <f>Defaults!KK3*Obligors!$G$3*Obligors!$H$3</f>
        <v/>
      </c>
      <c r="KL3" s="21">
        <f>Defaults!KL3*Obligors!$G$3*Obligors!$H$3</f>
        <v/>
      </c>
      <c r="KM3" s="21">
        <f>Defaults!KM3*Obligors!$G$3*Obligors!$H$3</f>
        <v/>
      </c>
      <c r="KN3" s="21">
        <f>Defaults!KN3*Obligors!$G$3*Obligors!$H$3</f>
        <v/>
      </c>
      <c r="KO3" s="21">
        <f>Defaults!KO3*Obligors!$G$3*Obligors!$H$3</f>
        <v/>
      </c>
      <c r="KP3" s="21">
        <f>Defaults!KP3*Obligors!$G$3*Obligors!$H$3</f>
        <v/>
      </c>
      <c r="KQ3" s="21">
        <f>Defaults!KQ3*Obligors!$G$3*Obligors!$H$3</f>
        <v/>
      </c>
      <c r="KR3" s="21">
        <f>Defaults!KR3*Obligors!$G$3*Obligors!$H$3</f>
        <v/>
      </c>
      <c r="KS3" s="21">
        <f>Defaults!KS3*Obligors!$G$3*Obligors!$H$3</f>
        <v/>
      </c>
      <c r="KT3" s="21">
        <f>Defaults!KT3*Obligors!$G$3*Obligors!$H$3</f>
        <v/>
      </c>
      <c r="KU3" s="21">
        <f>Defaults!KU3*Obligors!$G$3*Obligors!$H$3</f>
        <v/>
      </c>
      <c r="KV3" s="21">
        <f>Defaults!KV3*Obligors!$G$3*Obligors!$H$3</f>
        <v/>
      </c>
      <c r="KW3" s="21">
        <f>Defaults!KW3*Obligors!$G$3*Obligors!$H$3</f>
        <v/>
      </c>
      <c r="KX3" s="21">
        <f>Defaults!KX3*Obligors!$G$3*Obligors!$H$3</f>
        <v/>
      </c>
      <c r="KY3" s="21">
        <f>Defaults!KY3*Obligors!$G$3*Obligors!$H$3</f>
        <v/>
      </c>
      <c r="KZ3" s="21">
        <f>Defaults!KZ3*Obligors!$G$3*Obligors!$H$3</f>
        <v/>
      </c>
      <c r="LA3" s="21">
        <f>Defaults!LA3*Obligors!$G$3*Obligors!$H$3</f>
        <v/>
      </c>
      <c r="LB3" s="21">
        <f>Defaults!LB3*Obligors!$G$3*Obligors!$H$3</f>
        <v/>
      </c>
      <c r="LC3" s="21">
        <f>Defaults!LC3*Obligors!$G$3*Obligors!$H$3</f>
        <v/>
      </c>
      <c r="LD3" s="21">
        <f>Defaults!LD3*Obligors!$G$3*Obligors!$H$3</f>
        <v/>
      </c>
      <c r="LE3" s="21">
        <f>Defaults!LE3*Obligors!$G$3*Obligors!$H$3</f>
        <v/>
      </c>
      <c r="LF3" s="21">
        <f>Defaults!LF3*Obligors!$G$3*Obligors!$H$3</f>
        <v/>
      </c>
      <c r="LG3" s="21">
        <f>Defaults!LG3*Obligors!$G$3*Obligors!$H$3</f>
        <v/>
      </c>
      <c r="LH3" s="21">
        <f>Defaults!LH3*Obligors!$G$3*Obligors!$H$3</f>
        <v/>
      </c>
      <c r="LI3" s="21">
        <f>Defaults!LI3*Obligors!$G$3*Obligors!$H$3</f>
        <v/>
      </c>
      <c r="LJ3" s="21">
        <f>Defaults!LJ3*Obligors!$G$3*Obligors!$H$3</f>
        <v/>
      </c>
      <c r="LK3" s="21">
        <f>Defaults!LK3*Obligors!$G$3*Obligors!$H$3</f>
        <v/>
      </c>
      <c r="LL3" s="21">
        <f>Defaults!LL3*Obligors!$G$3*Obligors!$H$3</f>
        <v/>
      </c>
      <c r="LM3" s="21">
        <f>Defaults!LM3*Obligors!$G$3*Obligors!$H$3</f>
        <v/>
      </c>
      <c r="LN3" s="21">
        <f>Defaults!LN3*Obligors!$G$3*Obligors!$H$3</f>
        <v/>
      </c>
      <c r="LO3" s="21">
        <f>Defaults!LO3*Obligors!$G$3*Obligors!$H$3</f>
        <v/>
      </c>
      <c r="LP3" s="21">
        <f>Defaults!LP3*Obligors!$G$3*Obligors!$H$3</f>
        <v/>
      </c>
      <c r="LQ3" s="21">
        <f>Defaults!LQ3*Obligors!$G$3*Obligors!$H$3</f>
        <v/>
      </c>
      <c r="LR3" s="21">
        <f>Defaults!LR3*Obligors!$G$3*Obligors!$H$3</f>
        <v/>
      </c>
      <c r="LS3" s="21">
        <f>Defaults!LS3*Obligors!$G$3*Obligors!$H$3</f>
        <v/>
      </c>
      <c r="LT3" s="21">
        <f>Defaults!LT3*Obligors!$G$3*Obligors!$H$3</f>
        <v/>
      </c>
      <c r="LU3" s="21">
        <f>Defaults!LU3*Obligors!$G$3*Obligors!$H$3</f>
        <v/>
      </c>
      <c r="LV3" s="21">
        <f>Defaults!LV3*Obligors!$G$3*Obligors!$H$3</f>
        <v/>
      </c>
      <c r="LW3" s="21">
        <f>Defaults!LW3*Obligors!$G$3*Obligors!$H$3</f>
        <v/>
      </c>
      <c r="LX3" s="21">
        <f>Defaults!LX3*Obligors!$G$3*Obligors!$H$3</f>
        <v/>
      </c>
      <c r="LY3" s="21">
        <f>Defaults!LY3*Obligors!$G$3*Obligors!$H$3</f>
        <v/>
      </c>
      <c r="LZ3" s="21">
        <f>Defaults!LZ3*Obligors!$G$3*Obligors!$H$3</f>
        <v/>
      </c>
      <c r="MA3" s="21">
        <f>Defaults!MA3*Obligors!$G$3*Obligors!$H$3</f>
        <v/>
      </c>
      <c r="MB3" s="21">
        <f>Defaults!MB3*Obligors!$G$3*Obligors!$H$3</f>
        <v/>
      </c>
      <c r="MC3" s="21">
        <f>Defaults!MC3*Obligors!$G$3*Obligors!$H$3</f>
        <v/>
      </c>
      <c r="MD3" s="21">
        <f>Defaults!MD3*Obligors!$G$3*Obligors!$H$3</f>
        <v/>
      </c>
      <c r="ME3" s="21">
        <f>Defaults!ME3*Obligors!$G$3*Obligors!$H$3</f>
        <v/>
      </c>
      <c r="MF3" s="21">
        <f>Defaults!MF3*Obligors!$G$3*Obligors!$H$3</f>
        <v/>
      </c>
      <c r="MG3" s="21">
        <f>Defaults!MG3*Obligors!$G$3*Obligors!$H$3</f>
        <v/>
      </c>
      <c r="MH3" s="21">
        <f>Defaults!MH3*Obligors!$G$3*Obligors!$H$3</f>
        <v/>
      </c>
      <c r="MI3" s="21">
        <f>Defaults!MI3*Obligors!$G$3*Obligors!$H$3</f>
        <v/>
      </c>
      <c r="MJ3" s="21">
        <f>Defaults!MJ3*Obligors!$G$3*Obligors!$H$3</f>
        <v/>
      </c>
      <c r="MK3" s="21">
        <f>Defaults!MK3*Obligors!$G$3*Obligors!$H$3</f>
        <v/>
      </c>
      <c r="ML3" s="21">
        <f>Defaults!ML3*Obligors!$G$3*Obligors!$H$3</f>
        <v/>
      </c>
      <c r="MM3" s="21">
        <f>Defaults!MM3*Obligors!$G$3*Obligors!$H$3</f>
        <v/>
      </c>
      <c r="MN3" s="21">
        <f>Defaults!MN3*Obligors!$G$3*Obligors!$H$3</f>
        <v/>
      </c>
      <c r="MO3" s="21">
        <f>Defaults!MO3*Obligors!$G$3*Obligors!$H$3</f>
        <v/>
      </c>
      <c r="MP3" s="21">
        <f>Defaults!MP3*Obligors!$G$3*Obligors!$H$3</f>
        <v/>
      </c>
      <c r="MQ3" s="21">
        <f>Defaults!MQ3*Obligors!$G$3*Obligors!$H$3</f>
        <v/>
      </c>
      <c r="MR3" s="21">
        <f>Defaults!MR3*Obligors!$G$3*Obligors!$H$3</f>
        <v/>
      </c>
      <c r="MS3" s="21">
        <f>Defaults!MS3*Obligors!$G$3*Obligors!$H$3</f>
        <v/>
      </c>
      <c r="MT3" s="21">
        <f>Defaults!MT3*Obligors!$G$3*Obligors!$H$3</f>
        <v/>
      </c>
      <c r="MU3" s="21">
        <f>Defaults!MU3*Obligors!$G$3*Obligors!$H$3</f>
        <v/>
      </c>
      <c r="MV3" s="21">
        <f>Defaults!MV3*Obligors!$G$3*Obligors!$H$3</f>
        <v/>
      </c>
      <c r="MW3" s="21">
        <f>Defaults!MW3*Obligors!$G$3*Obligors!$H$3</f>
        <v/>
      </c>
      <c r="MX3" s="21">
        <f>Defaults!MX3*Obligors!$G$3*Obligors!$H$3</f>
        <v/>
      </c>
      <c r="MY3" s="21">
        <f>Defaults!MY3*Obligors!$G$3*Obligors!$H$3</f>
        <v/>
      </c>
      <c r="MZ3" s="21">
        <f>Defaults!MZ3*Obligors!$G$3*Obligors!$H$3</f>
        <v/>
      </c>
      <c r="NA3" s="21">
        <f>Defaults!NA3*Obligors!$G$3*Obligors!$H$3</f>
        <v/>
      </c>
      <c r="NB3" s="21">
        <f>Defaults!NB3*Obligors!$G$3*Obligors!$H$3</f>
        <v/>
      </c>
      <c r="NC3" s="21">
        <f>Defaults!NC3*Obligors!$G$3*Obligors!$H$3</f>
        <v/>
      </c>
      <c r="ND3" s="21">
        <f>Defaults!ND3*Obligors!$G$3*Obligors!$H$3</f>
        <v/>
      </c>
      <c r="NE3" s="21">
        <f>Defaults!NE3*Obligors!$G$3*Obligors!$H$3</f>
        <v/>
      </c>
      <c r="NF3" s="21">
        <f>Defaults!NF3*Obligors!$G$3*Obligors!$H$3</f>
        <v/>
      </c>
      <c r="NG3" s="21">
        <f>Defaults!NG3*Obligors!$G$3*Obligors!$H$3</f>
        <v/>
      </c>
      <c r="NH3" s="21">
        <f>Defaults!NH3*Obligors!$G$3*Obligors!$H$3</f>
        <v/>
      </c>
      <c r="NI3" s="21">
        <f>Defaults!NI3*Obligors!$G$3*Obligors!$H$3</f>
        <v/>
      </c>
      <c r="NJ3" s="21">
        <f>Defaults!NJ3*Obligors!$G$3*Obligors!$H$3</f>
        <v/>
      </c>
      <c r="NK3" s="21">
        <f>Defaults!NK3*Obligors!$G$3*Obligors!$H$3</f>
        <v/>
      </c>
      <c r="NL3" s="21">
        <f>Defaults!NL3*Obligors!$G$3*Obligors!$H$3</f>
        <v/>
      </c>
      <c r="NM3" s="21">
        <f>Defaults!NM3*Obligors!$G$3*Obligors!$H$3</f>
        <v/>
      </c>
      <c r="NN3" s="21">
        <f>Defaults!NN3*Obligors!$G$3*Obligors!$H$3</f>
        <v/>
      </c>
      <c r="NO3" s="21">
        <f>Defaults!NO3*Obligors!$G$3*Obligors!$H$3</f>
        <v/>
      </c>
      <c r="NP3" s="21">
        <f>Defaults!NP3*Obligors!$G$3*Obligors!$H$3</f>
        <v/>
      </c>
      <c r="NQ3" s="21">
        <f>Defaults!NQ3*Obligors!$G$3*Obligors!$H$3</f>
        <v/>
      </c>
      <c r="NR3" s="21">
        <f>Defaults!NR3*Obligors!$G$3*Obligors!$H$3</f>
        <v/>
      </c>
      <c r="NS3" s="21">
        <f>Defaults!NS3*Obligors!$G$3*Obligors!$H$3</f>
        <v/>
      </c>
      <c r="NT3" s="21">
        <f>Defaults!NT3*Obligors!$G$3*Obligors!$H$3</f>
        <v/>
      </c>
      <c r="NU3" s="21">
        <f>Defaults!NU3*Obligors!$G$3*Obligors!$H$3</f>
        <v/>
      </c>
      <c r="NV3" s="21">
        <f>Defaults!NV3*Obligors!$G$3*Obligors!$H$3</f>
        <v/>
      </c>
      <c r="NW3" s="21">
        <f>Defaults!NW3*Obligors!$G$3*Obligors!$H$3</f>
        <v/>
      </c>
      <c r="NX3" s="21">
        <f>Defaults!NX3*Obligors!$G$3*Obligors!$H$3</f>
        <v/>
      </c>
      <c r="NY3" s="21">
        <f>Defaults!NY3*Obligors!$G$3*Obligors!$H$3</f>
        <v/>
      </c>
      <c r="NZ3" s="21">
        <f>Defaults!NZ3*Obligors!$G$3*Obligors!$H$3</f>
        <v/>
      </c>
      <c r="OA3" s="21">
        <f>Defaults!OA3*Obligors!$G$3*Obligors!$H$3</f>
        <v/>
      </c>
      <c r="OB3" s="21">
        <f>Defaults!OB3*Obligors!$G$3*Obligors!$H$3</f>
        <v/>
      </c>
      <c r="OC3" s="21">
        <f>Defaults!OC3*Obligors!$G$3*Obligors!$H$3</f>
        <v/>
      </c>
      <c r="OD3" s="21">
        <f>Defaults!OD3*Obligors!$G$3*Obligors!$H$3</f>
        <v/>
      </c>
      <c r="OE3" s="21">
        <f>Defaults!OE3*Obligors!$G$3*Obligors!$H$3</f>
        <v/>
      </c>
      <c r="OF3" s="21">
        <f>Defaults!OF3*Obligors!$G$3*Obligors!$H$3</f>
        <v/>
      </c>
      <c r="OG3" s="21">
        <f>Defaults!OG3*Obligors!$G$3*Obligors!$H$3</f>
        <v/>
      </c>
      <c r="OH3" s="21">
        <f>Defaults!OH3*Obligors!$G$3*Obligors!$H$3</f>
        <v/>
      </c>
      <c r="OI3" s="21">
        <f>Defaults!OI3*Obligors!$G$3*Obligors!$H$3</f>
        <v/>
      </c>
      <c r="OJ3" s="21">
        <f>Defaults!OJ3*Obligors!$G$3*Obligors!$H$3</f>
        <v/>
      </c>
      <c r="OK3" s="21">
        <f>Defaults!OK3*Obligors!$G$3*Obligors!$H$3</f>
        <v/>
      </c>
      <c r="OL3" s="21">
        <f>Defaults!OL3*Obligors!$G$3*Obligors!$H$3</f>
        <v/>
      </c>
      <c r="OM3" s="21">
        <f>Defaults!OM3*Obligors!$G$3*Obligors!$H$3</f>
        <v/>
      </c>
      <c r="ON3" s="21">
        <f>Defaults!ON3*Obligors!$G$3*Obligors!$H$3</f>
        <v/>
      </c>
      <c r="OO3" s="21">
        <f>Defaults!OO3*Obligors!$G$3*Obligors!$H$3</f>
        <v/>
      </c>
      <c r="OP3" s="21">
        <f>Defaults!OP3*Obligors!$G$3*Obligors!$H$3</f>
        <v/>
      </c>
      <c r="OQ3" s="21">
        <f>Defaults!OQ3*Obligors!$G$3*Obligors!$H$3</f>
        <v/>
      </c>
      <c r="OR3" s="21">
        <f>Defaults!OR3*Obligors!$G$3*Obligors!$H$3</f>
        <v/>
      </c>
      <c r="OS3" s="21">
        <f>Defaults!OS3*Obligors!$G$3*Obligors!$H$3</f>
        <v/>
      </c>
      <c r="OT3" s="21">
        <f>Defaults!OT3*Obligors!$G$3*Obligors!$H$3</f>
        <v/>
      </c>
      <c r="OU3" s="21">
        <f>Defaults!OU3*Obligors!$G$3*Obligors!$H$3</f>
        <v/>
      </c>
      <c r="OV3" s="21">
        <f>Defaults!OV3*Obligors!$G$3*Obligors!$H$3</f>
        <v/>
      </c>
      <c r="OW3" s="21">
        <f>Defaults!OW3*Obligors!$G$3*Obligors!$H$3</f>
        <v/>
      </c>
      <c r="OX3" s="21">
        <f>Defaults!OX3*Obligors!$G$3*Obligors!$H$3</f>
        <v/>
      </c>
      <c r="OY3" s="21">
        <f>Defaults!OY3*Obligors!$G$3*Obligors!$H$3</f>
        <v/>
      </c>
      <c r="OZ3" s="21">
        <f>Defaults!OZ3*Obligors!$G$3*Obligors!$H$3</f>
        <v/>
      </c>
      <c r="PA3" s="21">
        <f>Defaults!PA3*Obligors!$G$3*Obligors!$H$3</f>
        <v/>
      </c>
      <c r="PB3" s="21">
        <f>Defaults!PB3*Obligors!$G$3*Obligors!$H$3</f>
        <v/>
      </c>
      <c r="PC3" s="21">
        <f>Defaults!PC3*Obligors!$G$3*Obligors!$H$3</f>
        <v/>
      </c>
      <c r="PD3" s="21">
        <f>Defaults!PD3*Obligors!$G$3*Obligors!$H$3</f>
        <v/>
      </c>
      <c r="PE3" s="21">
        <f>Defaults!PE3*Obligors!$G$3*Obligors!$H$3</f>
        <v/>
      </c>
      <c r="PF3" s="21">
        <f>Defaults!PF3*Obligors!$G$3*Obligors!$H$3</f>
        <v/>
      </c>
      <c r="PG3" s="21">
        <f>Defaults!PG3*Obligors!$G$3*Obligors!$H$3</f>
        <v/>
      </c>
      <c r="PH3" s="21">
        <f>Defaults!PH3*Obligors!$G$3*Obligors!$H$3</f>
        <v/>
      </c>
      <c r="PI3" s="21">
        <f>Defaults!PI3*Obligors!$G$3*Obligors!$H$3</f>
        <v/>
      </c>
      <c r="PJ3" s="21">
        <f>Defaults!PJ3*Obligors!$G$3*Obligors!$H$3</f>
        <v/>
      </c>
      <c r="PK3" s="21">
        <f>Defaults!PK3*Obligors!$G$3*Obligors!$H$3</f>
        <v/>
      </c>
      <c r="PL3" s="21">
        <f>Defaults!PL3*Obligors!$G$3*Obligors!$H$3</f>
        <v/>
      </c>
      <c r="PM3" s="21">
        <f>Defaults!PM3*Obligors!$G$3*Obligors!$H$3</f>
        <v/>
      </c>
      <c r="PN3" s="21">
        <f>Defaults!PN3*Obligors!$G$3*Obligors!$H$3</f>
        <v/>
      </c>
      <c r="PO3" s="21">
        <f>Defaults!PO3*Obligors!$G$3*Obligors!$H$3</f>
        <v/>
      </c>
      <c r="PP3" s="21">
        <f>Defaults!PP3*Obligors!$G$3*Obligors!$H$3</f>
        <v/>
      </c>
      <c r="PQ3" s="21">
        <f>Defaults!PQ3*Obligors!$G$3*Obligors!$H$3</f>
        <v/>
      </c>
      <c r="PR3" s="21">
        <f>Defaults!PR3*Obligors!$G$3*Obligors!$H$3</f>
        <v/>
      </c>
      <c r="PS3" s="21">
        <f>Defaults!PS3*Obligors!$G$3*Obligors!$H$3</f>
        <v/>
      </c>
      <c r="PT3" s="21">
        <f>Defaults!PT3*Obligors!$G$3*Obligors!$H$3</f>
        <v/>
      </c>
      <c r="PU3" s="21">
        <f>Defaults!PU3*Obligors!$G$3*Obligors!$H$3</f>
        <v/>
      </c>
      <c r="PV3" s="21">
        <f>Defaults!PV3*Obligors!$G$3*Obligors!$H$3</f>
        <v/>
      </c>
      <c r="PW3" s="21">
        <f>Defaults!PW3*Obligors!$G$3*Obligors!$H$3</f>
        <v/>
      </c>
      <c r="PX3" s="21">
        <f>Defaults!PX3*Obligors!$G$3*Obligors!$H$3</f>
        <v/>
      </c>
      <c r="PY3" s="21">
        <f>Defaults!PY3*Obligors!$G$3*Obligors!$H$3</f>
        <v/>
      </c>
      <c r="PZ3" s="21">
        <f>Defaults!PZ3*Obligors!$G$3*Obligors!$H$3</f>
        <v/>
      </c>
      <c r="QA3" s="21">
        <f>Defaults!QA3*Obligors!$G$3*Obligors!$H$3</f>
        <v/>
      </c>
      <c r="QB3" s="21">
        <f>Defaults!QB3*Obligors!$G$3*Obligors!$H$3</f>
        <v/>
      </c>
      <c r="QC3" s="21">
        <f>Defaults!QC3*Obligors!$G$3*Obligors!$H$3</f>
        <v/>
      </c>
      <c r="QD3" s="21">
        <f>Defaults!QD3*Obligors!$G$3*Obligors!$H$3</f>
        <v/>
      </c>
      <c r="QE3" s="21">
        <f>Defaults!QE3*Obligors!$G$3*Obligors!$H$3</f>
        <v/>
      </c>
      <c r="QF3" s="21">
        <f>Defaults!QF3*Obligors!$G$3*Obligors!$H$3</f>
        <v/>
      </c>
      <c r="QG3" s="21">
        <f>Defaults!QG3*Obligors!$G$3*Obligors!$H$3</f>
        <v/>
      </c>
      <c r="QH3" s="21">
        <f>Defaults!QH3*Obligors!$G$3*Obligors!$H$3</f>
        <v/>
      </c>
      <c r="QI3" s="21">
        <f>Defaults!QI3*Obligors!$G$3*Obligors!$H$3</f>
        <v/>
      </c>
      <c r="QJ3" s="21">
        <f>Defaults!QJ3*Obligors!$G$3*Obligors!$H$3</f>
        <v/>
      </c>
      <c r="QK3" s="21">
        <f>Defaults!QK3*Obligors!$G$3*Obligors!$H$3</f>
        <v/>
      </c>
      <c r="QL3" s="21">
        <f>Defaults!QL3*Obligors!$G$3*Obligors!$H$3</f>
        <v/>
      </c>
      <c r="QM3" s="21">
        <f>Defaults!QM3*Obligors!$G$3*Obligors!$H$3</f>
        <v/>
      </c>
      <c r="QN3" s="21">
        <f>Defaults!QN3*Obligors!$G$3*Obligors!$H$3</f>
        <v/>
      </c>
      <c r="QO3" s="21">
        <f>Defaults!QO3*Obligors!$G$3*Obligors!$H$3</f>
        <v/>
      </c>
      <c r="QP3" s="21">
        <f>Defaults!QP3*Obligors!$G$3*Obligors!$H$3</f>
        <v/>
      </c>
      <c r="QQ3" s="21">
        <f>Defaults!QQ3*Obligors!$G$3*Obligors!$H$3</f>
        <v/>
      </c>
      <c r="QR3" s="21">
        <f>Defaults!QR3*Obligors!$G$3*Obligors!$H$3</f>
        <v/>
      </c>
      <c r="QS3" s="21">
        <f>Defaults!QS3*Obligors!$G$3*Obligors!$H$3</f>
        <v/>
      </c>
      <c r="QT3" s="21">
        <f>Defaults!QT3*Obligors!$G$3*Obligors!$H$3</f>
        <v/>
      </c>
      <c r="QU3" s="21">
        <f>Defaults!QU3*Obligors!$G$3*Obligors!$H$3</f>
        <v/>
      </c>
      <c r="QV3" s="21">
        <f>Defaults!QV3*Obligors!$G$3*Obligors!$H$3</f>
        <v/>
      </c>
      <c r="QW3" s="21">
        <f>Defaults!QW3*Obligors!$G$3*Obligors!$H$3</f>
        <v/>
      </c>
      <c r="QX3" s="21">
        <f>Defaults!QX3*Obligors!$G$3*Obligors!$H$3</f>
        <v/>
      </c>
      <c r="QY3" s="21">
        <f>Defaults!QY3*Obligors!$G$3*Obligors!$H$3</f>
        <v/>
      </c>
      <c r="QZ3" s="21">
        <f>Defaults!QZ3*Obligors!$G$3*Obligors!$H$3</f>
        <v/>
      </c>
      <c r="RA3" s="21">
        <f>Defaults!RA3*Obligors!$G$3*Obligors!$H$3</f>
        <v/>
      </c>
      <c r="RB3" s="21">
        <f>Defaults!RB3*Obligors!$G$3*Obligors!$H$3</f>
        <v/>
      </c>
      <c r="RC3" s="21">
        <f>Defaults!RC3*Obligors!$G$3*Obligors!$H$3</f>
        <v/>
      </c>
      <c r="RD3" s="21">
        <f>Defaults!RD3*Obligors!$G$3*Obligors!$H$3</f>
        <v/>
      </c>
      <c r="RE3" s="21">
        <f>Defaults!RE3*Obligors!$G$3*Obligors!$H$3</f>
        <v/>
      </c>
      <c r="RF3" s="21">
        <f>Defaults!RF3*Obligors!$G$3*Obligors!$H$3</f>
        <v/>
      </c>
      <c r="RG3" s="21">
        <f>Defaults!RG3*Obligors!$G$3*Obligors!$H$3</f>
        <v/>
      </c>
      <c r="RH3" s="21">
        <f>Defaults!RH3*Obligors!$G$3*Obligors!$H$3</f>
        <v/>
      </c>
      <c r="RI3" s="21">
        <f>Defaults!RI3*Obligors!$G$3*Obligors!$H$3</f>
        <v/>
      </c>
      <c r="RJ3" s="21">
        <f>Defaults!RJ3*Obligors!$G$3*Obligors!$H$3</f>
        <v/>
      </c>
      <c r="RK3" s="21">
        <f>Defaults!RK3*Obligors!$G$3*Obligors!$H$3</f>
        <v/>
      </c>
      <c r="RL3" s="21">
        <f>Defaults!RL3*Obligors!$G$3*Obligors!$H$3</f>
        <v/>
      </c>
      <c r="RM3" s="21">
        <f>Defaults!RM3*Obligors!$G$3*Obligors!$H$3</f>
        <v/>
      </c>
      <c r="RN3" s="21">
        <f>Defaults!RN3*Obligors!$G$3*Obligors!$H$3</f>
        <v/>
      </c>
      <c r="RO3" s="21">
        <f>Defaults!RO3*Obligors!$G$3*Obligors!$H$3</f>
        <v/>
      </c>
      <c r="RP3" s="21">
        <f>Defaults!RP3*Obligors!$G$3*Obligors!$H$3</f>
        <v/>
      </c>
      <c r="RQ3" s="21">
        <f>Defaults!RQ3*Obligors!$G$3*Obligors!$H$3</f>
        <v/>
      </c>
      <c r="RR3" s="21">
        <f>Defaults!RR3*Obligors!$G$3*Obligors!$H$3</f>
        <v/>
      </c>
      <c r="RS3" s="21">
        <f>Defaults!RS3*Obligors!$G$3*Obligors!$H$3</f>
        <v/>
      </c>
      <c r="RT3" s="21">
        <f>Defaults!RT3*Obligors!$G$3*Obligors!$H$3</f>
        <v/>
      </c>
      <c r="RU3" s="21">
        <f>Defaults!RU3*Obligors!$G$3*Obligors!$H$3</f>
        <v/>
      </c>
      <c r="RV3" s="21">
        <f>Defaults!RV3*Obligors!$G$3*Obligors!$H$3</f>
        <v/>
      </c>
      <c r="RW3" s="21">
        <f>Defaults!RW3*Obligors!$G$3*Obligors!$H$3</f>
        <v/>
      </c>
      <c r="RX3" s="21">
        <f>Defaults!RX3*Obligors!$G$3*Obligors!$H$3</f>
        <v/>
      </c>
      <c r="RY3" s="21">
        <f>Defaults!RY3*Obligors!$G$3*Obligors!$H$3</f>
        <v/>
      </c>
      <c r="RZ3" s="21">
        <f>Defaults!RZ3*Obligors!$G$3*Obligors!$H$3</f>
        <v/>
      </c>
      <c r="SA3" s="21">
        <f>Defaults!SA3*Obligors!$G$3*Obligors!$H$3</f>
        <v/>
      </c>
      <c r="SB3" s="21">
        <f>Defaults!SB3*Obligors!$G$3*Obligors!$H$3</f>
        <v/>
      </c>
      <c r="SC3" s="21">
        <f>Defaults!SC3*Obligors!$G$3*Obligors!$H$3</f>
        <v/>
      </c>
      <c r="SD3" s="21">
        <f>Defaults!SD3*Obligors!$G$3*Obligors!$H$3</f>
        <v/>
      </c>
      <c r="SE3" s="21">
        <f>Defaults!SE3*Obligors!$G$3*Obligors!$H$3</f>
        <v/>
      </c>
      <c r="SF3" s="21">
        <f>Defaults!SF3*Obligors!$G$3*Obligors!$H$3</f>
        <v/>
      </c>
      <c r="SG3" s="21">
        <f>Defaults!SG3*Obligors!$G$3*Obligors!$H$3</f>
        <v/>
      </c>
    </row>
    <row r="4">
      <c r="A4" s="17" t="inlineStr">
        <is>
          <t>OBL-003</t>
        </is>
      </c>
      <c r="B4" s="21">
        <f>Defaults!B4*Obligors!$G$4*Obligors!$H$4</f>
        <v/>
      </c>
      <c r="C4" s="21">
        <f>Defaults!C4*Obligors!$G$4*Obligors!$H$4</f>
        <v/>
      </c>
      <c r="D4" s="21">
        <f>Defaults!D4*Obligors!$G$4*Obligors!$H$4</f>
        <v/>
      </c>
      <c r="E4" s="21">
        <f>Defaults!E4*Obligors!$G$4*Obligors!$H$4</f>
        <v/>
      </c>
      <c r="F4" s="21">
        <f>Defaults!F4*Obligors!$G$4*Obligors!$H$4</f>
        <v/>
      </c>
      <c r="G4" s="21">
        <f>Defaults!G4*Obligors!$G$4*Obligors!$H$4</f>
        <v/>
      </c>
      <c r="H4" s="21">
        <f>Defaults!H4*Obligors!$G$4*Obligors!$H$4</f>
        <v/>
      </c>
      <c r="I4" s="21">
        <f>Defaults!I4*Obligors!$G$4*Obligors!$H$4</f>
        <v/>
      </c>
      <c r="J4" s="21">
        <f>Defaults!J4*Obligors!$G$4*Obligors!$H$4</f>
        <v/>
      </c>
      <c r="K4" s="21">
        <f>Defaults!K4*Obligors!$G$4*Obligors!$H$4</f>
        <v/>
      </c>
      <c r="L4" s="21">
        <f>Defaults!L4*Obligors!$G$4*Obligors!$H$4</f>
        <v/>
      </c>
      <c r="M4" s="21">
        <f>Defaults!M4*Obligors!$G$4*Obligors!$H$4</f>
        <v/>
      </c>
      <c r="N4" s="21">
        <f>Defaults!N4*Obligors!$G$4*Obligors!$H$4</f>
        <v/>
      </c>
      <c r="O4" s="21">
        <f>Defaults!O4*Obligors!$G$4*Obligors!$H$4</f>
        <v/>
      </c>
      <c r="P4" s="21">
        <f>Defaults!P4*Obligors!$G$4*Obligors!$H$4</f>
        <v/>
      </c>
      <c r="Q4" s="21">
        <f>Defaults!Q4*Obligors!$G$4*Obligors!$H$4</f>
        <v/>
      </c>
      <c r="R4" s="21">
        <f>Defaults!R4*Obligors!$G$4*Obligors!$H$4</f>
        <v/>
      </c>
      <c r="S4" s="21">
        <f>Defaults!S4*Obligors!$G$4*Obligors!$H$4</f>
        <v/>
      </c>
      <c r="T4" s="21">
        <f>Defaults!T4*Obligors!$G$4*Obligors!$H$4</f>
        <v/>
      </c>
      <c r="U4" s="21">
        <f>Defaults!U4*Obligors!$G$4*Obligors!$H$4</f>
        <v/>
      </c>
      <c r="V4" s="21">
        <f>Defaults!V4*Obligors!$G$4*Obligors!$H$4</f>
        <v/>
      </c>
      <c r="W4" s="21">
        <f>Defaults!W4*Obligors!$G$4*Obligors!$H$4</f>
        <v/>
      </c>
      <c r="X4" s="21">
        <f>Defaults!X4*Obligors!$G$4*Obligors!$H$4</f>
        <v/>
      </c>
      <c r="Y4" s="21">
        <f>Defaults!Y4*Obligors!$G$4*Obligors!$H$4</f>
        <v/>
      </c>
      <c r="Z4" s="21">
        <f>Defaults!Z4*Obligors!$G$4*Obligors!$H$4</f>
        <v/>
      </c>
      <c r="AA4" s="21">
        <f>Defaults!AA4*Obligors!$G$4*Obligors!$H$4</f>
        <v/>
      </c>
      <c r="AB4" s="21">
        <f>Defaults!AB4*Obligors!$G$4*Obligors!$H$4</f>
        <v/>
      </c>
      <c r="AC4" s="21">
        <f>Defaults!AC4*Obligors!$G$4*Obligors!$H$4</f>
        <v/>
      </c>
      <c r="AD4" s="21">
        <f>Defaults!AD4*Obligors!$G$4*Obligors!$H$4</f>
        <v/>
      </c>
      <c r="AE4" s="21">
        <f>Defaults!AE4*Obligors!$G$4*Obligors!$H$4</f>
        <v/>
      </c>
      <c r="AF4" s="21">
        <f>Defaults!AF4*Obligors!$G$4*Obligors!$H$4</f>
        <v/>
      </c>
      <c r="AG4" s="21">
        <f>Defaults!AG4*Obligors!$G$4*Obligors!$H$4</f>
        <v/>
      </c>
      <c r="AH4" s="21">
        <f>Defaults!AH4*Obligors!$G$4*Obligors!$H$4</f>
        <v/>
      </c>
      <c r="AI4" s="21">
        <f>Defaults!AI4*Obligors!$G$4*Obligors!$H$4</f>
        <v/>
      </c>
      <c r="AJ4" s="21">
        <f>Defaults!AJ4*Obligors!$G$4*Obligors!$H$4</f>
        <v/>
      </c>
      <c r="AK4" s="21">
        <f>Defaults!AK4*Obligors!$G$4*Obligors!$H$4</f>
        <v/>
      </c>
      <c r="AL4" s="21">
        <f>Defaults!AL4*Obligors!$G$4*Obligors!$H$4</f>
        <v/>
      </c>
      <c r="AM4" s="21">
        <f>Defaults!AM4*Obligors!$G$4*Obligors!$H$4</f>
        <v/>
      </c>
      <c r="AN4" s="21">
        <f>Defaults!AN4*Obligors!$G$4*Obligors!$H$4</f>
        <v/>
      </c>
      <c r="AO4" s="21">
        <f>Defaults!AO4*Obligors!$G$4*Obligors!$H$4</f>
        <v/>
      </c>
      <c r="AP4" s="21">
        <f>Defaults!AP4*Obligors!$G$4*Obligors!$H$4</f>
        <v/>
      </c>
      <c r="AQ4" s="21">
        <f>Defaults!AQ4*Obligors!$G$4*Obligors!$H$4</f>
        <v/>
      </c>
      <c r="AR4" s="21">
        <f>Defaults!AR4*Obligors!$G$4*Obligors!$H$4</f>
        <v/>
      </c>
      <c r="AS4" s="21">
        <f>Defaults!AS4*Obligors!$G$4*Obligors!$H$4</f>
        <v/>
      </c>
      <c r="AT4" s="21">
        <f>Defaults!AT4*Obligors!$G$4*Obligors!$H$4</f>
        <v/>
      </c>
      <c r="AU4" s="21">
        <f>Defaults!AU4*Obligors!$G$4*Obligors!$H$4</f>
        <v/>
      </c>
      <c r="AV4" s="21">
        <f>Defaults!AV4*Obligors!$G$4*Obligors!$H$4</f>
        <v/>
      </c>
      <c r="AW4" s="21">
        <f>Defaults!AW4*Obligors!$G$4*Obligors!$H$4</f>
        <v/>
      </c>
      <c r="AX4" s="21">
        <f>Defaults!AX4*Obligors!$G$4*Obligors!$H$4</f>
        <v/>
      </c>
      <c r="AY4" s="21">
        <f>Defaults!AY4*Obligors!$G$4*Obligors!$H$4</f>
        <v/>
      </c>
      <c r="AZ4" s="21">
        <f>Defaults!AZ4*Obligors!$G$4*Obligors!$H$4</f>
        <v/>
      </c>
      <c r="BA4" s="21">
        <f>Defaults!BA4*Obligors!$G$4*Obligors!$H$4</f>
        <v/>
      </c>
      <c r="BB4" s="21">
        <f>Defaults!BB4*Obligors!$G$4*Obligors!$H$4</f>
        <v/>
      </c>
      <c r="BC4" s="21">
        <f>Defaults!BC4*Obligors!$G$4*Obligors!$H$4</f>
        <v/>
      </c>
      <c r="BD4" s="21">
        <f>Defaults!BD4*Obligors!$G$4*Obligors!$H$4</f>
        <v/>
      </c>
      <c r="BE4" s="21">
        <f>Defaults!BE4*Obligors!$G$4*Obligors!$H$4</f>
        <v/>
      </c>
      <c r="BF4" s="21">
        <f>Defaults!BF4*Obligors!$G$4*Obligors!$H$4</f>
        <v/>
      </c>
      <c r="BG4" s="21">
        <f>Defaults!BG4*Obligors!$G$4*Obligors!$H$4</f>
        <v/>
      </c>
      <c r="BH4" s="21">
        <f>Defaults!BH4*Obligors!$G$4*Obligors!$H$4</f>
        <v/>
      </c>
      <c r="BI4" s="21">
        <f>Defaults!BI4*Obligors!$G$4*Obligors!$H$4</f>
        <v/>
      </c>
      <c r="BJ4" s="21">
        <f>Defaults!BJ4*Obligors!$G$4*Obligors!$H$4</f>
        <v/>
      </c>
      <c r="BK4" s="21">
        <f>Defaults!BK4*Obligors!$G$4*Obligors!$H$4</f>
        <v/>
      </c>
      <c r="BL4" s="21">
        <f>Defaults!BL4*Obligors!$G$4*Obligors!$H$4</f>
        <v/>
      </c>
      <c r="BM4" s="21">
        <f>Defaults!BM4*Obligors!$G$4*Obligors!$H$4</f>
        <v/>
      </c>
      <c r="BN4" s="21">
        <f>Defaults!BN4*Obligors!$G$4*Obligors!$H$4</f>
        <v/>
      </c>
      <c r="BO4" s="21">
        <f>Defaults!BO4*Obligors!$G$4*Obligors!$H$4</f>
        <v/>
      </c>
      <c r="BP4" s="21">
        <f>Defaults!BP4*Obligors!$G$4*Obligors!$H$4</f>
        <v/>
      </c>
      <c r="BQ4" s="21">
        <f>Defaults!BQ4*Obligors!$G$4*Obligors!$H$4</f>
        <v/>
      </c>
      <c r="BR4" s="21">
        <f>Defaults!BR4*Obligors!$G$4*Obligors!$H$4</f>
        <v/>
      </c>
      <c r="BS4" s="21">
        <f>Defaults!BS4*Obligors!$G$4*Obligors!$H$4</f>
        <v/>
      </c>
      <c r="BT4" s="21">
        <f>Defaults!BT4*Obligors!$G$4*Obligors!$H$4</f>
        <v/>
      </c>
      <c r="BU4" s="21">
        <f>Defaults!BU4*Obligors!$G$4*Obligors!$H$4</f>
        <v/>
      </c>
      <c r="BV4" s="21">
        <f>Defaults!BV4*Obligors!$G$4*Obligors!$H$4</f>
        <v/>
      </c>
      <c r="BW4" s="21">
        <f>Defaults!BW4*Obligors!$G$4*Obligors!$H$4</f>
        <v/>
      </c>
      <c r="BX4" s="21">
        <f>Defaults!BX4*Obligors!$G$4*Obligors!$H$4</f>
        <v/>
      </c>
      <c r="BY4" s="21">
        <f>Defaults!BY4*Obligors!$G$4*Obligors!$H$4</f>
        <v/>
      </c>
      <c r="BZ4" s="21">
        <f>Defaults!BZ4*Obligors!$G$4*Obligors!$H$4</f>
        <v/>
      </c>
      <c r="CA4" s="21">
        <f>Defaults!CA4*Obligors!$G$4*Obligors!$H$4</f>
        <v/>
      </c>
      <c r="CB4" s="21">
        <f>Defaults!CB4*Obligors!$G$4*Obligors!$H$4</f>
        <v/>
      </c>
      <c r="CC4" s="21">
        <f>Defaults!CC4*Obligors!$G$4*Obligors!$H$4</f>
        <v/>
      </c>
      <c r="CD4" s="21">
        <f>Defaults!CD4*Obligors!$G$4*Obligors!$H$4</f>
        <v/>
      </c>
      <c r="CE4" s="21">
        <f>Defaults!CE4*Obligors!$G$4*Obligors!$H$4</f>
        <v/>
      </c>
      <c r="CF4" s="21">
        <f>Defaults!CF4*Obligors!$G$4*Obligors!$H$4</f>
        <v/>
      </c>
      <c r="CG4" s="21">
        <f>Defaults!CG4*Obligors!$G$4*Obligors!$H$4</f>
        <v/>
      </c>
      <c r="CH4" s="21">
        <f>Defaults!CH4*Obligors!$G$4*Obligors!$H$4</f>
        <v/>
      </c>
      <c r="CI4" s="21">
        <f>Defaults!CI4*Obligors!$G$4*Obligors!$H$4</f>
        <v/>
      </c>
      <c r="CJ4" s="21">
        <f>Defaults!CJ4*Obligors!$G$4*Obligors!$H$4</f>
        <v/>
      </c>
      <c r="CK4" s="21">
        <f>Defaults!CK4*Obligors!$G$4*Obligors!$H$4</f>
        <v/>
      </c>
      <c r="CL4" s="21">
        <f>Defaults!CL4*Obligors!$G$4*Obligors!$H$4</f>
        <v/>
      </c>
      <c r="CM4" s="21">
        <f>Defaults!CM4*Obligors!$G$4*Obligors!$H$4</f>
        <v/>
      </c>
      <c r="CN4" s="21">
        <f>Defaults!CN4*Obligors!$G$4*Obligors!$H$4</f>
        <v/>
      </c>
      <c r="CO4" s="21">
        <f>Defaults!CO4*Obligors!$G$4*Obligors!$H$4</f>
        <v/>
      </c>
      <c r="CP4" s="21">
        <f>Defaults!CP4*Obligors!$G$4*Obligors!$H$4</f>
        <v/>
      </c>
      <c r="CQ4" s="21">
        <f>Defaults!CQ4*Obligors!$G$4*Obligors!$H$4</f>
        <v/>
      </c>
      <c r="CR4" s="21">
        <f>Defaults!CR4*Obligors!$G$4*Obligors!$H$4</f>
        <v/>
      </c>
      <c r="CS4" s="21">
        <f>Defaults!CS4*Obligors!$G$4*Obligors!$H$4</f>
        <v/>
      </c>
      <c r="CT4" s="21">
        <f>Defaults!CT4*Obligors!$G$4*Obligors!$H$4</f>
        <v/>
      </c>
      <c r="CU4" s="21">
        <f>Defaults!CU4*Obligors!$G$4*Obligors!$H$4</f>
        <v/>
      </c>
      <c r="CV4" s="21">
        <f>Defaults!CV4*Obligors!$G$4*Obligors!$H$4</f>
        <v/>
      </c>
      <c r="CW4" s="21">
        <f>Defaults!CW4*Obligors!$G$4*Obligors!$H$4</f>
        <v/>
      </c>
      <c r="CX4" s="21">
        <f>Defaults!CX4*Obligors!$G$4*Obligors!$H$4</f>
        <v/>
      </c>
      <c r="CY4" s="21">
        <f>Defaults!CY4*Obligors!$G$4*Obligors!$H$4</f>
        <v/>
      </c>
      <c r="CZ4" s="21">
        <f>Defaults!CZ4*Obligors!$G$4*Obligors!$H$4</f>
        <v/>
      </c>
      <c r="DA4" s="21">
        <f>Defaults!DA4*Obligors!$G$4*Obligors!$H$4</f>
        <v/>
      </c>
      <c r="DB4" s="21">
        <f>Defaults!DB4*Obligors!$G$4*Obligors!$H$4</f>
        <v/>
      </c>
      <c r="DC4" s="21">
        <f>Defaults!DC4*Obligors!$G$4*Obligors!$H$4</f>
        <v/>
      </c>
      <c r="DD4" s="21">
        <f>Defaults!DD4*Obligors!$G$4*Obligors!$H$4</f>
        <v/>
      </c>
      <c r="DE4" s="21">
        <f>Defaults!DE4*Obligors!$G$4*Obligors!$H$4</f>
        <v/>
      </c>
      <c r="DF4" s="21">
        <f>Defaults!DF4*Obligors!$G$4*Obligors!$H$4</f>
        <v/>
      </c>
      <c r="DG4" s="21">
        <f>Defaults!DG4*Obligors!$G$4*Obligors!$H$4</f>
        <v/>
      </c>
      <c r="DH4" s="21">
        <f>Defaults!DH4*Obligors!$G$4*Obligors!$H$4</f>
        <v/>
      </c>
      <c r="DI4" s="21">
        <f>Defaults!DI4*Obligors!$G$4*Obligors!$H$4</f>
        <v/>
      </c>
      <c r="DJ4" s="21">
        <f>Defaults!DJ4*Obligors!$G$4*Obligors!$H$4</f>
        <v/>
      </c>
      <c r="DK4" s="21">
        <f>Defaults!DK4*Obligors!$G$4*Obligors!$H$4</f>
        <v/>
      </c>
      <c r="DL4" s="21">
        <f>Defaults!DL4*Obligors!$G$4*Obligors!$H$4</f>
        <v/>
      </c>
      <c r="DM4" s="21">
        <f>Defaults!DM4*Obligors!$G$4*Obligors!$H$4</f>
        <v/>
      </c>
      <c r="DN4" s="21">
        <f>Defaults!DN4*Obligors!$G$4*Obligors!$H$4</f>
        <v/>
      </c>
      <c r="DO4" s="21">
        <f>Defaults!DO4*Obligors!$G$4*Obligors!$H$4</f>
        <v/>
      </c>
      <c r="DP4" s="21">
        <f>Defaults!DP4*Obligors!$G$4*Obligors!$H$4</f>
        <v/>
      </c>
      <c r="DQ4" s="21">
        <f>Defaults!DQ4*Obligors!$G$4*Obligors!$H$4</f>
        <v/>
      </c>
      <c r="DR4" s="21">
        <f>Defaults!DR4*Obligors!$G$4*Obligors!$H$4</f>
        <v/>
      </c>
      <c r="DS4" s="21">
        <f>Defaults!DS4*Obligors!$G$4*Obligors!$H$4</f>
        <v/>
      </c>
      <c r="DT4" s="21">
        <f>Defaults!DT4*Obligors!$G$4*Obligors!$H$4</f>
        <v/>
      </c>
      <c r="DU4" s="21">
        <f>Defaults!DU4*Obligors!$G$4*Obligors!$H$4</f>
        <v/>
      </c>
      <c r="DV4" s="21">
        <f>Defaults!DV4*Obligors!$G$4*Obligors!$H$4</f>
        <v/>
      </c>
      <c r="DW4" s="21">
        <f>Defaults!DW4*Obligors!$G$4*Obligors!$H$4</f>
        <v/>
      </c>
      <c r="DX4" s="21">
        <f>Defaults!DX4*Obligors!$G$4*Obligors!$H$4</f>
        <v/>
      </c>
      <c r="DY4" s="21">
        <f>Defaults!DY4*Obligors!$G$4*Obligors!$H$4</f>
        <v/>
      </c>
      <c r="DZ4" s="21">
        <f>Defaults!DZ4*Obligors!$G$4*Obligors!$H$4</f>
        <v/>
      </c>
      <c r="EA4" s="21">
        <f>Defaults!EA4*Obligors!$G$4*Obligors!$H$4</f>
        <v/>
      </c>
      <c r="EB4" s="21">
        <f>Defaults!EB4*Obligors!$G$4*Obligors!$H$4</f>
        <v/>
      </c>
      <c r="EC4" s="21">
        <f>Defaults!EC4*Obligors!$G$4*Obligors!$H$4</f>
        <v/>
      </c>
      <c r="ED4" s="21">
        <f>Defaults!ED4*Obligors!$G$4*Obligors!$H$4</f>
        <v/>
      </c>
      <c r="EE4" s="21">
        <f>Defaults!EE4*Obligors!$G$4*Obligors!$H$4</f>
        <v/>
      </c>
      <c r="EF4" s="21">
        <f>Defaults!EF4*Obligors!$G$4*Obligors!$H$4</f>
        <v/>
      </c>
      <c r="EG4" s="21">
        <f>Defaults!EG4*Obligors!$G$4*Obligors!$H$4</f>
        <v/>
      </c>
      <c r="EH4" s="21">
        <f>Defaults!EH4*Obligors!$G$4*Obligors!$H$4</f>
        <v/>
      </c>
      <c r="EI4" s="21">
        <f>Defaults!EI4*Obligors!$G$4*Obligors!$H$4</f>
        <v/>
      </c>
      <c r="EJ4" s="21">
        <f>Defaults!EJ4*Obligors!$G$4*Obligors!$H$4</f>
        <v/>
      </c>
      <c r="EK4" s="21">
        <f>Defaults!EK4*Obligors!$G$4*Obligors!$H$4</f>
        <v/>
      </c>
      <c r="EL4" s="21">
        <f>Defaults!EL4*Obligors!$G$4*Obligors!$H$4</f>
        <v/>
      </c>
      <c r="EM4" s="21">
        <f>Defaults!EM4*Obligors!$G$4*Obligors!$H$4</f>
        <v/>
      </c>
      <c r="EN4" s="21">
        <f>Defaults!EN4*Obligors!$G$4*Obligors!$H$4</f>
        <v/>
      </c>
      <c r="EO4" s="21">
        <f>Defaults!EO4*Obligors!$G$4*Obligors!$H$4</f>
        <v/>
      </c>
      <c r="EP4" s="21">
        <f>Defaults!EP4*Obligors!$G$4*Obligors!$H$4</f>
        <v/>
      </c>
      <c r="EQ4" s="21">
        <f>Defaults!EQ4*Obligors!$G$4*Obligors!$H$4</f>
        <v/>
      </c>
      <c r="ER4" s="21">
        <f>Defaults!ER4*Obligors!$G$4*Obligors!$H$4</f>
        <v/>
      </c>
      <c r="ES4" s="21">
        <f>Defaults!ES4*Obligors!$G$4*Obligors!$H$4</f>
        <v/>
      </c>
      <c r="ET4" s="21">
        <f>Defaults!ET4*Obligors!$G$4*Obligors!$H$4</f>
        <v/>
      </c>
      <c r="EU4" s="21">
        <f>Defaults!EU4*Obligors!$G$4*Obligors!$H$4</f>
        <v/>
      </c>
      <c r="EV4" s="21">
        <f>Defaults!EV4*Obligors!$G$4*Obligors!$H$4</f>
        <v/>
      </c>
      <c r="EW4" s="21">
        <f>Defaults!EW4*Obligors!$G$4*Obligors!$H$4</f>
        <v/>
      </c>
      <c r="EX4" s="21">
        <f>Defaults!EX4*Obligors!$G$4*Obligors!$H$4</f>
        <v/>
      </c>
      <c r="EY4" s="21">
        <f>Defaults!EY4*Obligors!$G$4*Obligors!$H$4</f>
        <v/>
      </c>
      <c r="EZ4" s="21">
        <f>Defaults!EZ4*Obligors!$G$4*Obligors!$H$4</f>
        <v/>
      </c>
      <c r="FA4" s="21">
        <f>Defaults!FA4*Obligors!$G$4*Obligors!$H$4</f>
        <v/>
      </c>
      <c r="FB4" s="21">
        <f>Defaults!FB4*Obligors!$G$4*Obligors!$H$4</f>
        <v/>
      </c>
      <c r="FC4" s="21">
        <f>Defaults!FC4*Obligors!$G$4*Obligors!$H$4</f>
        <v/>
      </c>
      <c r="FD4" s="21">
        <f>Defaults!FD4*Obligors!$G$4*Obligors!$H$4</f>
        <v/>
      </c>
      <c r="FE4" s="21">
        <f>Defaults!FE4*Obligors!$G$4*Obligors!$H$4</f>
        <v/>
      </c>
      <c r="FF4" s="21">
        <f>Defaults!FF4*Obligors!$G$4*Obligors!$H$4</f>
        <v/>
      </c>
      <c r="FG4" s="21">
        <f>Defaults!FG4*Obligors!$G$4*Obligors!$H$4</f>
        <v/>
      </c>
      <c r="FH4" s="21">
        <f>Defaults!FH4*Obligors!$G$4*Obligors!$H$4</f>
        <v/>
      </c>
      <c r="FI4" s="21">
        <f>Defaults!FI4*Obligors!$G$4*Obligors!$H$4</f>
        <v/>
      </c>
      <c r="FJ4" s="21">
        <f>Defaults!FJ4*Obligors!$G$4*Obligors!$H$4</f>
        <v/>
      </c>
      <c r="FK4" s="21">
        <f>Defaults!FK4*Obligors!$G$4*Obligors!$H$4</f>
        <v/>
      </c>
      <c r="FL4" s="21">
        <f>Defaults!FL4*Obligors!$G$4*Obligors!$H$4</f>
        <v/>
      </c>
      <c r="FM4" s="21">
        <f>Defaults!FM4*Obligors!$G$4*Obligors!$H$4</f>
        <v/>
      </c>
      <c r="FN4" s="21">
        <f>Defaults!FN4*Obligors!$G$4*Obligors!$H$4</f>
        <v/>
      </c>
      <c r="FO4" s="21">
        <f>Defaults!FO4*Obligors!$G$4*Obligors!$H$4</f>
        <v/>
      </c>
      <c r="FP4" s="21">
        <f>Defaults!FP4*Obligors!$G$4*Obligors!$H$4</f>
        <v/>
      </c>
      <c r="FQ4" s="21">
        <f>Defaults!FQ4*Obligors!$G$4*Obligors!$H$4</f>
        <v/>
      </c>
      <c r="FR4" s="21">
        <f>Defaults!FR4*Obligors!$G$4*Obligors!$H$4</f>
        <v/>
      </c>
      <c r="FS4" s="21">
        <f>Defaults!FS4*Obligors!$G$4*Obligors!$H$4</f>
        <v/>
      </c>
      <c r="FT4" s="21">
        <f>Defaults!FT4*Obligors!$G$4*Obligors!$H$4</f>
        <v/>
      </c>
      <c r="FU4" s="21">
        <f>Defaults!FU4*Obligors!$G$4*Obligors!$H$4</f>
        <v/>
      </c>
      <c r="FV4" s="21">
        <f>Defaults!FV4*Obligors!$G$4*Obligors!$H$4</f>
        <v/>
      </c>
      <c r="FW4" s="21">
        <f>Defaults!FW4*Obligors!$G$4*Obligors!$H$4</f>
        <v/>
      </c>
      <c r="FX4" s="21">
        <f>Defaults!FX4*Obligors!$G$4*Obligors!$H$4</f>
        <v/>
      </c>
      <c r="FY4" s="21">
        <f>Defaults!FY4*Obligors!$G$4*Obligors!$H$4</f>
        <v/>
      </c>
      <c r="FZ4" s="21">
        <f>Defaults!FZ4*Obligors!$G$4*Obligors!$H$4</f>
        <v/>
      </c>
      <c r="GA4" s="21">
        <f>Defaults!GA4*Obligors!$G$4*Obligors!$H$4</f>
        <v/>
      </c>
      <c r="GB4" s="21">
        <f>Defaults!GB4*Obligors!$G$4*Obligors!$H$4</f>
        <v/>
      </c>
      <c r="GC4" s="21">
        <f>Defaults!GC4*Obligors!$G$4*Obligors!$H$4</f>
        <v/>
      </c>
      <c r="GD4" s="21">
        <f>Defaults!GD4*Obligors!$G$4*Obligors!$H$4</f>
        <v/>
      </c>
      <c r="GE4" s="21">
        <f>Defaults!GE4*Obligors!$G$4*Obligors!$H$4</f>
        <v/>
      </c>
      <c r="GF4" s="21">
        <f>Defaults!GF4*Obligors!$G$4*Obligors!$H$4</f>
        <v/>
      </c>
      <c r="GG4" s="21">
        <f>Defaults!GG4*Obligors!$G$4*Obligors!$H$4</f>
        <v/>
      </c>
      <c r="GH4" s="21">
        <f>Defaults!GH4*Obligors!$G$4*Obligors!$H$4</f>
        <v/>
      </c>
      <c r="GI4" s="21">
        <f>Defaults!GI4*Obligors!$G$4*Obligors!$H$4</f>
        <v/>
      </c>
      <c r="GJ4" s="21">
        <f>Defaults!GJ4*Obligors!$G$4*Obligors!$H$4</f>
        <v/>
      </c>
      <c r="GK4" s="21">
        <f>Defaults!GK4*Obligors!$G$4*Obligors!$H$4</f>
        <v/>
      </c>
      <c r="GL4" s="21">
        <f>Defaults!GL4*Obligors!$G$4*Obligors!$H$4</f>
        <v/>
      </c>
      <c r="GM4" s="21">
        <f>Defaults!GM4*Obligors!$G$4*Obligors!$H$4</f>
        <v/>
      </c>
      <c r="GN4" s="21">
        <f>Defaults!GN4*Obligors!$G$4*Obligors!$H$4</f>
        <v/>
      </c>
      <c r="GO4" s="21">
        <f>Defaults!GO4*Obligors!$G$4*Obligors!$H$4</f>
        <v/>
      </c>
      <c r="GP4" s="21">
        <f>Defaults!GP4*Obligors!$G$4*Obligors!$H$4</f>
        <v/>
      </c>
      <c r="GQ4" s="21">
        <f>Defaults!GQ4*Obligors!$G$4*Obligors!$H$4</f>
        <v/>
      </c>
      <c r="GR4" s="21">
        <f>Defaults!GR4*Obligors!$G$4*Obligors!$H$4</f>
        <v/>
      </c>
      <c r="GS4" s="21">
        <f>Defaults!GS4*Obligors!$G$4*Obligors!$H$4</f>
        <v/>
      </c>
      <c r="GT4" s="21">
        <f>Defaults!GT4*Obligors!$G$4*Obligors!$H$4</f>
        <v/>
      </c>
      <c r="GU4" s="21">
        <f>Defaults!GU4*Obligors!$G$4*Obligors!$H$4</f>
        <v/>
      </c>
      <c r="GV4" s="21">
        <f>Defaults!GV4*Obligors!$G$4*Obligors!$H$4</f>
        <v/>
      </c>
      <c r="GW4" s="21">
        <f>Defaults!GW4*Obligors!$G$4*Obligors!$H$4</f>
        <v/>
      </c>
      <c r="GX4" s="21">
        <f>Defaults!GX4*Obligors!$G$4*Obligors!$H$4</f>
        <v/>
      </c>
      <c r="GY4" s="21">
        <f>Defaults!GY4*Obligors!$G$4*Obligors!$H$4</f>
        <v/>
      </c>
      <c r="GZ4" s="21">
        <f>Defaults!GZ4*Obligors!$G$4*Obligors!$H$4</f>
        <v/>
      </c>
      <c r="HA4" s="21">
        <f>Defaults!HA4*Obligors!$G$4*Obligors!$H$4</f>
        <v/>
      </c>
      <c r="HB4" s="21">
        <f>Defaults!HB4*Obligors!$G$4*Obligors!$H$4</f>
        <v/>
      </c>
      <c r="HC4" s="21">
        <f>Defaults!HC4*Obligors!$G$4*Obligors!$H$4</f>
        <v/>
      </c>
      <c r="HD4" s="21">
        <f>Defaults!HD4*Obligors!$G$4*Obligors!$H$4</f>
        <v/>
      </c>
      <c r="HE4" s="21">
        <f>Defaults!HE4*Obligors!$G$4*Obligors!$H$4</f>
        <v/>
      </c>
      <c r="HF4" s="21">
        <f>Defaults!HF4*Obligors!$G$4*Obligors!$H$4</f>
        <v/>
      </c>
      <c r="HG4" s="21">
        <f>Defaults!HG4*Obligors!$G$4*Obligors!$H$4</f>
        <v/>
      </c>
      <c r="HH4" s="21">
        <f>Defaults!HH4*Obligors!$G$4*Obligors!$H$4</f>
        <v/>
      </c>
      <c r="HI4" s="21">
        <f>Defaults!HI4*Obligors!$G$4*Obligors!$H$4</f>
        <v/>
      </c>
      <c r="HJ4" s="21">
        <f>Defaults!HJ4*Obligors!$G$4*Obligors!$H$4</f>
        <v/>
      </c>
      <c r="HK4" s="21">
        <f>Defaults!HK4*Obligors!$G$4*Obligors!$H$4</f>
        <v/>
      </c>
      <c r="HL4" s="21">
        <f>Defaults!HL4*Obligors!$G$4*Obligors!$H$4</f>
        <v/>
      </c>
      <c r="HM4" s="21">
        <f>Defaults!HM4*Obligors!$G$4*Obligors!$H$4</f>
        <v/>
      </c>
      <c r="HN4" s="21">
        <f>Defaults!HN4*Obligors!$G$4*Obligors!$H$4</f>
        <v/>
      </c>
      <c r="HO4" s="21">
        <f>Defaults!HO4*Obligors!$G$4*Obligors!$H$4</f>
        <v/>
      </c>
      <c r="HP4" s="21">
        <f>Defaults!HP4*Obligors!$G$4*Obligors!$H$4</f>
        <v/>
      </c>
      <c r="HQ4" s="21">
        <f>Defaults!HQ4*Obligors!$G$4*Obligors!$H$4</f>
        <v/>
      </c>
      <c r="HR4" s="21">
        <f>Defaults!HR4*Obligors!$G$4*Obligors!$H$4</f>
        <v/>
      </c>
      <c r="HS4" s="21">
        <f>Defaults!HS4*Obligors!$G$4*Obligors!$H$4</f>
        <v/>
      </c>
      <c r="HT4" s="21">
        <f>Defaults!HT4*Obligors!$G$4*Obligors!$H$4</f>
        <v/>
      </c>
      <c r="HU4" s="21">
        <f>Defaults!HU4*Obligors!$G$4*Obligors!$H$4</f>
        <v/>
      </c>
      <c r="HV4" s="21">
        <f>Defaults!HV4*Obligors!$G$4*Obligors!$H$4</f>
        <v/>
      </c>
      <c r="HW4" s="21">
        <f>Defaults!HW4*Obligors!$G$4*Obligors!$H$4</f>
        <v/>
      </c>
      <c r="HX4" s="21">
        <f>Defaults!HX4*Obligors!$G$4*Obligors!$H$4</f>
        <v/>
      </c>
      <c r="HY4" s="21">
        <f>Defaults!HY4*Obligors!$G$4*Obligors!$H$4</f>
        <v/>
      </c>
      <c r="HZ4" s="21">
        <f>Defaults!HZ4*Obligors!$G$4*Obligors!$H$4</f>
        <v/>
      </c>
      <c r="IA4" s="21">
        <f>Defaults!IA4*Obligors!$G$4*Obligors!$H$4</f>
        <v/>
      </c>
      <c r="IB4" s="21">
        <f>Defaults!IB4*Obligors!$G$4*Obligors!$H$4</f>
        <v/>
      </c>
      <c r="IC4" s="21">
        <f>Defaults!IC4*Obligors!$G$4*Obligors!$H$4</f>
        <v/>
      </c>
      <c r="ID4" s="21">
        <f>Defaults!ID4*Obligors!$G$4*Obligors!$H$4</f>
        <v/>
      </c>
      <c r="IE4" s="21">
        <f>Defaults!IE4*Obligors!$G$4*Obligors!$H$4</f>
        <v/>
      </c>
      <c r="IF4" s="21">
        <f>Defaults!IF4*Obligors!$G$4*Obligors!$H$4</f>
        <v/>
      </c>
      <c r="IG4" s="21">
        <f>Defaults!IG4*Obligors!$G$4*Obligors!$H$4</f>
        <v/>
      </c>
      <c r="IH4" s="21">
        <f>Defaults!IH4*Obligors!$G$4*Obligors!$H$4</f>
        <v/>
      </c>
      <c r="II4" s="21">
        <f>Defaults!II4*Obligors!$G$4*Obligors!$H$4</f>
        <v/>
      </c>
      <c r="IJ4" s="21">
        <f>Defaults!IJ4*Obligors!$G$4*Obligors!$H$4</f>
        <v/>
      </c>
      <c r="IK4" s="21">
        <f>Defaults!IK4*Obligors!$G$4*Obligors!$H$4</f>
        <v/>
      </c>
      <c r="IL4" s="21">
        <f>Defaults!IL4*Obligors!$G$4*Obligors!$H$4</f>
        <v/>
      </c>
      <c r="IM4" s="21">
        <f>Defaults!IM4*Obligors!$G$4*Obligors!$H$4</f>
        <v/>
      </c>
      <c r="IN4" s="21">
        <f>Defaults!IN4*Obligors!$G$4*Obligors!$H$4</f>
        <v/>
      </c>
      <c r="IO4" s="21">
        <f>Defaults!IO4*Obligors!$G$4*Obligors!$H$4</f>
        <v/>
      </c>
      <c r="IP4" s="21">
        <f>Defaults!IP4*Obligors!$G$4*Obligors!$H$4</f>
        <v/>
      </c>
      <c r="IQ4" s="21">
        <f>Defaults!IQ4*Obligors!$G$4*Obligors!$H$4</f>
        <v/>
      </c>
      <c r="IR4" s="21">
        <f>Defaults!IR4*Obligors!$G$4*Obligors!$H$4</f>
        <v/>
      </c>
      <c r="IS4" s="21">
        <f>Defaults!IS4*Obligors!$G$4*Obligors!$H$4</f>
        <v/>
      </c>
      <c r="IT4" s="21">
        <f>Defaults!IT4*Obligors!$G$4*Obligors!$H$4</f>
        <v/>
      </c>
      <c r="IU4" s="21">
        <f>Defaults!IU4*Obligors!$G$4*Obligors!$H$4</f>
        <v/>
      </c>
      <c r="IV4" s="21">
        <f>Defaults!IV4*Obligors!$G$4*Obligors!$H$4</f>
        <v/>
      </c>
      <c r="IW4" s="21">
        <f>Defaults!IW4*Obligors!$G$4*Obligors!$H$4</f>
        <v/>
      </c>
      <c r="IX4" s="21">
        <f>Defaults!IX4*Obligors!$G$4*Obligors!$H$4</f>
        <v/>
      </c>
      <c r="IY4" s="21">
        <f>Defaults!IY4*Obligors!$G$4*Obligors!$H$4</f>
        <v/>
      </c>
      <c r="IZ4" s="21">
        <f>Defaults!IZ4*Obligors!$G$4*Obligors!$H$4</f>
        <v/>
      </c>
      <c r="JA4" s="21">
        <f>Defaults!JA4*Obligors!$G$4*Obligors!$H$4</f>
        <v/>
      </c>
      <c r="JB4" s="21">
        <f>Defaults!JB4*Obligors!$G$4*Obligors!$H$4</f>
        <v/>
      </c>
      <c r="JC4" s="21">
        <f>Defaults!JC4*Obligors!$G$4*Obligors!$H$4</f>
        <v/>
      </c>
      <c r="JD4" s="21">
        <f>Defaults!JD4*Obligors!$G$4*Obligors!$H$4</f>
        <v/>
      </c>
      <c r="JE4" s="21">
        <f>Defaults!JE4*Obligors!$G$4*Obligors!$H$4</f>
        <v/>
      </c>
      <c r="JF4" s="21">
        <f>Defaults!JF4*Obligors!$G$4*Obligors!$H$4</f>
        <v/>
      </c>
      <c r="JG4" s="21">
        <f>Defaults!JG4*Obligors!$G$4*Obligors!$H$4</f>
        <v/>
      </c>
      <c r="JH4" s="21">
        <f>Defaults!JH4*Obligors!$G$4*Obligors!$H$4</f>
        <v/>
      </c>
      <c r="JI4" s="21">
        <f>Defaults!JI4*Obligors!$G$4*Obligors!$H$4</f>
        <v/>
      </c>
      <c r="JJ4" s="21">
        <f>Defaults!JJ4*Obligors!$G$4*Obligors!$H$4</f>
        <v/>
      </c>
      <c r="JK4" s="21">
        <f>Defaults!JK4*Obligors!$G$4*Obligors!$H$4</f>
        <v/>
      </c>
      <c r="JL4" s="21">
        <f>Defaults!JL4*Obligors!$G$4*Obligors!$H$4</f>
        <v/>
      </c>
      <c r="JM4" s="21">
        <f>Defaults!JM4*Obligors!$G$4*Obligors!$H$4</f>
        <v/>
      </c>
      <c r="JN4" s="21">
        <f>Defaults!JN4*Obligors!$G$4*Obligors!$H$4</f>
        <v/>
      </c>
      <c r="JO4" s="21">
        <f>Defaults!JO4*Obligors!$G$4*Obligors!$H$4</f>
        <v/>
      </c>
      <c r="JP4" s="21">
        <f>Defaults!JP4*Obligors!$G$4*Obligors!$H$4</f>
        <v/>
      </c>
      <c r="JQ4" s="21">
        <f>Defaults!JQ4*Obligors!$G$4*Obligors!$H$4</f>
        <v/>
      </c>
      <c r="JR4" s="21">
        <f>Defaults!JR4*Obligors!$G$4*Obligors!$H$4</f>
        <v/>
      </c>
      <c r="JS4" s="21">
        <f>Defaults!JS4*Obligors!$G$4*Obligors!$H$4</f>
        <v/>
      </c>
      <c r="JT4" s="21">
        <f>Defaults!JT4*Obligors!$G$4*Obligors!$H$4</f>
        <v/>
      </c>
      <c r="JU4" s="21">
        <f>Defaults!JU4*Obligors!$G$4*Obligors!$H$4</f>
        <v/>
      </c>
      <c r="JV4" s="21">
        <f>Defaults!JV4*Obligors!$G$4*Obligors!$H$4</f>
        <v/>
      </c>
      <c r="JW4" s="21">
        <f>Defaults!JW4*Obligors!$G$4*Obligors!$H$4</f>
        <v/>
      </c>
      <c r="JX4" s="21">
        <f>Defaults!JX4*Obligors!$G$4*Obligors!$H$4</f>
        <v/>
      </c>
      <c r="JY4" s="21">
        <f>Defaults!JY4*Obligors!$G$4*Obligors!$H$4</f>
        <v/>
      </c>
      <c r="JZ4" s="21">
        <f>Defaults!JZ4*Obligors!$G$4*Obligors!$H$4</f>
        <v/>
      </c>
      <c r="KA4" s="21">
        <f>Defaults!KA4*Obligors!$G$4*Obligors!$H$4</f>
        <v/>
      </c>
      <c r="KB4" s="21">
        <f>Defaults!KB4*Obligors!$G$4*Obligors!$H$4</f>
        <v/>
      </c>
      <c r="KC4" s="21">
        <f>Defaults!KC4*Obligors!$G$4*Obligors!$H$4</f>
        <v/>
      </c>
      <c r="KD4" s="21">
        <f>Defaults!KD4*Obligors!$G$4*Obligors!$H$4</f>
        <v/>
      </c>
      <c r="KE4" s="21">
        <f>Defaults!KE4*Obligors!$G$4*Obligors!$H$4</f>
        <v/>
      </c>
      <c r="KF4" s="21">
        <f>Defaults!KF4*Obligors!$G$4*Obligors!$H$4</f>
        <v/>
      </c>
      <c r="KG4" s="21">
        <f>Defaults!KG4*Obligors!$G$4*Obligors!$H$4</f>
        <v/>
      </c>
      <c r="KH4" s="21">
        <f>Defaults!KH4*Obligors!$G$4*Obligors!$H$4</f>
        <v/>
      </c>
      <c r="KI4" s="21">
        <f>Defaults!KI4*Obligors!$G$4*Obligors!$H$4</f>
        <v/>
      </c>
      <c r="KJ4" s="21">
        <f>Defaults!KJ4*Obligors!$G$4*Obligors!$H$4</f>
        <v/>
      </c>
      <c r="KK4" s="21">
        <f>Defaults!KK4*Obligors!$G$4*Obligors!$H$4</f>
        <v/>
      </c>
      <c r="KL4" s="21">
        <f>Defaults!KL4*Obligors!$G$4*Obligors!$H$4</f>
        <v/>
      </c>
      <c r="KM4" s="21">
        <f>Defaults!KM4*Obligors!$G$4*Obligors!$H$4</f>
        <v/>
      </c>
      <c r="KN4" s="21">
        <f>Defaults!KN4*Obligors!$G$4*Obligors!$H$4</f>
        <v/>
      </c>
      <c r="KO4" s="21">
        <f>Defaults!KO4*Obligors!$G$4*Obligors!$H$4</f>
        <v/>
      </c>
      <c r="KP4" s="21">
        <f>Defaults!KP4*Obligors!$G$4*Obligors!$H$4</f>
        <v/>
      </c>
      <c r="KQ4" s="21">
        <f>Defaults!KQ4*Obligors!$G$4*Obligors!$H$4</f>
        <v/>
      </c>
      <c r="KR4" s="21">
        <f>Defaults!KR4*Obligors!$G$4*Obligors!$H$4</f>
        <v/>
      </c>
      <c r="KS4" s="21">
        <f>Defaults!KS4*Obligors!$G$4*Obligors!$H$4</f>
        <v/>
      </c>
      <c r="KT4" s="21">
        <f>Defaults!KT4*Obligors!$G$4*Obligors!$H$4</f>
        <v/>
      </c>
      <c r="KU4" s="21">
        <f>Defaults!KU4*Obligors!$G$4*Obligors!$H$4</f>
        <v/>
      </c>
      <c r="KV4" s="21">
        <f>Defaults!KV4*Obligors!$G$4*Obligors!$H$4</f>
        <v/>
      </c>
      <c r="KW4" s="21">
        <f>Defaults!KW4*Obligors!$G$4*Obligors!$H$4</f>
        <v/>
      </c>
      <c r="KX4" s="21">
        <f>Defaults!KX4*Obligors!$G$4*Obligors!$H$4</f>
        <v/>
      </c>
      <c r="KY4" s="21">
        <f>Defaults!KY4*Obligors!$G$4*Obligors!$H$4</f>
        <v/>
      </c>
      <c r="KZ4" s="21">
        <f>Defaults!KZ4*Obligors!$G$4*Obligors!$H$4</f>
        <v/>
      </c>
      <c r="LA4" s="21">
        <f>Defaults!LA4*Obligors!$G$4*Obligors!$H$4</f>
        <v/>
      </c>
      <c r="LB4" s="21">
        <f>Defaults!LB4*Obligors!$G$4*Obligors!$H$4</f>
        <v/>
      </c>
      <c r="LC4" s="21">
        <f>Defaults!LC4*Obligors!$G$4*Obligors!$H$4</f>
        <v/>
      </c>
      <c r="LD4" s="21">
        <f>Defaults!LD4*Obligors!$G$4*Obligors!$H$4</f>
        <v/>
      </c>
      <c r="LE4" s="21">
        <f>Defaults!LE4*Obligors!$G$4*Obligors!$H$4</f>
        <v/>
      </c>
      <c r="LF4" s="21">
        <f>Defaults!LF4*Obligors!$G$4*Obligors!$H$4</f>
        <v/>
      </c>
      <c r="LG4" s="21">
        <f>Defaults!LG4*Obligors!$G$4*Obligors!$H$4</f>
        <v/>
      </c>
      <c r="LH4" s="21">
        <f>Defaults!LH4*Obligors!$G$4*Obligors!$H$4</f>
        <v/>
      </c>
      <c r="LI4" s="21">
        <f>Defaults!LI4*Obligors!$G$4*Obligors!$H$4</f>
        <v/>
      </c>
      <c r="LJ4" s="21">
        <f>Defaults!LJ4*Obligors!$G$4*Obligors!$H$4</f>
        <v/>
      </c>
      <c r="LK4" s="21">
        <f>Defaults!LK4*Obligors!$G$4*Obligors!$H$4</f>
        <v/>
      </c>
      <c r="LL4" s="21">
        <f>Defaults!LL4*Obligors!$G$4*Obligors!$H$4</f>
        <v/>
      </c>
      <c r="LM4" s="21">
        <f>Defaults!LM4*Obligors!$G$4*Obligors!$H$4</f>
        <v/>
      </c>
      <c r="LN4" s="21">
        <f>Defaults!LN4*Obligors!$G$4*Obligors!$H$4</f>
        <v/>
      </c>
      <c r="LO4" s="21">
        <f>Defaults!LO4*Obligors!$G$4*Obligors!$H$4</f>
        <v/>
      </c>
      <c r="LP4" s="21">
        <f>Defaults!LP4*Obligors!$G$4*Obligors!$H$4</f>
        <v/>
      </c>
      <c r="LQ4" s="21">
        <f>Defaults!LQ4*Obligors!$G$4*Obligors!$H$4</f>
        <v/>
      </c>
      <c r="LR4" s="21">
        <f>Defaults!LR4*Obligors!$G$4*Obligors!$H$4</f>
        <v/>
      </c>
      <c r="LS4" s="21">
        <f>Defaults!LS4*Obligors!$G$4*Obligors!$H$4</f>
        <v/>
      </c>
      <c r="LT4" s="21">
        <f>Defaults!LT4*Obligors!$G$4*Obligors!$H$4</f>
        <v/>
      </c>
      <c r="LU4" s="21">
        <f>Defaults!LU4*Obligors!$G$4*Obligors!$H$4</f>
        <v/>
      </c>
      <c r="LV4" s="21">
        <f>Defaults!LV4*Obligors!$G$4*Obligors!$H$4</f>
        <v/>
      </c>
      <c r="LW4" s="21">
        <f>Defaults!LW4*Obligors!$G$4*Obligors!$H$4</f>
        <v/>
      </c>
      <c r="LX4" s="21">
        <f>Defaults!LX4*Obligors!$G$4*Obligors!$H$4</f>
        <v/>
      </c>
      <c r="LY4" s="21">
        <f>Defaults!LY4*Obligors!$G$4*Obligors!$H$4</f>
        <v/>
      </c>
      <c r="LZ4" s="21">
        <f>Defaults!LZ4*Obligors!$G$4*Obligors!$H$4</f>
        <v/>
      </c>
      <c r="MA4" s="21">
        <f>Defaults!MA4*Obligors!$G$4*Obligors!$H$4</f>
        <v/>
      </c>
      <c r="MB4" s="21">
        <f>Defaults!MB4*Obligors!$G$4*Obligors!$H$4</f>
        <v/>
      </c>
      <c r="MC4" s="21">
        <f>Defaults!MC4*Obligors!$G$4*Obligors!$H$4</f>
        <v/>
      </c>
      <c r="MD4" s="21">
        <f>Defaults!MD4*Obligors!$G$4*Obligors!$H$4</f>
        <v/>
      </c>
      <c r="ME4" s="21">
        <f>Defaults!ME4*Obligors!$G$4*Obligors!$H$4</f>
        <v/>
      </c>
      <c r="MF4" s="21">
        <f>Defaults!MF4*Obligors!$G$4*Obligors!$H$4</f>
        <v/>
      </c>
      <c r="MG4" s="21">
        <f>Defaults!MG4*Obligors!$G$4*Obligors!$H$4</f>
        <v/>
      </c>
      <c r="MH4" s="21">
        <f>Defaults!MH4*Obligors!$G$4*Obligors!$H$4</f>
        <v/>
      </c>
      <c r="MI4" s="21">
        <f>Defaults!MI4*Obligors!$G$4*Obligors!$H$4</f>
        <v/>
      </c>
      <c r="MJ4" s="21">
        <f>Defaults!MJ4*Obligors!$G$4*Obligors!$H$4</f>
        <v/>
      </c>
      <c r="MK4" s="21">
        <f>Defaults!MK4*Obligors!$G$4*Obligors!$H$4</f>
        <v/>
      </c>
      <c r="ML4" s="21">
        <f>Defaults!ML4*Obligors!$G$4*Obligors!$H$4</f>
        <v/>
      </c>
      <c r="MM4" s="21">
        <f>Defaults!MM4*Obligors!$G$4*Obligors!$H$4</f>
        <v/>
      </c>
      <c r="MN4" s="21">
        <f>Defaults!MN4*Obligors!$G$4*Obligors!$H$4</f>
        <v/>
      </c>
      <c r="MO4" s="21">
        <f>Defaults!MO4*Obligors!$G$4*Obligors!$H$4</f>
        <v/>
      </c>
      <c r="MP4" s="21">
        <f>Defaults!MP4*Obligors!$G$4*Obligors!$H$4</f>
        <v/>
      </c>
      <c r="MQ4" s="21">
        <f>Defaults!MQ4*Obligors!$G$4*Obligors!$H$4</f>
        <v/>
      </c>
      <c r="MR4" s="21">
        <f>Defaults!MR4*Obligors!$G$4*Obligors!$H$4</f>
        <v/>
      </c>
      <c r="MS4" s="21">
        <f>Defaults!MS4*Obligors!$G$4*Obligors!$H$4</f>
        <v/>
      </c>
      <c r="MT4" s="21">
        <f>Defaults!MT4*Obligors!$G$4*Obligors!$H$4</f>
        <v/>
      </c>
      <c r="MU4" s="21">
        <f>Defaults!MU4*Obligors!$G$4*Obligors!$H$4</f>
        <v/>
      </c>
      <c r="MV4" s="21">
        <f>Defaults!MV4*Obligors!$G$4*Obligors!$H$4</f>
        <v/>
      </c>
      <c r="MW4" s="21">
        <f>Defaults!MW4*Obligors!$G$4*Obligors!$H$4</f>
        <v/>
      </c>
      <c r="MX4" s="21">
        <f>Defaults!MX4*Obligors!$G$4*Obligors!$H$4</f>
        <v/>
      </c>
      <c r="MY4" s="21">
        <f>Defaults!MY4*Obligors!$G$4*Obligors!$H$4</f>
        <v/>
      </c>
      <c r="MZ4" s="21">
        <f>Defaults!MZ4*Obligors!$G$4*Obligors!$H$4</f>
        <v/>
      </c>
      <c r="NA4" s="21">
        <f>Defaults!NA4*Obligors!$G$4*Obligors!$H$4</f>
        <v/>
      </c>
      <c r="NB4" s="21">
        <f>Defaults!NB4*Obligors!$G$4*Obligors!$H$4</f>
        <v/>
      </c>
      <c r="NC4" s="21">
        <f>Defaults!NC4*Obligors!$G$4*Obligors!$H$4</f>
        <v/>
      </c>
      <c r="ND4" s="21">
        <f>Defaults!ND4*Obligors!$G$4*Obligors!$H$4</f>
        <v/>
      </c>
      <c r="NE4" s="21">
        <f>Defaults!NE4*Obligors!$G$4*Obligors!$H$4</f>
        <v/>
      </c>
      <c r="NF4" s="21">
        <f>Defaults!NF4*Obligors!$G$4*Obligors!$H$4</f>
        <v/>
      </c>
      <c r="NG4" s="21">
        <f>Defaults!NG4*Obligors!$G$4*Obligors!$H$4</f>
        <v/>
      </c>
      <c r="NH4" s="21">
        <f>Defaults!NH4*Obligors!$G$4*Obligors!$H$4</f>
        <v/>
      </c>
      <c r="NI4" s="21">
        <f>Defaults!NI4*Obligors!$G$4*Obligors!$H$4</f>
        <v/>
      </c>
      <c r="NJ4" s="21">
        <f>Defaults!NJ4*Obligors!$G$4*Obligors!$H$4</f>
        <v/>
      </c>
      <c r="NK4" s="21">
        <f>Defaults!NK4*Obligors!$G$4*Obligors!$H$4</f>
        <v/>
      </c>
      <c r="NL4" s="21">
        <f>Defaults!NL4*Obligors!$G$4*Obligors!$H$4</f>
        <v/>
      </c>
      <c r="NM4" s="21">
        <f>Defaults!NM4*Obligors!$G$4*Obligors!$H$4</f>
        <v/>
      </c>
      <c r="NN4" s="21">
        <f>Defaults!NN4*Obligors!$G$4*Obligors!$H$4</f>
        <v/>
      </c>
      <c r="NO4" s="21">
        <f>Defaults!NO4*Obligors!$G$4*Obligors!$H$4</f>
        <v/>
      </c>
      <c r="NP4" s="21">
        <f>Defaults!NP4*Obligors!$G$4*Obligors!$H$4</f>
        <v/>
      </c>
      <c r="NQ4" s="21">
        <f>Defaults!NQ4*Obligors!$G$4*Obligors!$H$4</f>
        <v/>
      </c>
      <c r="NR4" s="21">
        <f>Defaults!NR4*Obligors!$G$4*Obligors!$H$4</f>
        <v/>
      </c>
      <c r="NS4" s="21">
        <f>Defaults!NS4*Obligors!$G$4*Obligors!$H$4</f>
        <v/>
      </c>
      <c r="NT4" s="21">
        <f>Defaults!NT4*Obligors!$G$4*Obligors!$H$4</f>
        <v/>
      </c>
      <c r="NU4" s="21">
        <f>Defaults!NU4*Obligors!$G$4*Obligors!$H$4</f>
        <v/>
      </c>
      <c r="NV4" s="21">
        <f>Defaults!NV4*Obligors!$G$4*Obligors!$H$4</f>
        <v/>
      </c>
      <c r="NW4" s="21">
        <f>Defaults!NW4*Obligors!$G$4*Obligors!$H$4</f>
        <v/>
      </c>
      <c r="NX4" s="21">
        <f>Defaults!NX4*Obligors!$G$4*Obligors!$H$4</f>
        <v/>
      </c>
      <c r="NY4" s="21">
        <f>Defaults!NY4*Obligors!$G$4*Obligors!$H$4</f>
        <v/>
      </c>
      <c r="NZ4" s="21">
        <f>Defaults!NZ4*Obligors!$G$4*Obligors!$H$4</f>
        <v/>
      </c>
      <c r="OA4" s="21">
        <f>Defaults!OA4*Obligors!$G$4*Obligors!$H$4</f>
        <v/>
      </c>
      <c r="OB4" s="21">
        <f>Defaults!OB4*Obligors!$G$4*Obligors!$H$4</f>
        <v/>
      </c>
      <c r="OC4" s="21">
        <f>Defaults!OC4*Obligors!$G$4*Obligors!$H$4</f>
        <v/>
      </c>
      <c r="OD4" s="21">
        <f>Defaults!OD4*Obligors!$G$4*Obligors!$H$4</f>
        <v/>
      </c>
      <c r="OE4" s="21">
        <f>Defaults!OE4*Obligors!$G$4*Obligors!$H$4</f>
        <v/>
      </c>
      <c r="OF4" s="21">
        <f>Defaults!OF4*Obligors!$G$4*Obligors!$H$4</f>
        <v/>
      </c>
      <c r="OG4" s="21">
        <f>Defaults!OG4*Obligors!$G$4*Obligors!$H$4</f>
        <v/>
      </c>
      <c r="OH4" s="21">
        <f>Defaults!OH4*Obligors!$G$4*Obligors!$H$4</f>
        <v/>
      </c>
      <c r="OI4" s="21">
        <f>Defaults!OI4*Obligors!$G$4*Obligors!$H$4</f>
        <v/>
      </c>
      <c r="OJ4" s="21">
        <f>Defaults!OJ4*Obligors!$G$4*Obligors!$H$4</f>
        <v/>
      </c>
      <c r="OK4" s="21">
        <f>Defaults!OK4*Obligors!$G$4*Obligors!$H$4</f>
        <v/>
      </c>
      <c r="OL4" s="21">
        <f>Defaults!OL4*Obligors!$G$4*Obligors!$H$4</f>
        <v/>
      </c>
      <c r="OM4" s="21">
        <f>Defaults!OM4*Obligors!$G$4*Obligors!$H$4</f>
        <v/>
      </c>
      <c r="ON4" s="21">
        <f>Defaults!ON4*Obligors!$G$4*Obligors!$H$4</f>
        <v/>
      </c>
      <c r="OO4" s="21">
        <f>Defaults!OO4*Obligors!$G$4*Obligors!$H$4</f>
        <v/>
      </c>
      <c r="OP4" s="21">
        <f>Defaults!OP4*Obligors!$G$4*Obligors!$H$4</f>
        <v/>
      </c>
      <c r="OQ4" s="21">
        <f>Defaults!OQ4*Obligors!$G$4*Obligors!$H$4</f>
        <v/>
      </c>
      <c r="OR4" s="21">
        <f>Defaults!OR4*Obligors!$G$4*Obligors!$H$4</f>
        <v/>
      </c>
      <c r="OS4" s="21">
        <f>Defaults!OS4*Obligors!$G$4*Obligors!$H$4</f>
        <v/>
      </c>
      <c r="OT4" s="21">
        <f>Defaults!OT4*Obligors!$G$4*Obligors!$H$4</f>
        <v/>
      </c>
      <c r="OU4" s="21">
        <f>Defaults!OU4*Obligors!$G$4*Obligors!$H$4</f>
        <v/>
      </c>
      <c r="OV4" s="21">
        <f>Defaults!OV4*Obligors!$G$4*Obligors!$H$4</f>
        <v/>
      </c>
      <c r="OW4" s="21">
        <f>Defaults!OW4*Obligors!$G$4*Obligors!$H$4</f>
        <v/>
      </c>
      <c r="OX4" s="21">
        <f>Defaults!OX4*Obligors!$G$4*Obligors!$H$4</f>
        <v/>
      </c>
      <c r="OY4" s="21">
        <f>Defaults!OY4*Obligors!$G$4*Obligors!$H$4</f>
        <v/>
      </c>
      <c r="OZ4" s="21">
        <f>Defaults!OZ4*Obligors!$G$4*Obligors!$H$4</f>
        <v/>
      </c>
      <c r="PA4" s="21">
        <f>Defaults!PA4*Obligors!$G$4*Obligors!$H$4</f>
        <v/>
      </c>
      <c r="PB4" s="21">
        <f>Defaults!PB4*Obligors!$G$4*Obligors!$H$4</f>
        <v/>
      </c>
      <c r="PC4" s="21">
        <f>Defaults!PC4*Obligors!$G$4*Obligors!$H$4</f>
        <v/>
      </c>
      <c r="PD4" s="21">
        <f>Defaults!PD4*Obligors!$G$4*Obligors!$H$4</f>
        <v/>
      </c>
      <c r="PE4" s="21">
        <f>Defaults!PE4*Obligors!$G$4*Obligors!$H$4</f>
        <v/>
      </c>
      <c r="PF4" s="21">
        <f>Defaults!PF4*Obligors!$G$4*Obligors!$H$4</f>
        <v/>
      </c>
      <c r="PG4" s="21">
        <f>Defaults!PG4*Obligors!$G$4*Obligors!$H$4</f>
        <v/>
      </c>
      <c r="PH4" s="21">
        <f>Defaults!PH4*Obligors!$G$4*Obligors!$H$4</f>
        <v/>
      </c>
      <c r="PI4" s="21">
        <f>Defaults!PI4*Obligors!$G$4*Obligors!$H$4</f>
        <v/>
      </c>
      <c r="PJ4" s="21">
        <f>Defaults!PJ4*Obligors!$G$4*Obligors!$H$4</f>
        <v/>
      </c>
      <c r="PK4" s="21">
        <f>Defaults!PK4*Obligors!$G$4*Obligors!$H$4</f>
        <v/>
      </c>
      <c r="PL4" s="21">
        <f>Defaults!PL4*Obligors!$G$4*Obligors!$H$4</f>
        <v/>
      </c>
      <c r="PM4" s="21">
        <f>Defaults!PM4*Obligors!$G$4*Obligors!$H$4</f>
        <v/>
      </c>
      <c r="PN4" s="21">
        <f>Defaults!PN4*Obligors!$G$4*Obligors!$H$4</f>
        <v/>
      </c>
      <c r="PO4" s="21">
        <f>Defaults!PO4*Obligors!$G$4*Obligors!$H$4</f>
        <v/>
      </c>
      <c r="PP4" s="21">
        <f>Defaults!PP4*Obligors!$G$4*Obligors!$H$4</f>
        <v/>
      </c>
      <c r="PQ4" s="21">
        <f>Defaults!PQ4*Obligors!$G$4*Obligors!$H$4</f>
        <v/>
      </c>
      <c r="PR4" s="21">
        <f>Defaults!PR4*Obligors!$G$4*Obligors!$H$4</f>
        <v/>
      </c>
      <c r="PS4" s="21">
        <f>Defaults!PS4*Obligors!$G$4*Obligors!$H$4</f>
        <v/>
      </c>
      <c r="PT4" s="21">
        <f>Defaults!PT4*Obligors!$G$4*Obligors!$H$4</f>
        <v/>
      </c>
      <c r="PU4" s="21">
        <f>Defaults!PU4*Obligors!$G$4*Obligors!$H$4</f>
        <v/>
      </c>
      <c r="PV4" s="21">
        <f>Defaults!PV4*Obligors!$G$4*Obligors!$H$4</f>
        <v/>
      </c>
      <c r="PW4" s="21">
        <f>Defaults!PW4*Obligors!$G$4*Obligors!$H$4</f>
        <v/>
      </c>
      <c r="PX4" s="21">
        <f>Defaults!PX4*Obligors!$G$4*Obligors!$H$4</f>
        <v/>
      </c>
      <c r="PY4" s="21">
        <f>Defaults!PY4*Obligors!$G$4*Obligors!$H$4</f>
        <v/>
      </c>
      <c r="PZ4" s="21">
        <f>Defaults!PZ4*Obligors!$G$4*Obligors!$H$4</f>
        <v/>
      </c>
      <c r="QA4" s="21">
        <f>Defaults!QA4*Obligors!$G$4*Obligors!$H$4</f>
        <v/>
      </c>
      <c r="QB4" s="21">
        <f>Defaults!QB4*Obligors!$G$4*Obligors!$H$4</f>
        <v/>
      </c>
      <c r="QC4" s="21">
        <f>Defaults!QC4*Obligors!$G$4*Obligors!$H$4</f>
        <v/>
      </c>
      <c r="QD4" s="21">
        <f>Defaults!QD4*Obligors!$G$4*Obligors!$H$4</f>
        <v/>
      </c>
      <c r="QE4" s="21">
        <f>Defaults!QE4*Obligors!$G$4*Obligors!$H$4</f>
        <v/>
      </c>
      <c r="QF4" s="21">
        <f>Defaults!QF4*Obligors!$G$4*Obligors!$H$4</f>
        <v/>
      </c>
      <c r="QG4" s="21">
        <f>Defaults!QG4*Obligors!$G$4*Obligors!$H$4</f>
        <v/>
      </c>
      <c r="QH4" s="21">
        <f>Defaults!QH4*Obligors!$G$4*Obligors!$H$4</f>
        <v/>
      </c>
      <c r="QI4" s="21">
        <f>Defaults!QI4*Obligors!$G$4*Obligors!$H$4</f>
        <v/>
      </c>
      <c r="QJ4" s="21">
        <f>Defaults!QJ4*Obligors!$G$4*Obligors!$H$4</f>
        <v/>
      </c>
      <c r="QK4" s="21">
        <f>Defaults!QK4*Obligors!$G$4*Obligors!$H$4</f>
        <v/>
      </c>
      <c r="QL4" s="21">
        <f>Defaults!QL4*Obligors!$G$4*Obligors!$H$4</f>
        <v/>
      </c>
      <c r="QM4" s="21">
        <f>Defaults!QM4*Obligors!$G$4*Obligors!$H$4</f>
        <v/>
      </c>
      <c r="QN4" s="21">
        <f>Defaults!QN4*Obligors!$G$4*Obligors!$H$4</f>
        <v/>
      </c>
      <c r="QO4" s="21">
        <f>Defaults!QO4*Obligors!$G$4*Obligors!$H$4</f>
        <v/>
      </c>
      <c r="QP4" s="21">
        <f>Defaults!QP4*Obligors!$G$4*Obligors!$H$4</f>
        <v/>
      </c>
      <c r="QQ4" s="21">
        <f>Defaults!QQ4*Obligors!$G$4*Obligors!$H$4</f>
        <v/>
      </c>
      <c r="QR4" s="21">
        <f>Defaults!QR4*Obligors!$G$4*Obligors!$H$4</f>
        <v/>
      </c>
      <c r="QS4" s="21">
        <f>Defaults!QS4*Obligors!$G$4*Obligors!$H$4</f>
        <v/>
      </c>
      <c r="QT4" s="21">
        <f>Defaults!QT4*Obligors!$G$4*Obligors!$H$4</f>
        <v/>
      </c>
      <c r="QU4" s="21">
        <f>Defaults!QU4*Obligors!$G$4*Obligors!$H$4</f>
        <v/>
      </c>
      <c r="QV4" s="21">
        <f>Defaults!QV4*Obligors!$G$4*Obligors!$H$4</f>
        <v/>
      </c>
      <c r="QW4" s="21">
        <f>Defaults!QW4*Obligors!$G$4*Obligors!$H$4</f>
        <v/>
      </c>
      <c r="QX4" s="21">
        <f>Defaults!QX4*Obligors!$G$4*Obligors!$H$4</f>
        <v/>
      </c>
      <c r="QY4" s="21">
        <f>Defaults!QY4*Obligors!$G$4*Obligors!$H$4</f>
        <v/>
      </c>
      <c r="QZ4" s="21">
        <f>Defaults!QZ4*Obligors!$G$4*Obligors!$H$4</f>
        <v/>
      </c>
      <c r="RA4" s="21">
        <f>Defaults!RA4*Obligors!$G$4*Obligors!$H$4</f>
        <v/>
      </c>
      <c r="RB4" s="21">
        <f>Defaults!RB4*Obligors!$G$4*Obligors!$H$4</f>
        <v/>
      </c>
      <c r="RC4" s="21">
        <f>Defaults!RC4*Obligors!$G$4*Obligors!$H$4</f>
        <v/>
      </c>
      <c r="RD4" s="21">
        <f>Defaults!RD4*Obligors!$G$4*Obligors!$H$4</f>
        <v/>
      </c>
      <c r="RE4" s="21">
        <f>Defaults!RE4*Obligors!$G$4*Obligors!$H$4</f>
        <v/>
      </c>
      <c r="RF4" s="21">
        <f>Defaults!RF4*Obligors!$G$4*Obligors!$H$4</f>
        <v/>
      </c>
      <c r="RG4" s="21">
        <f>Defaults!RG4*Obligors!$G$4*Obligors!$H$4</f>
        <v/>
      </c>
      <c r="RH4" s="21">
        <f>Defaults!RH4*Obligors!$G$4*Obligors!$H$4</f>
        <v/>
      </c>
      <c r="RI4" s="21">
        <f>Defaults!RI4*Obligors!$G$4*Obligors!$H$4</f>
        <v/>
      </c>
      <c r="RJ4" s="21">
        <f>Defaults!RJ4*Obligors!$G$4*Obligors!$H$4</f>
        <v/>
      </c>
      <c r="RK4" s="21">
        <f>Defaults!RK4*Obligors!$G$4*Obligors!$H$4</f>
        <v/>
      </c>
      <c r="RL4" s="21">
        <f>Defaults!RL4*Obligors!$G$4*Obligors!$H$4</f>
        <v/>
      </c>
      <c r="RM4" s="21">
        <f>Defaults!RM4*Obligors!$G$4*Obligors!$H$4</f>
        <v/>
      </c>
      <c r="RN4" s="21">
        <f>Defaults!RN4*Obligors!$G$4*Obligors!$H$4</f>
        <v/>
      </c>
      <c r="RO4" s="21">
        <f>Defaults!RO4*Obligors!$G$4*Obligors!$H$4</f>
        <v/>
      </c>
      <c r="RP4" s="21">
        <f>Defaults!RP4*Obligors!$G$4*Obligors!$H$4</f>
        <v/>
      </c>
      <c r="RQ4" s="21">
        <f>Defaults!RQ4*Obligors!$G$4*Obligors!$H$4</f>
        <v/>
      </c>
      <c r="RR4" s="21">
        <f>Defaults!RR4*Obligors!$G$4*Obligors!$H$4</f>
        <v/>
      </c>
      <c r="RS4" s="21">
        <f>Defaults!RS4*Obligors!$G$4*Obligors!$H$4</f>
        <v/>
      </c>
      <c r="RT4" s="21">
        <f>Defaults!RT4*Obligors!$G$4*Obligors!$H$4</f>
        <v/>
      </c>
      <c r="RU4" s="21">
        <f>Defaults!RU4*Obligors!$G$4*Obligors!$H$4</f>
        <v/>
      </c>
      <c r="RV4" s="21">
        <f>Defaults!RV4*Obligors!$G$4*Obligors!$H$4</f>
        <v/>
      </c>
      <c r="RW4" s="21">
        <f>Defaults!RW4*Obligors!$G$4*Obligors!$H$4</f>
        <v/>
      </c>
      <c r="RX4" s="21">
        <f>Defaults!RX4*Obligors!$G$4*Obligors!$H$4</f>
        <v/>
      </c>
      <c r="RY4" s="21">
        <f>Defaults!RY4*Obligors!$G$4*Obligors!$H$4</f>
        <v/>
      </c>
      <c r="RZ4" s="21">
        <f>Defaults!RZ4*Obligors!$G$4*Obligors!$H$4</f>
        <v/>
      </c>
      <c r="SA4" s="21">
        <f>Defaults!SA4*Obligors!$G$4*Obligors!$H$4</f>
        <v/>
      </c>
      <c r="SB4" s="21">
        <f>Defaults!SB4*Obligors!$G$4*Obligors!$H$4</f>
        <v/>
      </c>
      <c r="SC4" s="21">
        <f>Defaults!SC4*Obligors!$G$4*Obligors!$H$4</f>
        <v/>
      </c>
      <c r="SD4" s="21">
        <f>Defaults!SD4*Obligors!$G$4*Obligors!$H$4</f>
        <v/>
      </c>
      <c r="SE4" s="21">
        <f>Defaults!SE4*Obligors!$G$4*Obligors!$H$4</f>
        <v/>
      </c>
      <c r="SF4" s="21">
        <f>Defaults!SF4*Obligors!$G$4*Obligors!$H$4</f>
        <v/>
      </c>
      <c r="SG4" s="21">
        <f>Defaults!SG4*Obligors!$G$4*Obligors!$H$4</f>
        <v/>
      </c>
    </row>
    <row r="5">
      <c r="A5" s="17" t="inlineStr">
        <is>
          <t>OBL-004</t>
        </is>
      </c>
      <c r="B5" s="21">
        <f>Defaults!B5*Obligors!$G$5*Obligors!$H$5</f>
        <v/>
      </c>
      <c r="C5" s="21">
        <f>Defaults!C5*Obligors!$G$5*Obligors!$H$5</f>
        <v/>
      </c>
      <c r="D5" s="21">
        <f>Defaults!D5*Obligors!$G$5*Obligors!$H$5</f>
        <v/>
      </c>
      <c r="E5" s="21">
        <f>Defaults!E5*Obligors!$G$5*Obligors!$H$5</f>
        <v/>
      </c>
      <c r="F5" s="21">
        <f>Defaults!F5*Obligors!$G$5*Obligors!$H$5</f>
        <v/>
      </c>
      <c r="G5" s="21">
        <f>Defaults!G5*Obligors!$G$5*Obligors!$H$5</f>
        <v/>
      </c>
      <c r="H5" s="21">
        <f>Defaults!H5*Obligors!$G$5*Obligors!$H$5</f>
        <v/>
      </c>
      <c r="I5" s="21">
        <f>Defaults!I5*Obligors!$G$5*Obligors!$H$5</f>
        <v/>
      </c>
      <c r="J5" s="21">
        <f>Defaults!J5*Obligors!$G$5*Obligors!$H$5</f>
        <v/>
      </c>
      <c r="K5" s="21">
        <f>Defaults!K5*Obligors!$G$5*Obligors!$H$5</f>
        <v/>
      </c>
      <c r="L5" s="21">
        <f>Defaults!L5*Obligors!$G$5*Obligors!$H$5</f>
        <v/>
      </c>
      <c r="M5" s="21">
        <f>Defaults!M5*Obligors!$G$5*Obligors!$H$5</f>
        <v/>
      </c>
      <c r="N5" s="21">
        <f>Defaults!N5*Obligors!$G$5*Obligors!$H$5</f>
        <v/>
      </c>
      <c r="O5" s="21">
        <f>Defaults!O5*Obligors!$G$5*Obligors!$H$5</f>
        <v/>
      </c>
      <c r="P5" s="21">
        <f>Defaults!P5*Obligors!$G$5*Obligors!$H$5</f>
        <v/>
      </c>
      <c r="Q5" s="21">
        <f>Defaults!Q5*Obligors!$G$5*Obligors!$H$5</f>
        <v/>
      </c>
      <c r="R5" s="21">
        <f>Defaults!R5*Obligors!$G$5*Obligors!$H$5</f>
        <v/>
      </c>
      <c r="S5" s="21">
        <f>Defaults!S5*Obligors!$G$5*Obligors!$H$5</f>
        <v/>
      </c>
      <c r="T5" s="21">
        <f>Defaults!T5*Obligors!$G$5*Obligors!$H$5</f>
        <v/>
      </c>
      <c r="U5" s="21">
        <f>Defaults!U5*Obligors!$G$5*Obligors!$H$5</f>
        <v/>
      </c>
      <c r="V5" s="21">
        <f>Defaults!V5*Obligors!$G$5*Obligors!$H$5</f>
        <v/>
      </c>
      <c r="W5" s="21">
        <f>Defaults!W5*Obligors!$G$5*Obligors!$H$5</f>
        <v/>
      </c>
      <c r="X5" s="21">
        <f>Defaults!X5*Obligors!$G$5*Obligors!$H$5</f>
        <v/>
      </c>
      <c r="Y5" s="21">
        <f>Defaults!Y5*Obligors!$G$5*Obligors!$H$5</f>
        <v/>
      </c>
      <c r="Z5" s="21">
        <f>Defaults!Z5*Obligors!$G$5*Obligors!$H$5</f>
        <v/>
      </c>
      <c r="AA5" s="21">
        <f>Defaults!AA5*Obligors!$G$5*Obligors!$H$5</f>
        <v/>
      </c>
      <c r="AB5" s="21">
        <f>Defaults!AB5*Obligors!$G$5*Obligors!$H$5</f>
        <v/>
      </c>
      <c r="AC5" s="21">
        <f>Defaults!AC5*Obligors!$G$5*Obligors!$H$5</f>
        <v/>
      </c>
      <c r="AD5" s="21">
        <f>Defaults!AD5*Obligors!$G$5*Obligors!$H$5</f>
        <v/>
      </c>
      <c r="AE5" s="21">
        <f>Defaults!AE5*Obligors!$G$5*Obligors!$H$5</f>
        <v/>
      </c>
      <c r="AF5" s="21">
        <f>Defaults!AF5*Obligors!$G$5*Obligors!$H$5</f>
        <v/>
      </c>
      <c r="AG5" s="21">
        <f>Defaults!AG5*Obligors!$G$5*Obligors!$H$5</f>
        <v/>
      </c>
      <c r="AH5" s="21">
        <f>Defaults!AH5*Obligors!$G$5*Obligors!$H$5</f>
        <v/>
      </c>
      <c r="AI5" s="21">
        <f>Defaults!AI5*Obligors!$G$5*Obligors!$H$5</f>
        <v/>
      </c>
      <c r="AJ5" s="21">
        <f>Defaults!AJ5*Obligors!$G$5*Obligors!$H$5</f>
        <v/>
      </c>
      <c r="AK5" s="21">
        <f>Defaults!AK5*Obligors!$G$5*Obligors!$H$5</f>
        <v/>
      </c>
      <c r="AL5" s="21">
        <f>Defaults!AL5*Obligors!$G$5*Obligors!$H$5</f>
        <v/>
      </c>
      <c r="AM5" s="21">
        <f>Defaults!AM5*Obligors!$G$5*Obligors!$H$5</f>
        <v/>
      </c>
      <c r="AN5" s="21">
        <f>Defaults!AN5*Obligors!$G$5*Obligors!$H$5</f>
        <v/>
      </c>
      <c r="AO5" s="21">
        <f>Defaults!AO5*Obligors!$G$5*Obligors!$H$5</f>
        <v/>
      </c>
      <c r="AP5" s="21">
        <f>Defaults!AP5*Obligors!$G$5*Obligors!$H$5</f>
        <v/>
      </c>
      <c r="AQ5" s="21">
        <f>Defaults!AQ5*Obligors!$G$5*Obligors!$H$5</f>
        <v/>
      </c>
      <c r="AR5" s="21">
        <f>Defaults!AR5*Obligors!$G$5*Obligors!$H$5</f>
        <v/>
      </c>
      <c r="AS5" s="21">
        <f>Defaults!AS5*Obligors!$G$5*Obligors!$H$5</f>
        <v/>
      </c>
      <c r="AT5" s="21">
        <f>Defaults!AT5*Obligors!$G$5*Obligors!$H$5</f>
        <v/>
      </c>
      <c r="AU5" s="21">
        <f>Defaults!AU5*Obligors!$G$5*Obligors!$H$5</f>
        <v/>
      </c>
      <c r="AV5" s="21">
        <f>Defaults!AV5*Obligors!$G$5*Obligors!$H$5</f>
        <v/>
      </c>
      <c r="AW5" s="21">
        <f>Defaults!AW5*Obligors!$G$5*Obligors!$H$5</f>
        <v/>
      </c>
      <c r="AX5" s="21">
        <f>Defaults!AX5*Obligors!$G$5*Obligors!$H$5</f>
        <v/>
      </c>
      <c r="AY5" s="21">
        <f>Defaults!AY5*Obligors!$G$5*Obligors!$H$5</f>
        <v/>
      </c>
      <c r="AZ5" s="21">
        <f>Defaults!AZ5*Obligors!$G$5*Obligors!$H$5</f>
        <v/>
      </c>
      <c r="BA5" s="21">
        <f>Defaults!BA5*Obligors!$G$5*Obligors!$H$5</f>
        <v/>
      </c>
      <c r="BB5" s="21">
        <f>Defaults!BB5*Obligors!$G$5*Obligors!$H$5</f>
        <v/>
      </c>
      <c r="BC5" s="21">
        <f>Defaults!BC5*Obligors!$G$5*Obligors!$H$5</f>
        <v/>
      </c>
      <c r="BD5" s="21">
        <f>Defaults!BD5*Obligors!$G$5*Obligors!$H$5</f>
        <v/>
      </c>
      <c r="BE5" s="21">
        <f>Defaults!BE5*Obligors!$G$5*Obligors!$H$5</f>
        <v/>
      </c>
      <c r="BF5" s="21">
        <f>Defaults!BF5*Obligors!$G$5*Obligors!$H$5</f>
        <v/>
      </c>
      <c r="BG5" s="21">
        <f>Defaults!BG5*Obligors!$G$5*Obligors!$H$5</f>
        <v/>
      </c>
      <c r="BH5" s="21">
        <f>Defaults!BH5*Obligors!$G$5*Obligors!$H$5</f>
        <v/>
      </c>
      <c r="BI5" s="21">
        <f>Defaults!BI5*Obligors!$G$5*Obligors!$H$5</f>
        <v/>
      </c>
      <c r="BJ5" s="21">
        <f>Defaults!BJ5*Obligors!$G$5*Obligors!$H$5</f>
        <v/>
      </c>
      <c r="BK5" s="21">
        <f>Defaults!BK5*Obligors!$G$5*Obligors!$H$5</f>
        <v/>
      </c>
      <c r="BL5" s="21">
        <f>Defaults!BL5*Obligors!$G$5*Obligors!$H$5</f>
        <v/>
      </c>
      <c r="BM5" s="21">
        <f>Defaults!BM5*Obligors!$G$5*Obligors!$H$5</f>
        <v/>
      </c>
      <c r="BN5" s="21">
        <f>Defaults!BN5*Obligors!$G$5*Obligors!$H$5</f>
        <v/>
      </c>
      <c r="BO5" s="21">
        <f>Defaults!BO5*Obligors!$G$5*Obligors!$H$5</f>
        <v/>
      </c>
      <c r="BP5" s="21">
        <f>Defaults!BP5*Obligors!$G$5*Obligors!$H$5</f>
        <v/>
      </c>
      <c r="BQ5" s="21">
        <f>Defaults!BQ5*Obligors!$G$5*Obligors!$H$5</f>
        <v/>
      </c>
      <c r="BR5" s="21">
        <f>Defaults!BR5*Obligors!$G$5*Obligors!$H$5</f>
        <v/>
      </c>
      <c r="BS5" s="21">
        <f>Defaults!BS5*Obligors!$G$5*Obligors!$H$5</f>
        <v/>
      </c>
      <c r="BT5" s="21">
        <f>Defaults!BT5*Obligors!$G$5*Obligors!$H$5</f>
        <v/>
      </c>
      <c r="BU5" s="21">
        <f>Defaults!BU5*Obligors!$G$5*Obligors!$H$5</f>
        <v/>
      </c>
      <c r="BV5" s="21">
        <f>Defaults!BV5*Obligors!$G$5*Obligors!$H$5</f>
        <v/>
      </c>
      <c r="BW5" s="21">
        <f>Defaults!BW5*Obligors!$G$5*Obligors!$H$5</f>
        <v/>
      </c>
      <c r="BX5" s="21">
        <f>Defaults!BX5*Obligors!$G$5*Obligors!$H$5</f>
        <v/>
      </c>
      <c r="BY5" s="21">
        <f>Defaults!BY5*Obligors!$G$5*Obligors!$H$5</f>
        <v/>
      </c>
      <c r="BZ5" s="21">
        <f>Defaults!BZ5*Obligors!$G$5*Obligors!$H$5</f>
        <v/>
      </c>
      <c r="CA5" s="21">
        <f>Defaults!CA5*Obligors!$G$5*Obligors!$H$5</f>
        <v/>
      </c>
      <c r="CB5" s="21">
        <f>Defaults!CB5*Obligors!$G$5*Obligors!$H$5</f>
        <v/>
      </c>
      <c r="CC5" s="21">
        <f>Defaults!CC5*Obligors!$G$5*Obligors!$H$5</f>
        <v/>
      </c>
      <c r="CD5" s="21">
        <f>Defaults!CD5*Obligors!$G$5*Obligors!$H$5</f>
        <v/>
      </c>
      <c r="CE5" s="21">
        <f>Defaults!CE5*Obligors!$G$5*Obligors!$H$5</f>
        <v/>
      </c>
      <c r="CF5" s="21">
        <f>Defaults!CF5*Obligors!$G$5*Obligors!$H$5</f>
        <v/>
      </c>
      <c r="CG5" s="21">
        <f>Defaults!CG5*Obligors!$G$5*Obligors!$H$5</f>
        <v/>
      </c>
      <c r="CH5" s="21">
        <f>Defaults!CH5*Obligors!$G$5*Obligors!$H$5</f>
        <v/>
      </c>
      <c r="CI5" s="21">
        <f>Defaults!CI5*Obligors!$G$5*Obligors!$H$5</f>
        <v/>
      </c>
      <c r="CJ5" s="21">
        <f>Defaults!CJ5*Obligors!$G$5*Obligors!$H$5</f>
        <v/>
      </c>
      <c r="CK5" s="21">
        <f>Defaults!CK5*Obligors!$G$5*Obligors!$H$5</f>
        <v/>
      </c>
      <c r="CL5" s="21">
        <f>Defaults!CL5*Obligors!$G$5*Obligors!$H$5</f>
        <v/>
      </c>
      <c r="CM5" s="21">
        <f>Defaults!CM5*Obligors!$G$5*Obligors!$H$5</f>
        <v/>
      </c>
      <c r="CN5" s="21">
        <f>Defaults!CN5*Obligors!$G$5*Obligors!$H$5</f>
        <v/>
      </c>
      <c r="CO5" s="21">
        <f>Defaults!CO5*Obligors!$G$5*Obligors!$H$5</f>
        <v/>
      </c>
      <c r="CP5" s="21">
        <f>Defaults!CP5*Obligors!$G$5*Obligors!$H$5</f>
        <v/>
      </c>
      <c r="CQ5" s="21">
        <f>Defaults!CQ5*Obligors!$G$5*Obligors!$H$5</f>
        <v/>
      </c>
      <c r="CR5" s="21">
        <f>Defaults!CR5*Obligors!$G$5*Obligors!$H$5</f>
        <v/>
      </c>
      <c r="CS5" s="21">
        <f>Defaults!CS5*Obligors!$G$5*Obligors!$H$5</f>
        <v/>
      </c>
      <c r="CT5" s="21">
        <f>Defaults!CT5*Obligors!$G$5*Obligors!$H$5</f>
        <v/>
      </c>
      <c r="CU5" s="21">
        <f>Defaults!CU5*Obligors!$G$5*Obligors!$H$5</f>
        <v/>
      </c>
      <c r="CV5" s="21">
        <f>Defaults!CV5*Obligors!$G$5*Obligors!$H$5</f>
        <v/>
      </c>
      <c r="CW5" s="21">
        <f>Defaults!CW5*Obligors!$G$5*Obligors!$H$5</f>
        <v/>
      </c>
      <c r="CX5" s="21">
        <f>Defaults!CX5*Obligors!$G$5*Obligors!$H$5</f>
        <v/>
      </c>
      <c r="CY5" s="21">
        <f>Defaults!CY5*Obligors!$G$5*Obligors!$H$5</f>
        <v/>
      </c>
      <c r="CZ5" s="21">
        <f>Defaults!CZ5*Obligors!$G$5*Obligors!$H$5</f>
        <v/>
      </c>
      <c r="DA5" s="21">
        <f>Defaults!DA5*Obligors!$G$5*Obligors!$H$5</f>
        <v/>
      </c>
      <c r="DB5" s="21">
        <f>Defaults!DB5*Obligors!$G$5*Obligors!$H$5</f>
        <v/>
      </c>
      <c r="DC5" s="21">
        <f>Defaults!DC5*Obligors!$G$5*Obligors!$H$5</f>
        <v/>
      </c>
      <c r="DD5" s="21">
        <f>Defaults!DD5*Obligors!$G$5*Obligors!$H$5</f>
        <v/>
      </c>
      <c r="DE5" s="21">
        <f>Defaults!DE5*Obligors!$G$5*Obligors!$H$5</f>
        <v/>
      </c>
      <c r="DF5" s="21">
        <f>Defaults!DF5*Obligors!$G$5*Obligors!$H$5</f>
        <v/>
      </c>
      <c r="DG5" s="21">
        <f>Defaults!DG5*Obligors!$G$5*Obligors!$H$5</f>
        <v/>
      </c>
      <c r="DH5" s="21">
        <f>Defaults!DH5*Obligors!$G$5*Obligors!$H$5</f>
        <v/>
      </c>
      <c r="DI5" s="21">
        <f>Defaults!DI5*Obligors!$G$5*Obligors!$H$5</f>
        <v/>
      </c>
      <c r="DJ5" s="21">
        <f>Defaults!DJ5*Obligors!$G$5*Obligors!$H$5</f>
        <v/>
      </c>
      <c r="DK5" s="21">
        <f>Defaults!DK5*Obligors!$G$5*Obligors!$H$5</f>
        <v/>
      </c>
      <c r="DL5" s="21">
        <f>Defaults!DL5*Obligors!$G$5*Obligors!$H$5</f>
        <v/>
      </c>
      <c r="DM5" s="21">
        <f>Defaults!DM5*Obligors!$G$5*Obligors!$H$5</f>
        <v/>
      </c>
      <c r="DN5" s="21">
        <f>Defaults!DN5*Obligors!$G$5*Obligors!$H$5</f>
        <v/>
      </c>
      <c r="DO5" s="21">
        <f>Defaults!DO5*Obligors!$G$5*Obligors!$H$5</f>
        <v/>
      </c>
      <c r="DP5" s="21">
        <f>Defaults!DP5*Obligors!$G$5*Obligors!$H$5</f>
        <v/>
      </c>
      <c r="DQ5" s="21">
        <f>Defaults!DQ5*Obligors!$G$5*Obligors!$H$5</f>
        <v/>
      </c>
      <c r="DR5" s="21">
        <f>Defaults!DR5*Obligors!$G$5*Obligors!$H$5</f>
        <v/>
      </c>
      <c r="DS5" s="21">
        <f>Defaults!DS5*Obligors!$G$5*Obligors!$H$5</f>
        <v/>
      </c>
      <c r="DT5" s="21">
        <f>Defaults!DT5*Obligors!$G$5*Obligors!$H$5</f>
        <v/>
      </c>
      <c r="DU5" s="21">
        <f>Defaults!DU5*Obligors!$G$5*Obligors!$H$5</f>
        <v/>
      </c>
      <c r="DV5" s="21">
        <f>Defaults!DV5*Obligors!$G$5*Obligors!$H$5</f>
        <v/>
      </c>
      <c r="DW5" s="21">
        <f>Defaults!DW5*Obligors!$G$5*Obligors!$H$5</f>
        <v/>
      </c>
      <c r="DX5" s="21">
        <f>Defaults!DX5*Obligors!$G$5*Obligors!$H$5</f>
        <v/>
      </c>
      <c r="DY5" s="21">
        <f>Defaults!DY5*Obligors!$G$5*Obligors!$H$5</f>
        <v/>
      </c>
      <c r="DZ5" s="21">
        <f>Defaults!DZ5*Obligors!$G$5*Obligors!$H$5</f>
        <v/>
      </c>
      <c r="EA5" s="21">
        <f>Defaults!EA5*Obligors!$G$5*Obligors!$H$5</f>
        <v/>
      </c>
      <c r="EB5" s="21">
        <f>Defaults!EB5*Obligors!$G$5*Obligors!$H$5</f>
        <v/>
      </c>
      <c r="EC5" s="21">
        <f>Defaults!EC5*Obligors!$G$5*Obligors!$H$5</f>
        <v/>
      </c>
      <c r="ED5" s="21">
        <f>Defaults!ED5*Obligors!$G$5*Obligors!$H$5</f>
        <v/>
      </c>
      <c r="EE5" s="21">
        <f>Defaults!EE5*Obligors!$G$5*Obligors!$H$5</f>
        <v/>
      </c>
      <c r="EF5" s="21">
        <f>Defaults!EF5*Obligors!$G$5*Obligors!$H$5</f>
        <v/>
      </c>
      <c r="EG5" s="21">
        <f>Defaults!EG5*Obligors!$G$5*Obligors!$H$5</f>
        <v/>
      </c>
      <c r="EH5" s="21">
        <f>Defaults!EH5*Obligors!$G$5*Obligors!$H$5</f>
        <v/>
      </c>
      <c r="EI5" s="21">
        <f>Defaults!EI5*Obligors!$G$5*Obligors!$H$5</f>
        <v/>
      </c>
      <c r="EJ5" s="21">
        <f>Defaults!EJ5*Obligors!$G$5*Obligors!$H$5</f>
        <v/>
      </c>
      <c r="EK5" s="21">
        <f>Defaults!EK5*Obligors!$G$5*Obligors!$H$5</f>
        <v/>
      </c>
      <c r="EL5" s="21">
        <f>Defaults!EL5*Obligors!$G$5*Obligors!$H$5</f>
        <v/>
      </c>
      <c r="EM5" s="21">
        <f>Defaults!EM5*Obligors!$G$5*Obligors!$H$5</f>
        <v/>
      </c>
      <c r="EN5" s="21">
        <f>Defaults!EN5*Obligors!$G$5*Obligors!$H$5</f>
        <v/>
      </c>
      <c r="EO5" s="21">
        <f>Defaults!EO5*Obligors!$G$5*Obligors!$H$5</f>
        <v/>
      </c>
      <c r="EP5" s="21">
        <f>Defaults!EP5*Obligors!$G$5*Obligors!$H$5</f>
        <v/>
      </c>
      <c r="EQ5" s="21">
        <f>Defaults!EQ5*Obligors!$G$5*Obligors!$H$5</f>
        <v/>
      </c>
      <c r="ER5" s="21">
        <f>Defaults!ER5*Obligors!$G$5*Obligors!$H$5</f>
        <v/>
      </c>
      <c r="ES5" s="21">
        <f>Defaults!ES5*Obligors!$G$5*Obligors!$H$5</f>
        <v/>
      </c>
      <c r="ET5" s="21">
        <f>Defaults!ET5*Obligors!$G$5*Obligors!$H$5</f>
        <v/>
      </c>
      <c r="EU5" s="21">
        <f>Defaults!EU5*Obligors!$G$5*Obligors!$H$5</f>
        <v/>
      </c>
      <c r="EV5" s="21">
        <f>Defaults!EV5*Obligors!$G$5*Obligors!$H$5</f>
        <v/>
      </c>
      <c r="EW5" s="21">
        <f>Defaults!EW5*Obligors!$G$5*Obligors!$H$5</f>
        <v/>
      </c>
      <c r="EX5" s="21">
        <f>Defaults!EX5*Obligors!$G$5*Obligors!$H$5</f>
        <v/>
      </c>
      <c r="EY5" s="21">
        <f>Defaults!EY5*Obligors!$G$5*Obligors!$H$5</f>
        <v/>
      </c>
      <c r="EZ5" s="21">
        <f>Defaults!EZ5*Obligors!$G$5*Obligors!$H$5</f>
        <v/>
      </c>
      <c r="FA5" s="21">
        <f>Defaults!FA5*Obligors!$G$5*Obligors!$H$5</f>
        <v/>
      </c>
      <c r="FB5" s="21">
        <f>Defaults!FB5*Obligors!$G$5*Obligors!$H$5</f>
        <v/>
      </c>
      <c r="FC5" s="21">
        <f>Defaults!FC5*Obligors!$G$5*Obligors!$H$5</f>
        <v/>
      </c>
      <c r="FD5" s="21">
        <f>Defaults!FD5*Obligors!$G$5*Obligors!$H$5</f>
        <v/>
      </c>
      <c r="FE5" s="21">
        <f>Defaults!FE5*Obligors!$G$5*Obligors!$H$5</f>
        <v/>
      </c>
      <c r="FF5" s="21">
        <f>Defaults!FF5*Obligors!$G$5*Obligors!$H$5</f>
        <v/>
      </c>
      <c r="FG5" s="21">
        <f>Defaults!FG5*Obligors!$G$5*Obligors!$H$5</f>
        <v/>
      </c>
      <c r="FH5" s="21">
        <f>Defaults!FH5*Obligors!$G$5*Obligors!$H$5</f>
        <v/>
      </c>
      <c r="FI5" s="21">
        <f>Defaults!FI5*Obligors!$G$5*Obligors!$H$5</f>
        <v/>
      </c>
      <c r="FJ5" s="21">
        <f>Defaults!FJ5*Obligors!$G$5*Obligors!$H$5</f>
        <v/>
      </c>
      <c r="FK5" s="21">
        <f>Defaults!FK5*Obligors!$G$5*Obligors!$H$5</f>
        <v/>
      </c>
      <c r="FL5" s="21">
        <f>Defaults!FL5*Obligors!$G$5*Obligors!$H$5</f>
        <v/>
      </c>
      <c r="FM5" s="21">
        <f>Defaults!FM5*Obligors!$G$5*Obligors!$H$5</f>
        <v/>
      </c>
      <c r="FN5" s="21">
        <f>Defaults!FN5*Obligors!$G$5*Obligors!$H$5</f>
        <v/>
      </c>
      <c r="FO5" s="21">
        <f>Defaults!FO5*Obligors!$G$5*Obligors!$H$5</f>
        <v/>
      </c>
      <c r="FP5" s="21">
        <f>Defaults!FP5*Obligors!$G$5*Obligors!$H$5</f>
        <v/>
      </c>
      <c r="FQ5" s="21">
        <f>Defaults!FQ5*Obligors!$G$5*Obligors!$H$5</f>
        <v/>
      </c>
      <c r="FR5" s="21">
        <f>Defaults!FR5*Obligors!$G$5*Obligors!$H$5</f>
        <v/>
      </c>
      <c r="FS5" s="21">
        <f>Defaults!FS5*Obligors!$G$5*Obligors!$H$5</f>
        <v/>
      </c>
      <c r="FT5" s="21">
        <f>Defaults!FT5*Obligors!$G$5*Obligors!$H$5</f>
        <v/>
      </c>
      <c r="FU5" s="21">
        <f>Defaults!FU5*Obligors!$G$5*Obligors!$H$5</f>
        <v/>
      </c>
      <c r="FV5" s="21">
        <f>Defaults!FV5*Obligors!$G$5*Obligors!$H$5</f>
        <v/>
      </c>
      <c r="FW5" s="21">
        <f>Defaults!FW5*Obligors!$G$5*Obligors!$H$5</f>
        <v/>
      </c>
      <c r="FX5" s="21">
        <f>Defaults!FX5*Obligors!$G$5*Obligors!$H$5</f>
        <v/>
      </c>
      <c r="FY5" s="21">
        <f>Defaults!FY5*Obligors!$G$5*Obligors!$H$5</f>
        <v/>
      </c>
      <c r="FZ5" s="21">
        <f>Defaults!FZ5*Obligors!$G$5*Obligors!$H$5</f>
        <v/>
      </c>
      <c r="GA5" s="21">
        <f>Defaults!GA5*Obligors!$G$5*Obligors!$H$5</f>
        <v/>
      </c>
      <c r="GB5" s="21">
        <f>Defaults!GB5*Obligors!$G$5*Obligors!$H$5</f>
        <v/>
      </c>
      <c r="GC5" s="21">
        <f>Defaults!GC5*Obligors!$G$5*Obligors!$H$5</f>
        <v/>
      </c>
      <c r="GD5" s="21">
        <f>Defaults!GD5*Obligors!$G$5*Obligors!$H$5</f>
        <v/>
      </c>
      <c r="GE5" s="21">
        <f>Defaults!GE5*Obligors!$G$5*Obligors!$H$5</f>
        <v/>
      </c>
      <c r="GF5" s="21">
        <f>Defaults!GF5*Obligors!$G$5*Obligors!$H$5</f>
        <v/>
      </c>
      <c r="GG5" s="21">
        <f>Defaults!GG5*Obligors!$G$5*Obligors!$H$5</f>
        <v/>
      </c>
      <c r="GH5" s="21">
        <f>Defaults!GH5*Obligors!$G$5*Obligors!$H$5</f>
        <v/>
      </c>
      <c r="GI5" s="21">
        <f>Defaults!GI5*Obligors!$G$5*Obligors!$H$5</f>
        <v/>
      </c>
      <c r="GJ5" s="21">
        <f>Defaults!GJ5*Obligors!$G$5*Obligors!$H$5</f>
        <v/>
      </c>
      <c r="GK5" s="21">
        <f>Defaults!GK5*Obligors!$G$5*Obligors!$H$5</f>
        <v/>
      </c>
      <c r="GL5" s="21">
        <f>Defaults!GL5*Obligors!$G$5*Obligors!$H$5</f>
        <v/>
      </c>
      <c r="GM5" s="21">
        <f>Defaults!GM5*Obligors!$G$5*Obligors!$H$5</f>
        <v/>
      </c>
      <c r="GN5" s="21">
        <f>Defaults!GN5*Obligors!$G$5*Obligors!$H$5</f>
        <v/>
      </c>
      <c r="GO5" s="21">
        <f>Defaults!GO5*Obligors!$G$5*Obligors!$H$5</f>
        <v/>
      </c>
      <c r="GP5" s="21">
        <f>Defaults!GP5*Obligors!$G$5*Obligors!$H$5</f>
        <v/>
      </c>
      <c r="GQ5" s="21">
        <f>Defaults!GQ5*Obligors!$G$5*Obligors!$H$5</f>
        <v/>
      </c>
      <c r="GR5" s="21">
        <f>Defaults!GR5*Obligors!$G$5*Obligors!$H$5</f>
        <v/>
      </c>
      <c r="GS5" s="21">
        <f>Defaults!GS5*Obligors!$G$5*Obligors!$H$5</f>
        <v/>
      </c>
      <c r="GT5" s="21">
        <f>Defaults!GT5*Obligors!$G$5*Obligors!$H$5</f>
        <v/>
      </c>
      <c r="GU5" s="21">
        <f>Defaults!GU5*Obligors!$G$5*Obligors!$H$5</f>
        <v/>
      </c>
      <c r="GV5" s="21">
        <f>Defaults!GV5*Obligors!$G$5*Obligors!$H$5</f>
        <v/>
      </c>
      <c r="GW5" s="21">
        <f>Defaults!GW5*Obligors!$G$5*Obligors!$H$5</f>
        <v/>
      </c>
      <c r="GX5" s="21">
        <f>Defaults!GX5*Obligors!$G$5*Obligors!$H$5</f>
        <v/>
      </c>
      <c r="GY5" s="21">
        <f>Defaults!GY5*Obligors!$G$5*Obligors!$H$5</f>
        <v/>
      </c>
      <c r="GZ5" s="21">
        <f>Defaults!GZ5*Obligors!$G$5*Obligors!$H$5</f>
        <v/>
      </c>
      <c r="HA5" s="21">
        <f>Defaults!HA5*Obligors!$G$5*Obligors!$H$5</f>
        <v/>
      </c>
      <c r="HB5" s="21">
        <f>Defaults!HB5*Obligors!$G$5*Obligors!$H$5</f>
        <v/>
      </c>
      <c r="HC5" s="21">
        <f>Defaults!HC5*Obligors!$G$5*Obligors!$H$5</f>
        <v/>
      </c>
      <c r="HD5" s="21">
        <f>Defaults!HD5*Obligors!$G$5*Obligors!$H$5</f>
        <v/>
      </c>
      <c r="HE5" s="21">
        <f>Defaults!HE5*Obligors!$G$5*Obligors!$H$5</f>
        <v/>
      </c>
      <c r="HF5" s="21">
        <f>Defaults!HF5*Obligors!$G$5*Obligors!$H$5</f>
        <v/>
      </c>
      <c r="HG5" s="21">
        <f>Defaults!HG5*Obligors!$G$5*Obligors!$H$5</f>
        <v/>
      </c>
      <c r="HH5" s="21">
        <f>Defaults!HH5*Obligors!$G$5*Obligors!$H$5</f>
        <v/>
      </c>
      <c r="HI5" s="21">
        <f>Defaults!HI5*Obligors!$G$5*Obligors!$H$5</f>
        <v/>
      </c>
      <c r="HJ5" s="21">
        <f>Defaults!HJ5*Obligors!$G$5*Obligors!$H$5</f>
        <v/>
      </c>
      <c r="HK5" s="21">
        <f>Defaults!HK5*Obligors!$G$5*Obligors!$H$5</f>
        <v/>
      </c>
      <c r="HL5" s="21">
        <f>Defaults!HL5*Obligors!$G$5*Obligors!$H$5</f>
        <v/>
      </c>
      <c r="HM5" s="21">
        <f>Defaults!HM5*Obligors!$G$5*Obligors!$H$5</f>
        <v/>
      </c>
      <c r="HN5" s="21">
        <f>Defaults!HN5*Obligors!$G$5*Obligors!$H$5</f>
        <v/>
      </c>
      <c r="HO5" s="21">
        <f>Defaults!HO5*Obligors!$G$5*Obligors!$H$5</f>
        <v/>
      </c>
      <c r="HP5" s="21">
        <f>Defaults!HP5*Obligors!$G$5*Obligors!$H$5</f>
        <v/>
      </c>
      <c r="HQ5" s="21">
        <f>Defaults!HQ5*Obligors!$G$5*Obligors!$H$5</f>
        <v/>
      </c>
      <c r="HR5" s="21">
        <f>Defaults!HR5*Obligors!$G$5*Obligors!$H$5</f>
        <v/>
      </c>
      <c r="HS5" s="21">
        <f>Defaults!HS5*Obligors!$G$5*Obligors!$H$5</f>
        <v/>
      </c>
      <c r="HT5" s="21">
        <f>Defaults!HT5*Obligors!$G$5*Obligors!$H$5</f>
        <v/>
      </c>
      <c r="HU5" s="21">
        <f>Defaults!HU5*Obligors!$G$5*Obligors!$H$5</f>
        <v/>
      </c>
      <c r="HV5" s="21">
        <f>Defaults!HV5*Obligors!$G$5*Obligors!$H$5</f>
        <v/>
      </c>
      <c r="HW5" s="21">
        <f>Defaults!HW5*Obligors!$G$5*Obligors!$H$5</f>
        <v/>
      </c>
      <c r="HX5" s="21">
        <f>Defaults!HX5*Obligors!$G$5*Obligors!$H$5</f>
        <v/>
      </c>
      <c r="HY5" s="21">
        <f>Defaults!HY5*Obligors!$G$5*Obligors!$H$5</f>
        <v/>
      </c>
      <c r="HZ5" s="21">
        <f>Defaults!HZ5*Obligors!$G$5*Obligors!$H$5</f>
        <v/>
      </c>
      <c r="IA5" s="21">
        <f>Defaults!IA5*Obligors!$G$5*Obligors!$H$5</f>
        <v/>
      </c>
      <c r="IB5" s="21">
        <f>Defaults!IB5*Obligors!$G$5*Obligors!$H$5</f>
        <v/>
      </c>
      <c r="IC5" s="21">
        <f>Defaults!IC5*Obligors!$G$5*Obligors!$H$5</f>
        <v/>
      </c>
      <c r="ID5" s="21">
        <f>Defaults!ID5*Obligors!$G$5*Obligors!$H$5</f>
        <v/>
      </c>
      <c r="IE5" s="21">
        <f>Defaults!IE5*Obligors!$G$5*Obligors!$H$5</f>
        <v/>
      </c>
      <c r="IF5" s="21">
        <f>Defaults!IF5*Obligors!$G$5*Obligors!$H$5</f>
        <v/>
      </c>
      <c r="IG5" s="21">
        <f>Defaults!IG5*Obligors!$G$5*Obligors!$H$5</f>
        <v/>
      </c>
      <c r="IH5" s="21">
        <f>Defaults!IH5*Obligors!$G$5*Obligors!$H$5</f>
        <v/>
      </c>
      <c r="II5" s="21">
        <f>Defaults!II5*Obligors!$G$5*Obligors!$H$5</f>
        <v/>
      </c>
      <c r="IJ5" s="21">
        <f>Defaults!IJ5*Obligors!$G$5*Obligors!$H$5</f>
        <v/>
      </c>
      <c r="IK5" s="21">
        <f>Defaults!IK5*Obligors!$G$5*Obligors!$H$5</f>
        <v/>
      </c>
      <c r="IL5" s="21">
        <f>Defaults!IL5*Obligors!$G$5*Obligors!$H$5</f>
        <v/>
      </c>
      <c r="IM5" s="21">
        <f>Defaults!IM5*Obligors!$G$5*Obligors!$H$5</f>
        <v/>
      </c>
      <c r="IN5" s="21">
        <f>Defaults!IN5*Obligors!$G$5*Obligors!$H$5</f>
        <v/>
      </c>
      <c r="IO5" s="21">
        <f>Defaults!IO5*Obligors!$G$5*Obligors!$H$5</f>
        <v/>
      </c>
      <c r="IP5" s="21">
        <f>Defaults!IP5*Obligors!$G$5*Obligors!$H$5</f>
        <v/>
      </c>
      <c r="IQ5" s="21">
        <f>Defaults!IQ5*Obligors!$G$5*Obligors!$H$5</f>
        <v/>
      </c>
      <c r="IR5" s="21">
        <f>Defaults!IR5*Obligors!$G$5*Obligors!$H$5</f>
        <v/>
      </c>
      <c r="IS5" s="21">
        <f>Defaults!IS5*Obligors!$G$5*Obligors!$H$5</f>
        <v/>
      </c>
      <c r="IT5" s="21">
        <f>Defaults!IT5*Obligors!$G$5*Obligors!$H$5</f>
        <v/>
      </c>
      <c r="IU5" s="21">
        <f>Defaults!IU5*Obligors!$G$5*Obligors!$H$5</f>
        <v/>
      </c>
      <c r="IV5" s="21">
        <f>Defaults!IV5*Obligors!$G$5*Obligors!$H$5</f>
        <v/>
      </c>
      <c r="IW5" s="21">
        <f>Defaults!IW5*Obligors!$G$5*Obligors!$H$5</f>
        <v/>
      </c>
      <c r="IX5" s="21">
        <f>Defaults!IX5*Obligors!$G$5*Obligors!$H$5</f>
        <v/>
      </c>
      <c r="IY5" s="21">
        <f>Defaults!IY5*Obligors!$G$5*Obligors!$H$5</f>
        <v/>
      </c>
      <c r="IZ5" s="21">
        <f>Defaults!IZ5*Obligors!$G$5*Obligors!$H$5</f>
        <v/>
      </c>
      <c r="JA5" s="21">
        <f>Defaults!JA5*Obligors!$G$5*Obligors!$H$5</f>
        <v/>
      </c>
      <c r="JB5" s="21">
        <f>Defaults!JB5*Obligors!$G$5*Obligors!$H$5</f>
        <v/>
      </c>
      <c r="JC5" s="21">
        <f>Defaults!JC5*Obligors!$G$5*Obligors!$H$5</f>
        <v/>
      </c>
      <c r="JD5" s="21">
        <f>Defaults!JD5*Obligors!$G$5*Obligors!$H$5</f>
        <v/>
      </c>
      <c r="JE5" s="21">
        <f>Defaults!JE5*Obligors!$G$5*Obligors!$H$5</f>
        <v/>
      </c>
      <c r="JF5" s="21">
        <f>Defaults!JF5*Obligors!$G$5*Obligors!$H$5</f>
        <v/>
      </c>
      <c r="JG5" s="21">
        <f>Defaults!JG5*Obligors!$G$5*Obligors!$H$5</f>
        <v/>
      </c>
      <c r="JH5" s="21">
        <f>Defaults!JH5*Obligors!$G$5*Obligors!$H$5</f>
        <v/>
      </c>
      <c r="JI5" s="21">
        <f>Defaults!JI5*Obligors!$G$5*Obligors!$H$5</f>
        <v/>
      </c>
      <c r="JJ5" s="21">
        <f>Defaults!JJ5*Obligors!$G$5*Obligors!$H$5</f>
        <v/>
      </c>
      <c r="JK5" s="21">
        <f>Defaults!JK5*Obligors!$G$5*Obligors!$H$5</f>
        <v/>
      </c>
      <c r="JL5" s="21">
        <f>Defaults!JL5*Obligors!$G$5*Obligors!$H$5</f>
        <v/>
      </c>
      <c r="JM5" s="21">
        <f>Defaults!JM5*Obligors!$G$5*Obligors!$H$5</f>
        <v/>
      </c>
      <c r="JN5" s="21">
        <f>Defaults!JN5*Obligors!$G$5*Obligors!$H$5</f>
        <v/>
      </c>
      <c r="JO5" s="21">
        <f>Defaults!JO5*Obligors!$G$5*Obligors!$H$5</f>
        <v/>
      </c>
      <c r="JP5" s="21">
        <f>Defaults!JP5*Obligors!$G$5*Obligors!$H$5</f>
        <v/>
      </c>
      <c r="JQ5" s="21">
        <f>Defaults!JQ5*Obligors!$G$5*Obligors!$H$5</f>
        <v/>
      </c>
      <c r="JR5" s="21">
        <f>Defaults!JR5*Obligors!$G$5*Obligors!$H$5</f>
        <v/>
      </c>
      <c r="JS5" s="21">
        <f>Defaults!JS5*Obligors!$G$5*Obligors!$H$5</f>
        <v/>
      </c>
      <c r="JT5" s="21">
        <f>Defaults!JT5*Obligors!$G$5*Obligors!$H$5</f>
        <v/>
      </c>
      <c r="JU5" s="21">
        <f>Defaults!JU5*Obligors!$G$5*Obligors!$H$5</f>
        <v/>
      </c>
      <c r="JV5" s="21">
        <f>Defaults!JV5*Obligors!$G$5*Obligors!$H$5</f>
        <v/>
      </c>
      <c r="JW5" s="21">
        <f>Defaults!JW5*Obligors!$G$5*Obligors!$H$5</f>
        <v/>
      </c>
      <c r="JX5" s="21">
        <f>Defaults!JX5*Obligors!$G$5*Obligors!$H$5</f>
        <v/>
      </c>
      <c r="JY5" s="21">
        <f>Defaults!JY5*Obligors!$G$5*Obligors!$H$5</f>
        <v/>
      </c>
      <c r="JZ5" s="21">
        <f>Defaults!JZ5*Obligors!$G$5*Obligors!$H$5</f>
        <v/>
      </c>
      <c r="KA5" s="21">
        <f>Defaults!KA5*Obligors!$G$5*Obligors!$H$5</f>
        <v/>
      </c>
      <c r="KB5" s="21">
        <f>Defaults!KB5*Obligors!$G$5*Obligors!$H$5</f>
        <v/>
      </c>
      <c r="KC5" s="21">
        <f>Defaults!KC5*Obligors!$G$5*Obligors!$H$5</f>
        <v/>
      </c>
      <c r="KD5" s="21">
        <f>Defaults!KD5*Obligors!$G$5*Obligors!$H$5</f>
        <v/>
      </c>
      <c r="KE5" s="21">
        <f>Defaults!KE5*Obligors!$G$5*Obligors!$H$5</f>
        <v/>
      </c>
      <c r="KF5" s="21">
        <f>Defaults!KF5*Obligors!$G$5*Obligors!$H$5</f>
        <v/>
      </c>
      <c r="KG5" s="21">
        <f>Defaults!KG5*Obligors!$G$5*Obligors!$H$5</f>
        <v/>
      </c>
      <c r="KH5" s="21">
        <f>Defaults!KH5*Obligors!$G$5*Obligors!$H$5</f>
        <v/>
      </c>
      <c r="KI5" s="21">
        <f>Defaults!KI5*Obligors!$G$5*Obligors!$H$5</f>
        <v/>
      </c>
      <c r="KJ5" s="21">
        <f>Defaults!KJ5*Obligors!$G$5*Obligors!$H$5</f>
        <v/>
      </c>
      <c r="KK5" s="21">
        <f>Defaults!KK5*Obligors!$G$5*Obligors!$H$5</f>
        <v/>
      </c>
      <c r="KL5" s="21">
        <f>Defaults!KL5*Obligors!$G$5*Obligors!$H$5</f>
        <v/>
      </c>
      <c r="KM5" s="21">
        <f>Defaults!KM5*Obligors!$G$5*Obligors!$H$5</f>
        <v/>
      </c>
      <c r="KN5" s="21">
        <f>Defaults!KN5*Obligors!$G$5*Obligors!$H$5</f>
        <v/>
      </c>
      <c r="KO5" s="21">
        <f>Defaults!KO5*Obligors!$G$5*Obligors!$H$5</f>
        <v/>
      </c>
      <c r="KP5" s="21">
        <f>Defaults!KP5*Obligors!$G$5*Obligors!$H$5</f>
        <v/>
      </c>
      <c r="KQ5" s="21">
        <f>Defaults!KQ5*Obligors!$G$5*Obligors!$H$5</f>
        <v/>
      </c>
      <c r="KR5" s="21">
        <f>Defaults!KR5*Obligors!$G$5*Obligors!$H$5</f>
        <v/>
      </c>
      <c r="KS5" s="21">
        <f>Defaults!KS5*Obligors!$G$5*Obligors!$H$5</f>
        <v/>
      </c>
      <c r="KT5" s="21">
        <f>Defaults!KT5*Obligors!$G$5*Obligors!$H$5</f>
        <v/>
      </c>
      <c r="KU5" s="21">
        <f>Defaults!KU5*Obligors!$G$5*Obligors!$H$5</f>
        <v/>
      </c>
      <c r="KV5" s="21">
        <f>Defaults!KV5*Obligors!$G$5*Obligors!$H$5</f>
        <v/>
      </c>
      <c r="KW5" s="21">
        <f>Defaults!KW5*Obligors!$G$5*Obligors!$H$5</f>
        <v/>
      </c>
      <c r="KX5" s="21">
        <f>Defaults!KX5*Obligors!$G$5*Obligors!$H$5</f>
        <v/>
      </c>
      <c r="KY5" s="21">
        <f>Defaults!KY5*Obligors!$G$5*Obligors!$H$5</f>
        <v/>
      </c>
      <c r="KZ5" s="21">
        <f>Defaults!KZ5*Obligors!$G$5*Obligors!$H$5</f>
        <v/>
      </c>
      <c r="LA5" s="21">
        <f>Defaults!LA5*Obligors!$G$5*Obligors!$H$5</f>
        <v/>
      </c>
      <c r="LB5" s="21">
        <f>Defaults!LB5*Obligors!$G$5*Obligors!$H$5</f>
        <v/>
      </c>
      <c r="LC5" s="21">
        <f>Defaults!LC5*Obligors!$G$5*Obligors!$H$5</f>
        <v/>
      </c>
      <c r="LD5" s="21">
        <f>Defaults!LD5*Obligors!$G$5*Obligors!$H$5</f>
        <v/>
      </c>
      <c r="LE5" s="21">
        <f>Defaults!LE5*Obligors!$G$5*Obligors!$H$5</f>
        <v/>
      </c>
      <c r="LF5" s="21">
        <f>Defaults!LF5*Obligors!$G$5*Obligors!$H$5</f>
        <v/>
      </c>
      <c r="LG5" s="21">
        <f>Defaults!LG5*Obligors!$G$5*Obligors!$H$5</f>
        <v/>
      </c>
      <c r="LH5" s="21">
        <f>Defaults!LH5*Obligors!$G$5*Obligors!$H$5</f>
        <v/>
      </c>
      <c r="LI5" s="21">
        <f>Defaults!LI5*Obligors!$G$5*Obligors!$H$5</f>
        <v/>
      </c>
      <c r="LJ5" s="21">
        <f>Defaults!LJ5*Obligors!$G$5*Obligors!$H$5</f>
        <v/>
      </c>
      <c r="LK5" s="21">
        <f>Defaults!LK5*Obligors!$G$5*Obligors!$H$5</f>
        <v/>
      </c>
      <c r="LL5" s="21">
        <f>Defaults!LL5*Obligors!$G$5*Obligors!$H$5</f>
        <v/>
      </c>
      <c r="LM5" s="21">
        <f>Defaults!LM5*Obligors!$G$5*Obligors!$H$5</f>
        <v/>
      </c>
      <c r="LN5" s="21">
        <f>Defaults!LN5*Obligors!$G$5*Obligors!$H$5</f>
        <v/>
      </c>
      <c r="LO5" s="21">
        <f>Defaults!LO5*Obligors!$G$5*Obligors!$H$5</f>
        <v/>
      </c>
      <c r="LP5" s="21">
        <f>Defaults!LP5*Obligors!$G$5*Obligors!$H$5</f>
        <v/>
      </c>
      <c r="LQ5" s="21">
        <f>Defaults!LQ5*Obligors!$G$5*Obligors!$H$5</f>
        <v/>
      </c>
      <c r="LR5" s="21">
        <f>Defaults!LR5*Obligors!$G$5*Obligors!$H$5</f>
        <v/>
      </c>
      <c r="LS5" s="21">
        <f>Defaults!LS5*Obligors!$G$5*Obligors!$H$5</f>
        <v/>
      </c>
      <c r="LT5" s="21">
        <f>Defaults!LT5*Obligors!$G$5*Obligors!$H$5</f>
        <v/>
      </c>
      <c r="LU5" s="21">
        <f>Defaults!LU5*Obligors!$G$5*Obligors!$H$5</f>
        <v/>
      </c>
      <c r="LV5" s="21">
        <f>Defaults!LV5*Obligors!$G$5*Obligors!$H$5</f>
        <v/>
      </c>
      <c r="LW5" s="21">
        <f>Defaults!LW5*Obligors!$G$5*Obligors!$H$5</f>
        <v/>
      </c>
      <c r="LX5" s="21">
        <f>Defaults!LX5*Obligors!$G$5*Obligors!$H$5</f>
        <v/>
      </c>
      <c r="LY5" s="21">
        <f>Defaults!LY5*Obligors!$G$5*Obligors!$H$5</f>
        <v/>
      </c>
      <c r="LZ5" s="21">
        <f>Defaults!LZ5*Obligors!$G$5*Obligors!$H$5</f>
        <v/>
      </c>
      <c r="MA5" s="21">
        <f>Defaults!MA5*Obligors!$G$5*Obligors!$H$5</f>
        <v/>
      </c>
      <c r="MB5" s="21">
        <f>Defaults!MB5*Obligors!$G$5*Obligors!$H$5</f>
        <v/>
      </c>
      <c r="MC5" s="21">
        <f>Defaults!MC5*Obligors!$G$5*Obligors!$H$5</f>
        <v/>
      </c>
      <c r="MD5" s="21">
        <f>Defaults!MD5*Obligors!$G$5*Obligors!$H$5</f>
        <v/>
      </c>
      <c r="ME5" s="21">
        <f>Defaults!ME5*Obligors!$G$5*Obligors!$H$5</f>
        <v/>
      </c>
      <c r="MF5" s="21">
        <f>Defaults!MF5*Obligors!$G$5*Obligors!$H$5</f>
        <v/>
      </c>
      <c r="MG5" s="21">
        <f>Defaults!MG5*Obligors!$G$5*Obligors!$H$5</f>
        <v/>
      </c>
      <c r="MH5" s="21">
        <f>Defaults!MH5*Obligors!$G$5*Obligors!$H$5</f>
        <v/>
      </c>
      <c r="MI5" s="21">
        <f>Defaults!MI5*Obligors!$G$5*Obligors!$H$5</f>
        <v/>
      </c>
      <c r="MJ5" s="21">
        <f>Defaults!MJ5*Obligors!$G$5*Obligors!$H$5</f>
        <v/>
      </c>
      <c r="MK5" s="21">
        <f>Defaults!MK5*Obligors!$G$5*Obligors!$H$5</f>
        <v/>
      </c>
      <c r="ML5" s="21">
        <f>Defaults!ML5*Obligors!$G$5*Obligors!$H$5</f>
        <v/>
      </c>
      <c r="MM5" s="21">
        <f>Defaults!MM5*Obligors!$G$5*Obligors!$H$5</f>
        <v/>
      </c>
      <c r="MN5" s="21">
        <f>Defaults!MN5*Obligors!$G$5*Obligors!$H$5</f>
        <v/>
      </c>
      <c r="MO5" s="21">
        <f>Defaults!MO5*Obligors!$G$5*Obligors!$H$5</f>
        <v/>
      </c>
      <c r="MP5" s="21">
        <f>Defaults!MP5*Obligors!$G$5*Obligors!$H$5</f>
        <v/>
      </c>
      <c r="MQ5" s="21">
        <f>Defaults!MQ5*Obligors!$G$5*Obligors!$H$5</f>
        <v/>
      </c>
      <c r="MR5" s="21">
        <f>Defaults!MR5*Obligors!$G$5*Obligors!$H$5</f>
        <v/>
      </c>
      <c r="MS5" s="21">
        <f>Defaults!MS5*Obligors!$G$5*Obligors!$H$5</f>
        <v/>
      </c>
      <c r="MT5" s="21">
        <f>Defaults!MT5*Obligors!$G$5*Obligors!$H$5</f>
        <v/>
      </c>
      <c r="MU5" s="21">
        <f>Defaults!MU5*Obligors!$G$5*Obligors!$H$5</f>
        <v/>
      </c>
      <c r="MV5" s="21">
        <f>Defaults!MV5*Obligors!$G$5*Obligors!$H$5</f>
        <v/>
      </c>
      <c r="MW5" s="21">
        <f>Defaults!MW5*Obligors!$G$5*Obligors!$H$5</f>
        <v/>
      </c>
      <c r="MX5" s="21">
        <f>Defaults!MX5*Obligors!$G$5*Obligors!$H$5</f>
        <v/>
      </c>
      <c r="MY5" s="21">
        <f>Defaults!MY5*Obligors!$G$5*Obligors!$H$5</f>
        <v/>
      </c>
      <c r="MZ5" s="21">
        <f>Defaults!MZ5*Obligors!$G$5*Obligors!$H$5</f>
        <v/>
      </c>
      <c r="NA5" s="21">
        <f>Defaults!NA5*Obligors!$G$5*Obligors!$H$5</f>
        <v/>
      </c>
      <c r="NB5" s="21">
        <f>Defaults!NB5*Obligors!$G$5*Obligors!$H$5</f>
        <v/>
      </c>
      <c r="NC5" s="21">
        <f>Defaults!NC5*Obligors!$G$5*Obligors!$H$5</f>
        <v/>
      </c>
      <c r="ND5" s="21">
        <f>Defaults!ND5*Obligors!$G$5*Obligors!$H$5</f>
        <v/>
      </c>
      <c r="NE5" s="21">
        <f>Defaults!NE5*Obligors!$G$5*Obligors!$H$5</f>
        <v/>
      </c>
      <c r="NF5" s="21">
        <f>Defaults!NF5*Obligors!$G$5*Obligors!$H$5</f>
        <v/>
      </c>
      <c r="NG5" s="21">
        <f>Defaults!NG5*Obligors!$G$5*Obligors!$H$5</f>
        <v/>
      </c>
      <c r="NH5" s="21">
        <f>Defaults!NH5*Obligors!$G$5*Obligors!$H$5</f>
        <v/>
      </c>
      <c r="NI5" s="21">
        <f>Defaults!NI5*Obligors!$G$5*Obligors!$H$5</f>
        <v/>
      </c>
      <c r="NJ5" s="21">
        <f>Defaults!NJ5*Obligors!$G$5*Obligors!$H$5</f>
        <v/>
      </c>
      <c r="NK5" s="21">
        <f>Defaults!NK5*Obligors!$G$5*Obligors!$H$5</f>
        <v/>
      </c>
      <c r="NL5" s="21">
        <f>Defaults!NL5*Obligors!$G$5*Obligors!$H$5</f>
        <v/>
      </c>
      <c r="NM5" s="21">
        <f>Defaults!NM5*Obligors!$G$5*Obligors!$H$5</f>
        <v/>
      </c>
      <c r="NN5" s="21">
        <f>Defaults!NN5*Obligors!$G$5*Obligors!$H$5</f>
        <v/>
      </c>
      <c r="NO5" s="21">
        <f>Defaults!NO5*Obligors!$G$5*Obligors!$H$5</f>
        <v/>
      </c>
      <c r="NP5" s="21">
        <f>Defaults!NP5*Obligors!$G$5*Obligors!$H$5</f>
        <v/>
      </c>
      <c r="NQ5" s="21">
        <f>Defaults!NQ5*Obligors!$G$5*Obligors!$H$5</f>
        <v/>
      </c>
      <c r="NR5" s="21">
        <f>Defaults!NR5*Obligors!$G$5*Obligors!$H$5</f>
        <v/>
      </c>
      <c r="NS5" s="21">
        <f>Defaults!NS5*Obligors!$G$5*Obligors!$H$5</f>
        <v/>
      </c>
      <c r="NT5" s="21">
        <f>Defaults!NT5*Obligors!$G$5*Obligors!$H$5</f>
        <v/>
      </c>
      <c r="NU5" s="21">
        <f>Defaults!NU5*Obligors!$G$5*Obligors!$H$5</f>
        <v/>
      </c>
      <c r="NV5" s="21">
        <f>Defaults!NV5*Obligors!$G$5*Obligors!$H$5</f>
        <v/>
      </c>
      <c r="NW5" s="21">
        <f>Defaults!NW5*Obligors!$G$5*Obligors!$H$5</f>
        <v/>
      </c>
      <c r="NX5" s="21">
        <f>Defaults!NX5*Obligors!$G$5*Obligors!$H$5</f>
        <v/>
      </c>
      <c r="NY5" s="21">
        <f>Defaults!NY5*Obligors!$G$5*Obligors!$H$5</f>
        <v/>
      </c>
      <c r="NZ5" s="21">
        <f>Defaults!NZ5*Obligors!$G$5*Obligors!$H$5</f>
        <v/>
      </c>
      <c r="OA5" s="21">
        <f>Defaults!OA5*Obligors!$G$5*Obligors!$H$5</f>
        <v/>
      </c>
      <c r="OB5" s="21">
        <f>Defaults!OB5*Obligors!$G$5*Obligors!$H$5</f>
        <v/>
      </c>
      <c r="OC5" s="21">
        <f>Defaults!OC5*Obligors!$G$5*Obligors!$H$5</f>
        <v/>
      </c>
      <c r="OD5" s="21">
        <f>Defaults!OD5*Obligors!$G$5*Obligors!$H$5</f>
        <v/>
      </c>
      <c r="OE5" s="21">
        <f>Defaults!OE5*Obligors!$G$5*Obligors!$H$5</f>
        <v/>
      </c>
      <c r="OF5" s="21">
        <f>Defaults!OF5*Obligors!$G$5*Obligors!$H$5</f>
        <v/>
      </c>
      <c r="OG5" s="21">
        <f>Defaults!OG5*Obligors!$G$5*Obligors!$H$5</f>
        <v/>
      </c>
      <c r="OH5" s="21">
        <f>Defaults!OH5*Obligors!$G$5*Obligors!$H$5</f>
        <v/>
      </c>
      <c r="OI5" s="21">
        <f>Defaults!OI5*Obligors!$G$5*Obligors!$H$5</f>
        <v/>
      </c>
      <c r="OJ5" s="21">
        <f>Defaults!OJ5*Obligors!$G$5*Obligors!$H$5</f>
        <v/>
      </c>
      <c r="OK5" s="21">
        <f>Defaults!OK5*Obligors!$G$5*Obligors!$H$5</f>
        <v/>
      </c>
      <c r="OL5" s="21">
        <f>Defaults!OL5*Obligors!$G$5*Obligors!$H$5</f>
        <v/>
      </c>
      <c r="OM5" s="21">
        <f>Defaults!OM5*Obligors!$G$5*Obligors!$H$5</f>
        <v/>
      </c>
      <c r="ON5" s="21">
        <f>Defaults!ON5*Obligors!$G$5*Obligors!$H$5</f>
        <v/>
      </c>
      <c r="OO5" s="21">
        <f>Defaults!OO5*Obligors!$G$5*Obligors!$H$5</f>
        <v/>
      </c>
      <c r="OP5" s="21">
        <f>Defaults!OP5*Obligors!$G$5*Obligors!$H$5</f>
        <v/>
      </c>
      <c r="OQ5" s="21">
        <f>Defaults!OQ5*Obligors!$G$5*Obligors!$H$5</f>
        <v/>
      </c>
      <c r="OR5" s="21">
        <f>Defaults!OR5*Obligors!$G$5*Obligors!$H$5</f>
        <v/>
      </c>
      <c r="OS5" s="21">
        <f>Defaults!OS5*Obligors!$G$5*Obligors!$H$5</f>
        <v/>
      </c>
      <c r="OT5" s="21">
        <f>Defaults!OT5*Obligors!$G$5*Obligors!$H$5</f>
        <v/>
      </c>
      <c r="OU5" s="21">
        <f>Defaults!OU5*Obligors!$G$5*Obligors!$H$5</f>
        <v/>
      </c>
      <c r="OV5" s="21">
        <f>Defaults!OV5*Obligors!$G$5*Obligors!$H$5</f>
        <v/>
      </c>
      <c r="OW5" s="21">
        <f>Defaults!OW5*Obligors!$G$5*Obligors!$H$5</f>
        <v/>
      </c>
      <c r="OX5" s="21">
        <f>Defaults!OX5*Obligors!$G$5*Obligors!$H$5</f>
        <v/>
      </c>
      <c r="OY5" s="21">
        <f>Defaults!OY5*Obligors!$G$5*Obligors!$H$5</f>
        <v/>
      </c>
      <c r="OZ5" s="21">
        <f>Defaults!OZ5*Obligors!$G$5*Obligors!$H$5</f>
        <v/>
      </c>
      <c r="PA5" s="21">
        <f>Defaults!PA5*Obligors!$G$5*Obligors!$H$5</f>
        <v/>
      </c>
      <c r="PB5" s="21">
        <f>Defaults!PB5*Obligors!$G$5*Obligors!$H$5</f>
        <v/>
      </c>
      <c r="PC5" s="21">
        <f>Defaults!PC5*Obligors!$G$5*Obligors!$H$5</f>
        <v/>
      </c>
      <c r="PD5" s="21">
        <f>Defaults!PD5*Obligors!$G$5*Obligors!$H$5</f>
        <v/>
      </c>
      <c r="PE5" s="21">
        <f>Defaults!PE5*Obligors!$G$5*Obligors!$H$5</f>
        <v/>
      </c>
      <c r="PF5" s="21">
        <f>Defaults!PF5*Obligors!$G$5*Obligors!$H$5</f>
        <v/>
      </c>
      <c r="PG5" s="21">
        <f>Defaults!PG5*Obligors!$G$5*Obligors!$H$5</f>
        <v/>
      </c>
      <c r="PH5" s="21">
        <f>Defaults!PH5*Obligors!$G$5*Obligors!$H$5</f>
        <v/>
      </c>
      <c r="PI5" s="21">
        <f>Defaults!PI5*Obligors!$G$5*Obligors!$H$5</f>
        <v/>
      </c>
      <c r="PJ5" s="21">
        <f>Defaults!PJ5*Obligors!$G$5*Obligors!$H$5</f>
        <v/>
      </c>
      <c r="PK5" s="21">
        <f>Defaults!PK5*Obligors!$G$5*Obligors!$H$5</f>
        <v/>
      </c>
      <c r="PL5" s="21">
        <f>Defaults!PL5*Obligors!$G$5*Obligors!$H$5</f>
        <v/>
      </c>
      <c r="PM5" s="21">
        <f>Defaults!PM5*Obligors!$G$5*Obligors!$H$5</f>
        <v/>
      </c>
      <c r="PN5" s="21">
        <f>Defaults!PN5*Obligors!$G$5*Obligors!$H$5</f>
        <v/>
      </c>
      <c r="PO5" s="21">
        <f>Defaults!PO5*Obligors!$G$5*Obligors!$H$5</f>
        <v/>
      </c>
      <c r="PP5" s="21">
        <f>Defaults!PP5*Obligors!$G$5*Obligors!$H$5</f>
        <v/>
      </c>
      <c r="PQ5" s="21">
        <f>Defaults!PQ5*Obligors!$G$5*Obligors!$H$5</f>
        <v/>
      </c>
      <c r="PR5" s="21">
        <f>Defaults!PR5*Obligors!$G$5*Obligors!$H$5</f>
        <v/>
      </c>
      <c r="PS5" s="21">
        <f>Defaults!PS5*Obligors!$G$5*Obligors!$H$5</f>
        <v/>
      </c>
      <c r="PT5" s="21">
        <f>Defaults!PT5*Obligors!$G$5*Obligors!$H$5</f>
        <v/>
      </c>
      <c r="PU5" s="21">
        <f>Defaults!PU5*Obligors!$G$5*Obligors!$H$5</f>
        <v/>
      </c>
      <c r="PV5" s="21">
        <f>Defaults!PV5*Obligors!$G$5*Obligors!$H$5</f>
        <v/>
      </c>
      <c r="PW5" s="21">
        <f>Defaults!PW5*Obligors!$G$5*Obligors!$H$5</f>
        <v/>
      </c>
      <c r="PX5" s="21">
        <f>Defaults!PX5*Obligors!$G$5*Obligors!$H$5</f>
        <v/>
      </c>
      <c r="PY5" s="21">
        <f>Defaults!PY5*Obligors!$G$5*Obligors!$H$5</f>
        <v/>
      </c>
      <c r="PZ5" s="21">
        <f>Defaults!PZ5*Obligors!$G$5*Obligors!$H$5</f>
        <v/>
      </c>
      <c r="QA5" s="21">
        <f>Defaults!QA5*Obligors!$G$5*Obligors!$H$5</f>
        <v/>
      </c>
      <c r="QB5" s="21">
        <f>Defaults!QB5*Obligors!$G$5*Obligors!$H$5</f>
        <v/>
      </c>
      <c r="QC5" s="21">
        <f>Defaults!QC5*Obligors!$G$5*Obligors!$H$5</f>
        <v/>
      </c>
      <c r="QD5" s="21">
        <f>Defaults!QD5*Obligors!$G$5*Obligors!$H$5</f>
        <v/>
      </c>
      <c r="QE5" s="21">
        <f>Defaults!QE5*Obligors!$G$5*Obligors!$H$5</f>
        <v/>
      </c>
      <c r="QF5" s="21">
        <f>Defaults!QF5*Obligors!$G$5*Obligors!$H$5</f>
        <v/>
      </c>
      <c r="QG5" s="21">
        <f>Defaults!QG5*Obligors!$G$5*Obligors!$H$5</f>
        <v/>
      </c>
      <c r="QH5" s="21">
        <f>Defaults!QH5*Obligors!$G$5*Obligors!$H$5</f>
        <v/>
      </c>
      <c r="QI5" s="21">
        <f>Defaults!QI5*Obligors!$G$5*Obligors!$H$5</f>
        <v/>
      </c>
      <c r="QJ5" s="21">
        <f>Defaults!QJ5*Obligors!$G$5*Obligors!$H$5</f>
        <v/>
      </c>
      <c r="QK5" s="21">
        <f>Defaults!QK5*Obligors!$G$5*Obligors!$H$5</f>
        <v/>
      </c>
      <c r="QL5" s="21">
        <f>Defaults!QL5*Obligors!$G$5*Obligors!$H$5</f>
        <v/>
      </c>
      <c r="QM5" s="21">
        <f>Defaults!QM5*Obligors!$G$5*Obligors!$H$5</f>
        <v/>
      </c>
      <c r="QN5" s="21">
        <f>Defaults!QN5*Obligors!$G$5*Obligors!$H$5</f>
        <v/>
      </c>
      <c r="QO5" s="21">
        <f>Defaults!QO5*Obligors!$G$5*Obligors!$H$5</f>
        <v/>
      </c>
      <c r="QP5" s="21">
        <f>Defaults!QP5*Obligors!$G$5*Obligors!$H$5</f>
        <v/>
      </c>
      <c r="QQ5" s="21">
        <f>Defaults!QQ5*Obligors!$G$5*Obligors!$H$5</f>
        <v/>
      </c>
      <c r="QR5" s="21">
        <f>Defaults!QR5*Obligors!$G$5*Obligors!$H$5</f>
        <v/>
      </c>
      <c r="QS5" s="21">
        <f>Defaults!QS5*Obligors!$G$5*Obligors!$H$5</f>
        <v/>
      </c>
      <c r="QT5" s="21">
        <f>Defaults!QT5*Obligors!$G$5*Obligors!$H$5</f>
        <v/>
      </c>
      <c r="QU5" s="21">
        <f>Defaults!QU5*Obligors!$G$5*Obligors!$H$5</f>
        <v/>
      </c>
      <c r="QV5" s="21">
        <f>Defaults!QV5*Obligors!$G$5*Obligors!$H$5</f>
        <v/>
      </c>
      <c r="QW5" s="21">
        <f>Defaults!QW5*Obligors!$G$5*Obligors!$H$5</f>
        <v/>
      </c>
      <c r="QX5" s="21">
        <f>Defaults!QX5*Obligors!$G$5*Obligors!$H$5</f>
        <v/>
      </c>
      <c r="QY5" s="21">
        <f>Defaults!QY5*Obligors!$G$5*Obligors!$H$5</f>
        <v/>
      </c>
      <c r="QZ5" s="21">
        <f>Defaults!QZ5*Obligors!$G$5*Obligors!$H$5</f>
        <v/>
      </c>
      <c r="RA5" s="21">
        <f>Defaults!RA5*Obligors!$G$5*Obligors!$H$5</f>
        <v/>
      </c>
      <c r="RB5" s="21">
        <f>Defaults!RB5*Obligors!$G$5*Obligors!$H$5</f>
        <v/>
      </c>
      <c r="RC5" s="21">
        <f>Defaults!RC5*Obligors!$G$5*Obligors!$H$5</f>
        <v/>
      </c>
      <c r="RD5" s="21">
        <f>Defaults!RD5*Obligors!$G$5*Obligors!$H$5</f>
        <v/>
      </c>
      <c r="RE5" s="21">
        <f>Defaults!RE5*Obligors!$G$5*Obligors!$H$5</f>
        <v/>
      </c>
      <c r="RF5" s="21">
        <f>Defaults!RF5*Obligors!$G$5*Obligors!$H$5</f>
        <v/>
      </c>
      <c r="RG5" s="21">
        <f>Defaults!RG5*Obligors!$G$5*Obligors!$H$5</f>
        <v/>
      </c>
      <c r="RH5" s="21">
        <f>Defaults!RH5*Obligors!$G$5*Obligors!$H$5</f>
        <v/>
      </c>
      <c r="RI5" s="21">
        <f>Defaults!RI5*Obligors!$G$5*Obligors!$H$5</f>
        <v/>
      </c>
      <c r="RJ5" s="21">
        <f>Defaults!RJ5*Obligors!$G$5*Obligors!$H$5</f>
        <v/>
      </c>
      <c r="RK5" s="21">
        <f>Defaults!RK5*Obligors!$G$5*Obligors!$H$5</f>
        <v/>
      </c>
      <c r="RL5" s="21">
        <f>Defaults!RL5*Obligors!$G$5*Obligors!$H$5</f>
        <v/>
      </c>
      <c r="RM5" s="21">
        <f>Defaults!RM5*Obligors!$G$5*Obligors!$H$5</f>
        <v/>
      </c>
      <c r="RN5" s="21">
        <f>Defaults!RN5*Obligors!$G$5*Obligors!$H$5</f>
        <v/>
      </c>
      <c r="RO5" s="21">
        <f>Defaults!RO5*Obligors!$G$5*Obligors!$H$5</f>
        <v/>
      </c>
      <c r="RP5" s="21">
        <f>Defaults!RP5*Obligors!$G$5*Obligors!$H$5</f>
        <v/>
      </c>
      <c r="RQ5" s="21">
        <f>Defaults!RQ5*Obligors!$G$5*Obligors!$H$5</f>
        <v/>
      </c>
      <c r="RR5" s="21">
        <f>Defaults!RR5*Obligors!$G$5*Obligors!$H$5</f>
        <v/>
      </c>
      <c r="RS5" s="21">
        <f>Defaults!RS5*Obligors!$G$5*Obligors!$H$5</f>
        <v/>
      </c>
      <c r="RT5" s="21">
        <f>Defaults!RT5*Obligors!$G$5*Obligors!$H$5</f>
        <v/>
      </c>
      <c r="RU5" s="21">
        <f>Defaults!RU5*Obligors!$G$5*Obligors!$H$5</f>
        <v/>
      </c>
      <c r="RV5" s="21">
        <f>Defaults!RV5*Obligors!$G$5*Obligors!$H$5</f>
        <v/>
      </c>
      <c r="RW5" s="21">
        <f>Defaults!RW5*Obligors!$G$5*Obligors!$H$5</f>
        <v/>
      </c>
      <c r="RX5" s="21">
        <f>Defaults!RX5*Obligors!$G$5*Obligors!$H$5</f>
        <v/>
      </c>
      <c r="RY5" s="21">
        <f>Defaults!RY5*Obligors!$G$5*Obligors!$H$5</f>
        <v/>
      </c>
      <c r="RZ5" s="21">
        <f>Defaults!RZ5*Obligors!$G$5*Obligors!$H$5</f>
        <v/>
      </c>
      <c r="SA5" s="21">
        <f>Defaults!SA5*Obligors!$G$5*Obligors!$H$5</f>
        <v/>
      </c>
      <c r="SB5" s="21">
        <f>Defaults!SB5*Obligors!$G$5*Obligors!$H$5</f>
        <v/>
      </c>
      <c r="SC5" s="21">
        <f>Defaults!SC5*Obligors!$G$5*Obligors!$H$5</f>
        <v/>
      </c>
      <c r="SD5" s="21">
        <f>Defaults!SD5*Obligors!$G$5*Obligors!$H$5</f>
        <v/>
      </c>
      <c r="SE5" s="21">
        <f>Defaults!SE5*Obligors!$G$5*Obligors!$H$5</f>
        <v/>
      </c>
      <c r="SF5" s="21">
        <f>Defaults!SF5*Obligors!$G$5*Obligors!$H$5</f>
        <v/>
      </c>
      <c r="SG5" s="21">
        <f>Defaults!SG5*Obligors!$G$5*Obligors!$H$5</f>
        <v/>
      </c>
    </row>
    <row r="6">
      <c r="A6" s="17" t="inlineStr">
        <is>
          <t>OBL-005</t>
        </is>
      </c>
      <c r="B6" s="21">
        <f>Defaults!B6*Obligors!$G$6*Obligors!$H$6</f>
        <v/>
      </c>
      <c r="C6" s="21">
        <f>Defaults!C6*Obligors!$G$6*Obligors!$H$6</f>
        <v/>
      </c>
      <c r="D6" s="21">
        <f>Defaults!D6*Obligors!$G$6*Obligors!$H$6</f>
        <v/>
      </c>
      <c r="E6" s="21">
        <f>Defaults!E6*Obligors!$G$6*Obligors!$H$6</f>
        <v/>
      </c>
      <c r="F6" s="21">
        <f>Defaults!F6*Obligors!$G$6*Obligors!$H$6</f>
        <v/>
      </c>
      <c r="G6" s="21">
        <f>Defaults!G6*Obligors!$G$6*Obligors!$H$6</f>
        <v/>
      </c>
      <c r="H6" s="21">
        <f>Defaults!H6*Obligors!$G$6*Obligors!$H$6</f>
        <v/>
      </c>
      <c r="I6" s="21">
        <f>Defaults!I6*Obligors!$G$6*Obligors!$H$6</f>
        <v/>
      </c>
      <c r="J6" s="21">
        <f>Defaults!J6*Obligors!$G$6*Obligors!$H$6</f>
        <v/>
      </c>
      <c r="K6" s="21">
        <f>Defaults!K6*Obligors!$G$6*Obligors!$H$6</f>
        <v/>
      </c>
      <c r="L6" s="21">
        <f>Defaults!L6*Obligors!$G$6*Obligors!$H$6</f>
        <v/>
      </c>
      <c r="M6" s="21">
        <f>Defaults!M6*Obligors!$G$6*Obligors!$H$6</f>
        <v/>
      </c>
      <c r="N6" s="21">
        <f>Defaults!N6*Obligors!$G$6*Obligors!$H$6</f>
        <v/>
      </c>
      <c r="O6" s="21">
        <f>Defaults!O6*Obligors!$G$6*Obligors!$H$6</f>
        <v/>
      </c>
      <c r="P6" s="21">
        <f>Defaults!P6*Obligors!$G$6*Obligors!$H$6</f>
        <v/>
      </c>
      <c r="Q6" s="21">
        <f>Defaults!Q6*Obligors!$G$6*Obligors!$H$6</f>
        <v/>
      </c>
      <c r="R6" s="21">
        <f>Defaults!R6*Obligors!$G$6*Obligors!$H$6</f>
        <v/>
      </c>
      <c r="S6" s="21">
        <f>Defaults!S6*Obligors!$G$6*Obligors!$H$6</f>
        <v/>
      </c>
      <c r="T6" s="21">
        <f>Defaults!T6*Obligors!$G$6*Obligors!$H$6</f>
        <v/>
      </c>
      <c r="U6" s="21">
        <f>Defaults!U6*Obligors!$G$6*Obligors!$H$6</f>
        <v/>
      </c>
      <c r="V6" s="21">
        <f>Defaults!V6*Obligors!$G$6*Obligors!$H$6</f>
        <v/>
      </c>
      <c r="W6" s="21">
        <f>Defaults!W6*Obligors!$G$6*Obligors!$H$6</f>
        <v/>
      </c>
      <c r="X6" s="21">
        <f>Defaults!X6*Obligors!$G$6*Obligors!$H$6</f>
        <v/>
      </c>
      <c r="Y6" s="21">
        <f>Defaults!Y6*Obligors!$G$6*Obligors!$H$6</f>
        <v/>
      </c>
      <c r="Z6" s="21">
        <f>Defaults!Z6*Obligors!$G$6*Obligors!$H$6</f>
        <v/>
      </c>
      <c r="AA6" s="21">
        <f>Defaults!AA6*Obligors!$G$6*Obligors!$H$6</f>
        <v/>
      </c>
      <c r="AB6" s="21">
        <f>Defaults!AB6*Obligors!$G$6*Obligors!$H$6</f>
        <v/>
      </c>
      <c r="AC6" s="21">
        <f>Defaults!AC6*Obligors!$G$6*Obligors!$H$6</f>
        <v/>
      </c>
      <c r="AD6" s="21">
        <f>Defaults!AD6*Obligors!$G$6*Obligors!$H$6</f>
        <v/>
      </c>
      <c r="AE6" s="21">
        <f>Defaults!AE6*Obligors!$G$6*Obligors!$H$6</f>
        <v/>
      </c>
      <c r="AF6" s="21">
        <f>Defaults!AF6*Obligors!$G$6*Obligors!$H$6</f>
        <v/>
      </c>
      <c r="AG6" s="21">
        <f>Defaults!AG6*Obligors!$G$6*Obligors!$H$6</f>
        <v/>
      </c>
      <c r="AH6" s="21">
        <f>Defaults!AH6*Obligors!$G$6*Obligors!$H$6</f>
        <v/>
      </c>
      <c r="AI6" s="21">
        <f>Defaults!AI6*Obligors!$G$6*Obligors!$H$6</f>
        <v/>
      </c>
      <c r="AJ6" s="21">
        <f>Defaults!AJ6*Obligors!$G$6*Obligors!$H$6</f>
        <v/>
      </c>
      <c r="AK6" s="21">
        <f>Defaults!AK6*Obligors!$G$6*Obligors!$H$6</f>
        <v/>
      </c>
      <c r="AL6" s="21">
        <f>Defaults!AL6*Obligors!$G$6*Obligors!$H$6</f>
        <v/>
      </c>
      <c r="AM6" s="21">
        <f>Defaults!AM6*Obligors!$G$6*Obligors!$H$6</f>
        <v/>
      </c>
      <c r="AN6" s="21">
        <f>Defaults!AN6*Obligors!$G$6*Obligors!$H$6</f>
        <v/>
      </c>
      <c r="AO6" s="21">
        <f>Defaults!AO6*Obligors!$G$6*Obligors!$H$6</f>
        <v/>
      </c>
      <c r="AP6" s="21">
        <f>Defaults!AP6*Obligors!$G$6*Obligors!$H$6</f>
        <v/>
      </c>
      <c r="AQ6" s="21">
        <f>Defaults!AQ6*Obligors!$G$6*Obligors!$H$6</f>
        <v/>
      </c>
      <c r="AR6" s="21">
        <f>Defaults!AR6*Obligors!$G$6*Obligors!$H$6</f>
        <v/>
      </c>
      <c r="AS6" s="21">
        <f>Defaults!AS6*Obligors!$G$6*Obligors!$H$6</f>
        <v/>
      </c>
      <c r="AT6" s="21">
        <f>Defaults!AT6*Obligors!$G$6*Obligors!$H$6</f>
        <v/>
      </c>
      <c r="AU6" s="21">
        <f>Defaults!AU6*Obligors!$G$6*Obligors!$H$6</f>
        <v/>
      </c>
      <c r="AV6" s="21">
        <f>Defaults!AV6*Obligors!$G$6*Obligors!$H$6</f>
        <v/>
      </c>
      <c r="AW6" s="21">
        <f>Defaults!AW6*Obligors!$G$6*Obligors!$H$6</f>
        <v/>
      </c>
      <c r="AX6" s="21">
        <f>Defaults!AX6*Obligors!$G$6*Obligors!$H$6</f>
        <v/>
      </c>
      <c r="AY6" s="21">
        <f>Defaults!AY6*Obligors!$G$6*Obligors!$H$6</f>
        <v/>
      </c>
      <c r="AZ6" s="21">
        <f>Defaults!AZ6*Obligors!$G$6*Obligors!$H$6</f>
        <v/>
      </c>
      <c r="BA6" s="21">
        <f>Defaults!BA6*Obligors!$G$6*Obligors!$H$6</f>
        <v/>
      </c>
      <c r="BB6" s="21">
        <f>Defaults!BB6*Obligors!$G$6*Obligors!$H$6</f>
        <v/>
      </c>
      <c r="BC6" s="21">
        <f>Defaults!BC6*Obligors!$G$6*Obligors!$H$6</f>
        <v/>
      </c>
      <c r="BD6" s="21">
        <f>Defaults!BD6*Obligors!$G$6*Obligors!$H$6</f>
        <v/>
      </c>
      <c r="BE6" s="21">
        <f>Defaults!BE6*Obligors!$G$6*Obligors!$H$6</f>
        <v/>
      </c>
      <c r="BF6" s="21">
        <f>Defaults!BF6*Obligors!$G$6*Obligors!$H$6</f>
        <v/>
      </c>
      <c r="BG6" s="21">
        <f>Defaults!BG6*Obligors!$G$6*Obligors!$H$6</f>
        <v/>
      </c>
      <c r="BH6" s="21">
        <f>Defaults!BH6*Obligors!$G$6*Obligors!$H$6</f>
        <v/>
      </c>
      <c r="BI6" s="21">
        <f>Defaults!BI6*Obligors!$G$6*Obligors!$H$6</f>
        <v/>
      </c>
      <c r="BJ6" s="21">
        <f>Defaults!BJ6*Obligors!$G$6*Obligors!$H$6</f>
        <v/>
      </c>
      <c r="BK6" s="21">
        <f>Defaults!BK6*Obligors!$G$6*Obligors!$H$6</f>
        <v/>
      </c>
      <c r="BL6" s="21">
        <f>Defaults!BL6*Obligors!$G$6*Obligors!$H$6</f>
        <v/>
      </c>
      <c r="BM6" s="21">
        <f>Defaults!BM6*Obligors!$G$6*Obligors!$H$6</f>
        <v/>
      </c>
      <c r="BN6" s="21">
        <f>Defaults!BN6*Obligors!$G$6*Obligors!$H$6</f>
        <v/>
      </c>
      <c r="BO6" s="21">
        <f>Defaults!BO6*Obligors!$G$6*Obligors!$H$6</f>
        <v/>
      </c>
      <c r="BP6" s="21">
        <f>Defaults!BP6*Obligors!$G$6*Obligors!$H$6</f>
        <v/>
      </c>
      <c r="BQ6" s="21">
        <f>Defaults!BQ6*Obligors!$G$6*Obligors!$H$6</f>
        <v/>
      </c>
      <c r="BR6" s="21">
        <f>Defaults!BR6*Obligors!$G$6*Obligors!$H$6</f>
        <v/>
      </c>
      <c r="BS6" s="21">
        <f>Defaults!BS6*Obligors!$G$6*Obligors!$H$6</f>
        <v/>
      </c>
      <c r="BT6" s="21">
        <f>Defaults!BT6*Obligors!$G$6*Obligors!$H$6</f>
        <v/>
      </c>
      <c r="BU6" s="21">
        <f>Defaults!BU6*Obligors!$G$6*Obligors!$H$6</f>
        <v/>
      </c>
      <c r="BV6" s="21">
        <f>Defaults!BV6*Obligors!$G$6*Obligors!$H$6</f>
        <v/>
      </c>
      <c r="BW6" s="21">
        <f>Defaults!BW6*Obligors!$G$6*Obligors!$H$6</f>
        <v/>
      </c>
      <c r="BX6" s="21">
        <f>Defaults!BX6*Obligors!$G$6*Obligors!$H$6</f>
        <v/>
      </c>
      <c r="BY6" s="21">
        <f>Defaults!BY6*Obligors!$G$6*Obligors!$H$6</f>
        <v/>
      </c>
      <c r="BZ6" s="21">
        <f>Defaults!BZ6*Obligors!$G$6*Obligors!$H$6</f>
        <v/>
      </c>
      <c r="CA6" s="21">
        <f>Defaults!CA6*Obligors!$G$6*Obligors!$H$6</f>
        <v/>
      </c>
      <c r="CB6" s="21">
        <f>Defaults!CB6*Obligors!$G$6*Obligors!$H$6</f>
        <v/>
      </c>
      <c r="CC6" s="21">
        <f>Defaults!CC6*Obligors!$G$6*Obligors!$H$6</f>
        <v/>
      </c>
      <c r="CD6" s="21">
        <f>Defaults!CD6*Obligors!$G$6*Obligors!$H$6</f>
        <v/>
      </c>
      <c r="CE6" s="21">
        <f>Defaults!CE6*Obligors!$G$6*Obligors!$H$6</f>
        <v/>
      </c>
      <c r="CF6" s="21">
        <f>Defaults!CF6*Obligors!$G$6*Obligors!$H$6</f>
        <v/>
      </c>
      <c r="CG6" s="21">
        <f>Defaults!CG6*Obligors!$G$6*Obligors!$H$6</f>
        <v/>
      </c>
      <c r="CH6" s="21">
        <f>Defaults!CH6*Obligors!$G$6*Obligors!$H$6</f>
        <v/>
      </c>
      <c r="CI6" s="21">
        <f>Defaults!CI6*Obligors!$G$6*Obligors!$H$6</f>
        <v/>
      </c>
      <c r="CJ6" s="21">
        <f>Defaults!CJ6*Obligors!$G$6*Obligors!$H$6</f>
        <v/>
      </c>
      <c r="CK6" s="21">
        <f>Defaults!CK6*Obligors!$G$6*Obligors!$H$6</f>
        <v/>
      </c>
      <c r="CL6" s="21">
        <f>Defaults!CL6*Obligors!$G$6*Obligors!$H$6</f>
        <v/>
      </c>
      <c r="CM6" s="21">
        <f>Defaults!CM6*Obligors!$G$6*Obligors!$H$6</f>
        <v/>
      </c>
      <c r="CN6" s="21">
        <f>Defaults!CN6*Obligors!$G$6*Obligors!$H$6</f>
        <v/>
      </c>
      <c r="CO6" s="21">
        <f>Defaults!CO6*Obligors!$G$6*Obligors!$H$6</f>
        <v/>
      </c>
      <c r="CP6" s="21">
        <f>Defaults!CP6*Obligors!$G$6*Obligors!$H$6</f>
        <v/>
      </c>
      <c r="CQ6" s="21">
        <f>Defaults!CQ6*Obligors!$G$6*Obligors!$H$6</f>
        <v/>
      </c>
      <c r="CR6" s="21">
        <f>Defaults!CR6*Obligors!$G$6*Obligors!$H$6</f>
        <v/>
      </c>
      <c r="CS6" s="21">
        <f>Defaults!CS6*Obligors!$G$6*Obligors!$H$6</f>
        <v/>
      </c>
      <c r="CT6" s="21">
        <f>Defaults!CT6*Obligors!$G$6*Obligors!$H$6</f>
        <v/>
      </c>
      <c r="CU6" s="21">
        <f>Defaults!CU6*Obligors!$G$6*Obligors!$H$6</f>
        <v/>
      </c>
      <c r="CV6" s="21">
        <f>Defaults!CV6*Obligors!$G$6*Obligors!$H$6</f>
        <v/>
      </c>
      <c r="CW6" s="21">
        <f>Defaults!CW6*Obligors!$G$6*Obligors!$H$6</f>
        <v/>
      </c>
      <c r="CX6" s="21">
        <f>Defaults!CX6*Obligors!$G$6*Obligors!$H$6</f>
        <v/>
      </c>
      <c r="CY6" s="21">
        <f>Defaults!CY6*Obligors!$G$6*Obligors!$H$6</f>
        <v/>
      </c>
      <c r="CZ6" s="21">
        <f>Defaults!CZ6*Obligors!$G$6*Obligors!$H$6</f>
        <v/>
      </c>
      <c r="DA6" s="21">
        <f>Defaults!DA6*Obligors!$G$6*Obligors!$H$6</f>
        <v/>
      </c>
      <c r="DB6" s="21">
        <f>Defaults!DB6*Obligors!$G$6*Obligors!$H$6</f>
        <v/>
      </c>
      <c r="DC6" s="21">
        <f>Defaults!DC6*Obligors!$G$6*Obligors!$H$6</f>
        <v/>
      </c>
      <c r="DD6" s="21">
        <f>Defaults!DD6*Obligors!$G$6*Obligors!$H$6</f>
        <v/>
      </c>
      <c r="DE6" s="21">
        <f>Defaults!DE6*Obligors!$G$6*Obligors!$H$6</f>
        <v/>
      </c>
      <c r="DF6" s="21">
        <f>Defaults!DF6*Obligors!$G$6*Obligors!$H$6</f>
        <v/>
      </c>
      <c r="DG6" s="21">
        <f>Defaults!DG6*Obligors!$G$6*Obligors!$H$6</f>
        <v/>
      </c>
      <c r="DH6" s="21">
        <f>Defaults!DH6*Obligors!$G$6*Obligors!$H$6</f>
        <v/>
      </c>
      <c r="DI6" s="21">
        <f>Defaults!DI6*Obligors!$G$6*Obligors!$H$6</f>
        <v/>
      </c>
      <c r="DJ6" s="21">
        <f>Defaults!DJ6*Obligors!$G$6*Obligors!$H$6</f>
        <v/>
      </c>
      <c r="DK6" s="21">
        <f>Defaults!DK6*Obligors!$G$6*Obligors!$H$6</f>
        <v/>
      </c>
      <c r="DL6" s="21">
        <f>Defaults!DL6*Obligors!$G$6*Obligors!$H$6</f>
        <v/>
      </c>
      <c r="DM6" s="21">
        <f>Defaults!DM6*Obligors!$G$6*Obligors!$H$6</f>
        <v/>
      </c>
      <c r="DN6" s="21">
        <f>Defaults!DN6*Obligors!$G$6*Obligors!$H$6</f>
        <v/>
      </c>
      <c r="DO6" s="21">
        <f>Defaults!DO6*Obligors!$G$6*Obligors!$H$6</f>
        <v/>
      </c>
      <c r="DP6" s="21">
        <f>Defaults!DP6*Obligors!$G$6*Obligors!$H$6</f>
        <v/>
      </c>
      <c r="DQ6" s="21">
        <f>Defaults!DQ6*Obligors!$G$6*Obligors!$H$6</f>
        <v/>
      </c>
      <c r="DR6" s="21">
        <f>Defaults!DR6*Obligors!$G$6*Obligors!$H$6</f>
        <v/>
      </c>
      <c r="DS6" s="21">
        <f>Defaults!DS6*Obligors!$G$6*Obligors!$H$6</f>
        <v/>
      </c>
      <c r="DT6" s="21">
        <f>Defaults!DT6*Obligors!$G$6*Obligors!$H$6</f>
        <v/>
      </c>
      <c r="DU6" s="21">
        <f>Defaults!DU6*Obligors!$G$6*Obligors!$H$6</f>
        <v/>
      </c>
      <c r="DV6" s="21">
        <f>Defaults!DV6*Obligors!$G$6*Obligors!$H$6</f>
        <v/>
      </c>
      <c r="DW6" s="21">
        <f>Defaults!DW6*Obligors!$G$6*Obligors!$H$6</f>
        <v/>
      </c>
      <c r="DX6" s="21">
        <f>Defaults!DX6*Obligors!$G$6*Obligors!$H$6</f>
        <v/>
      </c>
      <c r="DY6" s="21">
        <f>Defaults!DY6*Obligors!$G$6*Obligors!$H$6</f>
        <v/>
      </c>
      <c r="DZ6" s="21">
        <f>Defaults!DZ6*Obligors!$G$6*Obligors!$H$6</f>
        <v/>
      </c>
      <c r="EA6" s="21">
        <f>Defaults!EA6*Obligors!$G$6*Obligors!$H$6</f>
        <v/>
      </c>
      <c r="EB6" s="21">
        <f>Defaults!EB6*Obligors!$G$6*Obligors!$H$6</f>
        <v/>
      </c>
      <c r="EC6" s="21">
        <f>Defaults!EC6*Obligors!$G$6*Obligors!$H$6</f>
        <v/>
      </c>
      <c r="ED6" s="21">
        <f>Defaults!ED6*Obligors!$G$6*Obligors!$H$6</f>
        <v/>
      </c>
      <c r="EE6" s="21">
        <f>Defaults!EE6*Obligors!$G$6*Obligors!$H$6</f>
        <v/>
      </c>
      <c r="EF6" s="21">
        <f>Defaults!EF6*Obligors!$G$6*Obligors!$H$6</f>
        <v/>
      </c>
      <c r="EG6" s="21">
        <f>Defaults!EG6*Obligors!$G$6*Obligors!$H$6</f>
        <v/>
      </c>
      <c r="EH6" s="21">
        <f>Defaults!EH6*Obligors!$G$6*Obligors!$H$6</f>
        <v/>
      </c>
      <c r="EI6" s="21">
        <f>Defaults!EI6*Obligors!$G$6*Obligors!$H$6</f>
        <v/>
      </c>
      <c r="EJ6" s="21">
        <f>Defaults!EJ6*Obligors!$G$6*Obligors!$H$6</f>
        <v/>
      </c>
      <c r="EK6" s="21">
        <f>Defaults!EK6*Obligors!$G$6*Obligors!$H$6</f>
        <v/>
      </c>
      <c r="EL6" s="21">
        <f>Defaults!EL6*Obligors!$G$6*Obligors!$H$6</f>
        <v/>
      </c>
      <c r="EM6" s="21">
        <f>Defaults!EM6*Obligors!$G$6*Obligors!$H$6</f>
        <v/>
      </c>
      <c r="EN6" s="21">
        <f>Defaults!EN6*Obligors!$G$6*Obligors!$H$6</f>
        <v/>
      </c>
      <c r="EO6" s="21">
        <f>Defaults!EO6*Obligors!$G$6*Obligors!$H$6</f>
        <v/>
      </c>
      <c r="EP6" s="21">
        <f>Defaults!EP6*Obligors!$G$6*Obligors!$H$6</f>
        <v/>
      </c>
      <c r="EQ6" s="21">
        <f>Defaults!EQ6*Obligors!$G$6*Obligors!$H$6</f>
        <v/>
      </c>
      <c r="ER6" s="21">
        <f>Defaults!ER6*Obligors!$G$6*Obligors!$H$6</f>
        <v/>
      </c>
      <c r="ES6" s="21">
        <f>Defaults!ES6*Obligors!$G$6*Obligors!$H$6</f>
        <v/>
      </c>
      <c r="ET6" s="21">
        <f>Defaults!ET6*Obligors!$G$6*Obligors!$H$6</f>
        <v/>
      </c>
      <c r="EU6" s="21">
        <f>Defaults!EU6*Obligors!$G$6*Obligors!$H$6</f>
        <v/>
      </c>
      <c r="EV6" s="21">
        <f>Defaults!EV6*Obligors!$G$6*Obligors!$H$6</f>
        <v/>
      </c>
      <c r="EW6" s="21">
        <f>Defaults!EW6*Obligors!$G$6*Obligors!$H$6</f>
        <v/>
      </c>
      <c r="EX6" s="21">
        <f>Defaults!EX6*Obligors!$G$6*Obligors!$H$6</f>
        <v/>
      </c>
      <c r="EY6" s="21">
        <f>Defaults!EY6*Obligors!$G$6*Obligors!$H$6</f>
        <v/>
      </c>
      <c r="EZ6" s="21">
        <f>Defaults!EZ6*Obligors!$G$6*Obligors!$H$6</f>
        <v/>
      </c>
      <c r="FA6" s="21">
        <f>Defaults!FA6*Obligors!$G$6*Obligors!$H$6</f>
        <v/>
      </c>
      <c r="FB6" s="21">
        <f>Defaults!FB6*Obligors!$G$6*Obligors!$H$6</f>
        <v/>
      </c>
      <c r="FC6" s="21">
        <f>Defaults!FC6*Obligors!$G$6*Obligors!$H$6</f>
        <v/>
      </c>
      <c r="FD6" s="21">
        <f>Defaults!FD6*Obligors!$G$6*Obligors!$H$6</f>
        <v/>
      </c>
      <c r="FE6" s="21">
        <f>Defaults!FE6*Obligors!$G$6*Obligors!$H$6</f>
        <v/>
      </c>
      <c r="FF6" s="21">
        <f>Defaults!FF6*Obligors!$G$6*Obligors!$H$6</f>
        <v/>
      </c>
      <c r="FG6" s="21">
        <f>Defaults!FG6*Obligors!$G$6*Obligors!$H$6</f>
        <v/>
      </c>
      <c r="FH6" s="21">
        <f>Defaults!FH6*Obligors!$G$6*Obligors!$H$6</f>
        <v/>
      </c>
      <c r="FI6" s="21">
        <f>Defaults!FI6*Obligors!$G$6*Obligors!$H$6</f>
        <v/>
      </c>
      <c r="FJ6" s="21">
        <f>Defaults!FJ6*Obligors!$G$6*Obligors!$H$6</f>
        <v/>
      </c>
      <c r="FK6" s="21">
        <f>Defaults!FK6*Obligors!$G$6*Obligors!$H$6</f>
        <v/>
      </c>
      <c r="FL6" s="21">
        <f>Defaults!FL6*Obligors!$G$6*Obligors!$H$6</f>
        <v/>
      </c>
      <c r="FM6" s="21">
        <f>Defaults!FM6*Obligors!$G$6*Obligors!$H$6</f>
        <v/>
      </c>
      <c r="FN6" s="21">
        <f>Defaults!FN6*Obligors!$G$6*Obligors!$H$6</f>
        <v/>
      </c>
      <c r="FO6" s="21">
        <f>Defaults!FO6*Obligors!$G$6*Obligors!$H$6</f>
        <v/>
      </c>
      <c r="FP6" s="21">
        <f>Defaults!FP6*Obligors!$G$6*Obligors!$H$6</f>
        <v/>
      </c>
      <c r="FQ6" s="21">
        <f>Defaults!FQ6*Obligors!$G$6*Obligors!$H$6</f>
        <v/>
      </c>
      <c r="FR6" s="21">
        <f>Defaults!FR6*Obligors!$G$6*Obligors!$H$6</f>
        <v/>
      </c>
      <c r="FS6" s="21">
        <f>Defaults!FS6*Obligors!$G$6*Obligors!$H$6</f>
        <v/>
      </c>
      <c r="FT6" s="21">
        <f>Defaults!FT6*Obligors!$G$6*Obligors!$H$6</f>
        <v/>
      </c>
      <c r="FU6" s="21">
        <f>Defaults!FU6*Obligors!$G$6*Obligors!$H$6</f>
        <v/>
      </c>
      <c r="FV6" s="21">
        <f>Defaults!FV6*Obligors!$G$6*Obligors!$H$6</f>
        <v/>
      </c>
      <c r="FW6" s="21">
        <f>Defaults!FW6*Obligors!$G$6*Obligors!$H$6</f>
        <v/>
      </c>
      <c r="FX6" s="21">
        <f>Defaults!FX6*Obligors!$G$6*Obligors!$H$6</f>
        <v/>
      </c>
      <c r="FY6" s="21">
        <f>Defaults!FY6*Obligors!$G$6*Obligors!$H$6</f>
        <v/>
      </c>
      <c r="FZ6" s="21">
        <f>Defaults!FZ6*Obligors!$G$6*Obligors!$H$6</f>
        <v/>
      </c>
      <c r="GA6" s="21">
        <f>Defaults!GA6*Obligors!$G$6*Obligors!$H$6</f>
        <v/>
      </c>
      <c r="GB6" s="21">
        <f>Defaults!GB6*Obligors!$G$6*Obligors!$H$6</f>
        <v/>
      </c>
      <c r="GC6" s="21">
        <f>Defaults!GC6*Obligors!$G$6*Obligors!$H$6</f>
        <v/>
      </c>
      <c r="GD6" s="21">
        <f>Defaults!GD6*Obligors!$G$6*Obligors!$H$6</f>
        <v/>
      </c>
      <c r="GE6" s="21">
        <f>Defaults!GE6*Obligors!$G$6*Obligors!$H$6</f>
        <v/>
      </c>
      <c r="GF6" s="21">
        <f>Defaults!GF6*Obligors!$G$6*Obligors!$H$6</f>
        <v/>
      </c>
      <c r="GG6" s="21">
        <f>Defaults!GG6*Obligors!$G$6*Obligors!$H$6</f>
        <v/>
      </c>
      <c r="GH6" s="21">
        <f>Defaults!GH6*Obligors!$G$6*Obligors!$H$6</f>
        <v/>
      </c>
      <c r="GI6" s="21">
        <f>Defaults!GI6*Obligors!$G$6*Obligors!$H$6</f>
        <v/>
      </c>
      <c r="GJ6" s="21">
        <f>Defaults!GJ6*Obligors!$G$6*Obligors!$H$6</f>
        <v/>
      </c>
      <c r="GK6" s="21">
        <f>Defaults!GK6*Obligors!$G$6*Obligors!$H$6</f>
        <v/>
      </c>
      <c r="GL6" s="21">
        <f>Defaults!GL6*Obligors!$G$6*Obligors!$H$6</f>
        <v/>
      </c>
      <c r="GM6" s="21">
        <f>Defaults!GM6*Obligors!$G$6*Obligors!$H$6</f>
        <v/>
      </c>
      <c r="GN6" s="21">
        <f>Defaults!GN6*Obligors!$G$6*Obligors!$H$6</f>
        <v/>
      </c>
      <c r="GO6" s="21">
        <f>Defaults!GO6*Obligors!$G$6*Obligors!$H$6</f>
        <v/>
      </c>
      <c r="GP6" s="21">
        <f>Defaults!GP6*Obligors!$G$6*Obligors!$H$6</f>
        <v/>
      </c>
      <c r="GQ6" s="21">
        <f>Defaults!GQ6*Obligors!$G$6*Obligors!$H$6</f>
        <v/>
      </c>
      <c r="GR6" s="21">
        <f>Defaults!GR6*Obligors!$G$6*Obligors!$H$6</f>
        <v/>
      </c>
      <c r="GS6" s="21">
        <f>Defaults!GS6*Obligors!$G$6*Obligors!$H$6</f>
        <v/>
      </c>
      <c r="GT6" s="21">
        <f>Defaults!GT6*Obligors!$G$6*Obligors!$H$6</f>
        <v/>
      </c>
      <c r="GU6" s="21">
        <f>Defaults!GU6*Obligors!$G$6*Obligors!$H$6</f>
        <v/>
      </c>
      <c r="GV6" s="21">
        <f>Defaults!GV6*Obligors!$G$6*Obligors!$H$6</f>
        <v/>
      </c>
      <c r="GW6" s="21">
        <f>Defaults!GW6*Obligors!$G$6*Obligors!$H$6</f>
        <v/>
      </c>
      <c r="GX6" s="21">
        <f>Defaults!GX6*Obligors!$G$6*Obligors!$H$6</f>
        <v/>
      </c>
      <c r="GY6" s="21">
        <f>Defaults!GY6*Obligors!$G$6*Obligors!$H$6</f>
        <v/>
      </c>
      <c r="GZ6" s="21">
        <f>Defaults!GZ6*Obligors!$G$6*Obligors!$H$6</f>
        <v/>
      </c>
      <c r="HA6" s="21">
        <f>Defaults!HA6*Obligors!$G$6*Obligors!$H$6</f>
        <v/>
      </c>
      <c r="HB6" s="21">
        <f>Defaults!HB6*Obligors!$G$6*Obligors!$H$6</f>
        <v/>
      </c>
      <c r="HC6" s="21">
        <f>Defaults!HC6*Obligors!$G$6*Obligors!$H$6</f>
        <v/>
      </c>
      <c r="HD6" s="21">
        <f>Defaults!HD6*Obligors!$G$6*Obligors!$H$6</f>
        <v/>
      </c>
      <c r="HE6" s="21">
        <f>Defaults!HE6*Obligors!$G$6*Obligors!$H$6</f>
        <v/>
      </c>
      <c r="HF6" s="21">
        <f>Defaults!HF6*Obligors!$G$6*Obligors!$H$6</f>
        <v/>
      </c>
      <c r="HG6" s="21">
        <f>Defaults!HG6*Obligors!$G$6*Obligors!$H$6</f>
        <v/>
      </c>
      <c r="HH6" s="21">
        <f>Defaults!HH6*Obligors!$G$6*Obligors!$H$6</f>
        <v/>
      </c>
      <c r="HI6" s="21">
        <f>Defaults!HI6*Obligors!$G$6*Obligors!$H$6</f>
        <v/>
      </c>
      <c r="HJ6" s="21">
        <f>Defaults!HJ6*Obligors!$G$6*Obligors!$H$6</f>
        <v/>
      </c>
      <c r="HK6" s="21">
        <f>Defaults!HK6*Obligors!$G$6*Obligors!$H$6</f>
        <v/>
      </c>
      <c r="HL6" s="21">
        <f>Defaults!HL6*Obligors!$G$6*Obligors!$H$6</f>
        <v/>
      </c>
      <c r="HM6" s="21">
        <f>Defaults!HM6*Obligors!$G$6*Obligors!$H$6</f>
        <v/>
      </c>
      <c r="HN6" s="21">
        <f>Defaults!HN6*Obligors!$G$6*Obligors!$H$6</f>
        <v/>
      </c>
      <c r="HO6" s="21">
        <f>Defaults!HO6*Obligors!$G$6*Obligors!$H$6</f>
        <v/>
      </c>
      <c r="HP6" s="21">
        <f>Defaults!HP6*Obligors!$G$6*Obligors!$H$6</f>
        <v/>
      </c>
      <c r="HQ6" s="21">
        <f>Defaults!HQ6*Obligors!$G$6*Obligors!$H$6</f>
        <v/>
      </c>
      <c r="HR6" s="21">
        <f>Defaults!HR6*Obligors!$G$6*Obligors!$H$6</f>
        <v/>
      </c>
      <c r="HS6" s="21">
        <f>Defaults!HS6*Obligors!$G$6*Obligors!$H$6</f>
        <v/>
      </c>
      <c r="HT6" s="21">
        <f>Defaults!HT6*Obligors!$G$6*Obligors!$H$6</f>
        <v/>
      </c>
      <c r="HU6" s="21">
        <f>Defaults!HU6*Obligors!$G$6*Obligors!$H$6</f>
        <v/>
      </c>
      <c r="HV6" s="21">
        <f>Defaults!HV6*Obligors!$G$6*Obligors!$H$6</f>
        <v/>
      </c>
      <c r="HW6" s="21">
        <f>Defaults!HW6*Obligors!$G$6*Obligors!$H$6</f>
        <v/>
      </c>
      <c r="HX6" s="21">
        <f>Defaults!HX6*Obligors!$G$6*Obligors!$H$6</f>
        <v/>
      </c>
      <c r="HY6" s="21">
        <f>Defaults!HY6*Obligors!$G$6*Obligors!$H$6</f>
        <v/>
      </c>
      <c r="HZ6" s="21">
        <f>Defaults!HZ6*Obligors!$G$6*Obligors!$H$6</f>
        <v/>
      </c>
      <c r="IA6" s="21">
        <f>Defaults!IA6*Obligors!$G$6*Obligors!$H$6</f>
        <v/>
      </c>
      <c r="IB6" s="21">
        <f>Defaults!IB6*Obligors!$G$6*Obligors!$H$6</f>
        <v/>
      </c>
      <c r="IC6" s="21">
        <f>Defaults!IC6*Obligors!$G$6*Obligors!$H$6</f>
        <v/>
      </c>
      <c r="ID6" s="21">
        <f>Defaults!ID6*Obligors!$G$6*Obligors!$H$6</f>
        <v/>
      </c>
      <c r="IE6" s="21">
        <f>Defaults!IE6*Obligors!$G$6*Obligors!$H$6</f>
        <v/>
      </c>
      <c r="IF6" s="21">
        <f>Defaults!IF6*Obligors!$G$6*Obligors!$H$6</f>
        <v/>
      </c>
      <c r="IG6" s="21">
        <f>Defaults!IG6*Obligors!$G$6*Obligors!$H$6</f>
        <v/>
      </c>
      <c r="IH6" s="21">
        <f>Defaults!IH6*Obligors!$G$6*Obligors!$H$6</f>
        <v/>
      </c>
      <c r="II6" s="21">
        <f>Defaults!II6*Obligors!$G$6*Obligors!$H$6</f>
        <v/>
      </c>
      <c r="IJ6" s="21">
        <f>Defaults!IJ6*Obligors!$G$6*Obligors!$H$6</f>
        <v/>
      </c>
      <c r="IK6" s="21">
        <f>Defaults!IK6*Obligors!$G$6*Obligors!$H$6</f>
        <v/>
      </c>
      <c r="IL6" s="21">
        <f>Defaults!IL6*Obligors!$G$6*Obligors!$H$6</f>
        <v/>
      </c>
      <c r="IM6" s="21">
        <f>Defaults!IM6*Obligors!$G$6*Obligors!$H$6</f>
        <v/>
      </c>
      <c r="IN6" s="21">
        <f>Defaults!IN6*Obligors!$G$6*Obligors!$H$6</f>
        <v/>
      </c>
      <c r="IO6" s="21">
        <f>Defaults!IO6*Obligors!$G$6*Obligors!$H$6</f>
        <v/>
      </c>
      <c r="IP6" s="21">
        <f>Defaults!IP6*Obligors!$G$6*Obligors!$H$6</f>
        <v/>
      </c>
      <c r="IQ6" s="21">
        <f>Defaults!IQ6*Obligors!$G$6*Obligors!$H$6</f>
        <v/>
      </c>
      <c r="IR6" s="21">
        <f>Defaults!IR6*Obligors!$G$6*Obligors!$H$6</f>
        <v/>
      </c>
      <c r="IS6" s="21">
        <f>Defaults!IS6*Obligors!$G$6*Obligors!$H$6</f>
        <v/>
      </c>
      <c r="IT6" s="21">
        <f>Defaults!IT6*Obligors!$G$6*Obligors!$H$6</f>
        <v/>
      </c>
      <c r="IU6" s="21">
        <f>Defaults!IU6*Obligors!$G$6*Obligors!$H$6</f>
        <v/>
      </c>
      <c r="IV6" s="21">
        <f>Defaults!IV6*Obligors!$G$6*Obligors!$H$6</f>
        <v/>
      </c>
      <c r="IW6" s="21">
        <f>Defaults!IW6*Obligors!$G$6*Obligors!$H$6</f>
        <v/>
      </c>
      <c r="IX6" s="21">
        <f>Defaults!IX6*Obligors!$G$6*Obligors!$H$6</f>
        <v/>
      </c>
      <c r="IY6" s="21">
        <f>Defaults!IY6*Obligors!$G$6*Obligors!$H$6</f>
        <v/>
      </c>
      <c r="IZ6" s="21">
        <f>Defaults!IZ6*Obligors!$G$6*Obligors!$H$6</f>
        <v/>
      </c>
      <c r="JA6" s="21">
        <f>Defaults!JA6*Obligors!$G$6*Obligors!$H$6</f>
        <v/>
      </c>
      <c r="JB6" s="21">
        <f>Defaults!JB6*Obligors!$G$6*Obligors!$H$6</f>
        <v/>
      </c>
      <c r="JC6" s="21">
        <f>Defaults!JC6*Obligors!$G$6*Obligors!$H$6</f>
        <v/>
      </c>
      <c r="JD6" s="21">
        <f>Defaults!JD6*Obligors!$G$6*Obligors!$H$6</f>
        <v/>
      </c>
      <c r="JE6" s="21">
        <f>Defaults!JE6*Obligors!$G$6*Obligors!$H$6</f>
        <v/>
      </c>
      <c r="JF6" s="21">
        <f>Defaults!JF6*Obligors!$G$6*Obligors!$H$6</f>
        <v/>
      </c>
      <c r="JG6" s="21">
        <f>Defaults!JG6*Obligors!$G$6*Obligors!$H$6</f>
        <v/>
      </c>
      <c r="JH6" s="21">
        <f>Defaults!JH6*Obligors!$G$6*Obligors!$H$6</f>
        <v/>
      </c>
      <c r="JI6" s="21">
        <f>Defaults!JI6*Obligors!$G$6*Obligors!$H$6</f>
        <v/>
      </c>
      <c r="JJ6" s="21">
        <f>Defaults!JJ6*Obligors!$G$6*Obligors!$H$6</f>
        <v/>
      </c>
      <c r="JK6" s="21">
        <f>Defaults!JK6*Obligors!$G$6*Obligors!$H$6</f>
        <v/>
      </c>
      <c r="JL6" s="21">
        <f>Defaults!JL6*Obligors!$G$6*Obligors!$H$6</f>
        <v/>
      </c>
      <c r="JM6" s="21">
        <f>Defaults!JM6*Obligors!$G$6*Obligors!$H$6</f>
        <v/>
      </c>
      <c r="JN6" s="21">
        <f>Defaults!JN6*Obligors!$G$6*Obligors!$H$6</f>
        <v/>
      </c>
      <c r="JO6" s="21">
        <f>Defaults!JO6*Obligors!$G$6*Obligors!$H$6</f>
        <v/>
      </c>
      <c r="JP6" s="21">
        <f>Defaults!JP6*Obligors!$G$6*Obligors!$H$6</f>
        <v/>
      </c>
      <c r="JQ6" s="21">
        <f>Defaults!JQ6*Obligors!$G$6*Obligors!$H$6</f>
        <v/>
      </c>
      <c r="JR6" s="21">
        <f>Defaults!JR6*Obligors!$G$6*Obligors!$H$6</f>
        <v/>
      </c>
      <c r="JS6" s="21">
        <f>Defaults!JS6*Obligors!$G$6*Obligors!$H$6</f>
        <v/>
      </c>
      <c r="JT6" s="21">
        <f>Defaults!JT6*Obligors!$G$6*Obligors!$H$6</f>
        <v/>
      </c>
      <c r="JU6" s="21">
        <f>Defaults!JU6*Obligors!$G$6*Obligors!$H$6</f>
        <v/>
      </c>
      <c r="JV6" s="21">
        <f>Defaults!JV6*Obligors!$G$6*Obligors!$H$6</f>
        <v/>
      </c>
      <c r="JW6" s="21">
        <f>Defaults!JW6*Obligors!$G$6*Obligors!$H$6</f>
        <v/>
      </c>
      <c r="JX6" s="21">
        <f>Defaults!JX6*Obligors!$G$6*Obligors!$H$6</f>
        <v/>
      </c>
      <c r="JY6" s="21">
        <f>Defaults!JY6*Obligors!$G$6*Obligors!$H$6</f>
        <v/>
      </c>
      <c r="JZ6" s="21">
        <f>Defaults!JZ6*Obligors!$G$6*Obligors!$H$6</f>
        <v/>
      </c>
      <c r="KA6" s="21">
        <f>Defaults!KA6*Obligors!$G$6*Obligors!$H$6</f>
        <v/>
      </c>
      <c r="KB6" s="21">
        <f>Defaults!KB6*Obligors!$G$6*Obligors!$H$6</f>
        <v/>
      </c>
      <c r="KC6" s="21">
        <f>Defaults!KC6*Obligors!$G$6*Obligors!$H$6</f>
        <v/>
      </c>
      <c r="KD6" s="21">
        <f>Defaults!KD6*Obligors!$G$6*Obligors!$H$6</f>
        <v/>
      </c>
      <c r="KE6" s="21">
        <f>Defaults!KE6*Obligors!$G$6*Obligors!$H$6</f>
        <v/>
      </c>
      <c r="KF6" s="21">
        <f>Defaults!KF6*Obligors!$G$6*Obligors!$H$6</f>
        <v/>
      </c>
      <c r="KG6" s="21">
        <f>Defaults!KG6*Obligors!$G$6*Obligors!$H$6</f>
        <v/>
      </c>
      <c r="KH6" s="21">
        <f>Defaults!KH6*Obligors!$G$6*Obligors!$H$6</f>
        <v/>
      </c>
      <c r="KI6" s="21">
        <f>Defaults!KI6*Obligors!$G$6*Obligors!$H$6</f>
        <v/>
      </c>
      <c r="KJ6" s="21">
        <f>Defaults!KJ6*Obligors!$G$6*Obligors!$H$6</f>
        <v/>
      </c>
      <c r="KK6" s="21">
        <f>Defaults!KK6*Obligors!$G$6*Obligors!$H$6</f>
        <v/>
      </c>
      <c r="KL6" s="21">
        <f>Defaults!KL6*Obligors!$G$6*Obligors!$H$6</f>
        <v/>
      </c>
      <c r="KM6" s="21">
        <f>Defaults!KM6*Obligors!$G$6*Obligors!$H$6</f>
        <v/>
      </c>
      <c r="KN6" s="21">
        <f>Defaults!KN6*Obligors!$G$6*Obligors!$H$6</f>
        <v/>
      </c>
      <c r="KO6" s="21">
        <f>Defaults!KO6*Obligors!$G$6*Obligors!$H$6</f>
        <v/>
      </c>
      <c r="KP6" s="21">
        <f>Defaults!KP6*Obligors!$G$6*Obligors!$H$6</f>
        <v/>
      </c>
      <c r="KQ6" s="21">
        <f>Defaults!KQ6*Obligors!$G$6*Obligors!$H$6</f>
        <v/>
      </c>
      <c r="KR6" s="21">
        <f>Defaults!KR6*Obligors!$G$6*Obligors!$H$6</f>
        <v/>
      </c>
      <c r="KS6" s="21">
        <f>Defaults!KS6*Obligors!$G$6*Obligors!$H$6</f>
        <v/>
      </c>
      <c r="KT6" s="21">
        <f>Defaults!KT6*Obligors!$G$6*Obligors!$H$6</f>
        <v/>
      </c>
      <c r="KU6" s="21">
        <f>Defaults!KU6*Obligors!$G$6*Obligors!$H$6</f>
        <v/>
      </c>
      <c r="KV6" s="21">
        <f>Defaults!KV6*Obligors!$G$6*Obligors!$H$6</f>
        <v/>
      </c>
      <c r="KW6" s="21">
        <f>Defaults!KW6*Obligors!$G$6*Obligors!$H$6</f>
        <v/>
      </c>
      <c r="KX6" s="21">
        <f>Defaults!KX6*Obligors!$G$6*Obligors!$H$6</f>
        <v/>
      </c>
      <c r="KY6" s="21">
        <f>Defaults!KY6*Obligors!$G$6*Obligors!$H$6</f>
        <v/>
      </c>
      <c r="KZ6" s="21">
        <f>Defaults!KZ6*Obligors!$G$6*Obligors!$H$6</f>
        <v/>
      </c>
      <c r="LA6" s="21">
        <f>Defaults!LA6*Obligors!$G$6*Obligors!$H$6</f>
        <v/>
      </c>
      <c r="LB6" s="21">
        <f>Defaults!LB6*Obligors!$G$6*Obligors!$H$6</f>
        <v/>
      </c>
      <c r="LC6" s="21">
        <f>Defaults!LC6*Obligors!$G$6*Obligors!$H$6</f>
        <v/>
      </c>
      <c r="LD6" s="21">
        <f>Defaults!LD6*Obligors!$G$6*Obligors!$H$6</f>
        <v/>
      </c>
      <c r="LE6" s="21">
        <f>Defaults!LE6*Obligors!$G$6*Obligors!$H$6</f>
        <v/>
      </c>
      <c r="LF6" s="21">
        <f>Defaults!LF6*Obligors!$G$6*Obligors!$H$6</f>
        <v/>
      </c>
      <c r="LG6" s="21">
        <f>Defaults!LG6*Obligors!$G$6*Obligors!$H$6</f>
        <v/>
      </c>
      <c r="LH6" s="21">
        <f>Defaults!LH6*Obligors!$G$6*Obligors!$H$6</f>
        <v/>
      </c>
      <c r="LI6" s="21">
        <f>Defaults!LI6*Obligors!$G$6*Obligors!$H$6</f>
        <v/>
      </c>
      <c r="LJ6" s="21">
        <f>Defaults!LJ6*Obligors!$G$6*Obligors!$H$6</f>
        <v/>
      </c>
      <c r="LK6" s="21">
        <f>Defaults!LK6*Obligors!$G$6*Obligors!$H$6</f>
        <v/>
      </c>
      <c r="LL6" s="21">
        <f>Defaults!LL6*Obligors!$G$6*Obligors!$H$6</f>
        <v/>
      </c>
      <c r="LM6" s="21">
        <f>Defaults!LM6*Obligors!$G$6*Obligors!$H$6</f>
        <v/>
      </c>
      <c r="LN6" s="21">
        <f>Defaults!LN6*Obligors!$G$6*Obligors!$H$6</f>
        <v/>
      </c>
      <c r="LO6" s="21">
        <f>Defaults!LO6*Obligors!$G$6*Obligors!$H$6</f>
        <v/>
      </c>
      <c r="LP6" s="21">
        <f>Defaults!LP6*Obligors!$G$6*Obligors!$H$6</f>
        <v/>
      </c>
      <c r="LQ6" s="21">
        <f>Defaults!LQ6*Obligors!$G$6*Obligors!$H$6</f>
        <v/>
      </c>
      <c r="LR6" s="21">
        <f>Defaults!LR6*Obligors!$G$6*Obligors!$H$6</f>
        <v/>
      </c>
      <c r="LS6" s="21">
        <f>Defaults!LS6*Obligors!$G$6*Obligors!$H$6</f>
        <v/>
      </c>
      <c r="LT6" s="21">
        <f>Defaults!LT6*Obligors!$G$6*Obligors!$H$6</f>
        <v/>
      </c>
      <c r="LU6" s="21">
        <f>Defaults!LU6*Obligors!$G$6*Obligors!$H$6</f>
        <v/>
      </c>
      <c r="LV6" s="21">
        <f>Defaults!LV6*Obligors!$G$6*Obligors!$H$6</f>
        <v/>
      </c>
      <c r="LW6" s="21">
        <f>Defaults!LW6*Obligors!$G$6*Obligors!$H$6</f>
        <v/>
      </c>
      <c r="LX6" s="21">
        <f>Defaults!LX6*Obligors!$G$6*Obligors!$H$6</f>
        <v/>
      </c>
      <c r="LY6" s="21">
        <f>Defaults!LY6*Obligors!$G$6*Obligors!$H$6</f>
        <v/>
      </c>
      <c r="LZ6" s="21">
        <f>Defaults!LZ6*Obligors!$G$6*Obligors!$H$6</f>
        <v/>
      </c>
      <c r="MA6" s="21">
        <f>Defaults!MA6*Obligors!$G$6*Obligors!$H$6</f>
        <v/>
      </c>
      <c r="MB6" s="21">
        <f>Defaults!MB6*Obligors!$G$6*Obligors!$H$6</f>
        <v/>
      </c>
      <c r="MC6" s="21">
        <f>Defaults!MC6*Obligors!$G$6*Obligors!$H$6</f>
        <v/>
      </c>
      <c r="MD6" s="21">
        <f>Defaults!MD6*Obligors!$G$6*Obligors!$H$6</f>
        <v/>
      </c>
      <c r="ME6" s="21">
        <f>Defaults!ME6*Obligors!$G$6*Obligors!$H$6</f>
        <v/>
      </c>
      <c r="MF6" s="21">
        <f>Defaults!MF6*Obligors!$G$6*Obligors!$H$6</f>
        <v/>
      </c>
      <c r="MG6" s="21">
        <f>Defaults!MG6*Obligors!$G$6*Obligors!$H$6</f>
        <v/>
      </c>
      <c r="MH6" s="21">
        <f>Defaults!MH6*Obligors!$G$6*Obligors!$H$6</f>
        <v/>
      </c>
      <c r="MI6" s="21">
        <f>Defaults!MI6*Obligors!$G$6*Obligors!$H$6</f>
        <v/>
      </c>
      <c r="MJ6" s="21">
        <f>Defaults!MJ6*Obligors!$G$6*Obligors!$H$6</f>
        <v/>
      </c>
      <c r="MK6" s="21">
        <f>Defaults!MK6*Obligors!$G$6*Obligors!$H$6</f>
        <v/>
      </c>
      <c r="ML6" s="21">
        <f>Defaults!ML6*Obligors!$G$6*Obligors!$H$6</f>
        <v/>
      </c>
      <c r="MM6" s="21">
        <f>Defaults!MM6*Obligors!$G$6*Obligors!$H$6</f>
        <v/>
      </c>
      <c r="MN6" s="21">
        <f>Defaults!MN6*Obligors!$G$6*Obligors!$H$6</f>
        <v/>
      </c>
      <c r="MO6" s="21">
        <f>Defaults!MO6*Obligors!$G$6*Obligors!$H$6</f>
        <v/>
      </c>
      <c r="MP6" s="21">
        <f>Defaults!MP6*Obligors!$G$6*Obligors!$H$6</f>
        <v/>
      </c>
      <c r="MQ6" s="21">
        <f>Defaults!MQ6*Obligors!$G$6*Obligors!$H$6</f>
        <v/>
      </c>
      <c r="MR6" s="21">
        <f>Defaults!MR6*Obligors!$G$6*Obligors!$H$6</f>
        <v/>
      </c>
      <c r="MS6" s="21">
        <f>Defaults!MS6*Obligors!$G$6*Obligors!$H$6</f>
        <v/>
      </c>
      <c r="MT6" s="21">
        <f>Defaults!MT6*Obligors!$G$6*Obligors!$H$6</f>
        <v/>
      </c>
      <c r="MU6" s="21">
        <f>Defaults!MU6*Obligors!$G$6*Obligors!$H$6</f>
        <v/>
      </c>
      <c r="MV6" s="21">
        <f>Defaults!MV6*Obligors!$G$6*Obligors!$H$6</f>
        <v/>
      </c>
      <c r="MW6" s="21">
        <f>Defaults!MW6*Obligors!$G$6*Obligors!$H$6</f>
        <v/>
      </c>
      <c r="MX6" s="21">
        <f>Defaults!MX6*Obligors!$G$6*Obligors!$H$6</f>
        <v/>
      </c>
      <c r="MY6" s="21">
        <f>Defaults!MY6*Obligors!$G$6*Obligors!$H$6</f>
        <v/>
      </c>
      <c r="MZ6" s="21">
        <f>Defaults!MZ6*Obligors!$G$6*Obligors!$H$6</f>
        <v/>
      </c>
      <c r="NA6" s="21">
        <f>Defaults!NA6*Obligors!$G$6*Obligors!$H$6</f>
        <v/>
      </c>
      <c r="NB6" s="21">
        <f>Defaults!NB6*Obligors!$G$6*Obligors!$H$6</f>
        <v/>
      </c>
      <c r="NC6" s="21">
        <f>Defaults!NC6*Obligors!$G$6*Obligors!$H$6</f>
        <v/>
      </c>
      <c r="ND6" s="21">
        <f>Defaults!ND6*Obligors!$G$6*Obligors!$H$6</f>
        <v/>
      </c>
      <c r="NE6" s="21">
        <f>Defaults!NE6*Obligors!$G$6*Obligors!$H$6</f>
        <v/>
      </c>
      <c r="NF6" s="21">
        <f>Defaults!NF6*Obligors!$G$6*Obligors!$H$6</f>
        <v/>
      </c>
      <c r="NG6" s="21">
        <f>Defaults!NG6*Obligors!$G$6*Obligors!$H$6</f>
        <v/>
      </c>
      <c r="NH6" s="21">
        <f>Defaults!NH6*Obligors!$G$6*Obligors!$H$6</f>
        <v/>
      </c>
      <c r="NI6" s="21">
        <f>Defaults!NI6*Obligors!$G$6*Obligors!$H$6</f>
        <v/>
      </c>
      <c r="NJ6" s="21">
        <f>Defaults!NJ6*Obligors!$G$6*Obligors!$H$6</f>
        <v/>
      </c>
      <c r="NK6" s="21">
        <f>Defaults!NK6*Obligors!$G$6*Obligors!$H$6</f>
        <v/>
      </c>
      <c r="NL6" s="21">
        <f>Defaults!NL6*Obligors!$G$6*Obligors!$H$6</f>
        <v/>
      </c>
      <c r="NM6" s="21">
        <f>Defaults!NM6*Obligors!$G$6*Obligors!$H$6</f>
        <v/>
      </c>
      <c r="NN6" s="21">
        <f>Defaults!NN6*Obligors!$G$6*Obligors!$H$6</f>
        <v/>
      </c>
      <c r="NO6" s="21">
        <f>Defaults!NO6*Obligors!$G$6*Obligors!$H$6</f>
        <v/>
      </c>
      <c r="NP6" s="21">
        <f>Defaults!NP6*Obligors!$G$6*Obligors!$H$6</f>
        <v/>
      </c>
      <c r="NQ6" s="21">
        <f>Defaults!NQ6*Obligors!$G$6*Obligors!$H$6</f>
        <v/>
      </c>
      <c r="NR6" s="21">
        <f>Defaults!NR6*Obligors!$G$6*Obligors!$H$6</f>
        <v/>
      </c>
      <c r="NS6" s="21">
        <f>Defaults!NS6*Obligors!$G$6*Obligors!$H$6</f>
        <v/>
      </c>
      <c r="NT6" s="21">
        <f>Defaults!NT6*Obligors!$G$6*Obligors!$H$6</f>
        <v/>
      </c>
      <c r="NU6" s="21">
        <f>Defaults!NU6*Obligors!$G$6*Obligors!$H$6</f>
        <v/>
      </c>
      <c r="NV6" s="21">
        <f>Defaults!NV6*Obligors!$G$6*Obligors!$H$6</f>
        <v/>
      </c>
      <c r="NW6" s="21">
        <f>Defaults!NW6*Obligors!$G$6*Obligors!$H$6</f>
        <v/>
      </c>
      <c r="NX6" s="21">
        <f>Defaults!NX6*Obligors!$G$6*Obligors!$H$6</f>
        <v/>
      </c>
      <c r="NY6" s="21">
        <f>Defaults!NY6*Obligors!$G$6*Obligors!$H$6</f>
        <v/>
      </c>
      <c r="NZ6" s="21">
        <f>Defaults!NZ6*Obligors!$G$6*Obligors!$H$6</f>
        <v/>
      </c>
      <c r="OA6" s="21">
        <f>Defaults!OA6*Obligors!$G$6*Obligors!$H$6</f>
        <v/>
      </c>
      <c r="OB6" s="21">
        <f>Defaults!OB6*Obligors!$G$6*Obligors!$H$6</f>
        <v/>
      </c>
      <c r="OC6" s="21">
        <f>Defaults!OC6*Obligors!$G$6*Obligors!$H$6</f>
        <v/>
      </c>
      <c r="OD6" s="21">
        <f>Defaults!OD6*Obligors!$G$6*Obligors!$H$6</f>
        <v/>
      </c>
      <c r="OE6" s="21">
        <f>Defaults!OE6*Obligors!$G$6*Obligors!$H$6</f>
        <v/>
      </c>
      <c r="OF6" s="21">
        <f>Defaults!OF6*Obligors!$G$6*Obligors!$H$6</f>
        <v/>
      </c>
      <c r="OG6" s="21">
        <f>Defaults!OG6*Obligors!$G$6*Obligors!$H$6</f>
        <v/>
      </c>
      <c r="OH6" s="21">
        <f>Defaults!OH6*Obligors!$G$6*Obligors!$H$6</f>
        <v/>
      </c>
      <c r="OI6" s="21">
        <f>Defaults!OI6*Obligors!$G$6*Obligors!$H$6</f>
        <v/>
      </c>
      <c r="OJ6" s="21">
        <f>Defaults!OJ6*Obligors!$G$6*Obligors!$H$6</f>
        <v/>
      </c>
      <c r="OK6" s="21">
        <f>Defaults!OK6*Obligors!$G$6*Obligors!$H$6</f>
        <v/>
      </c>
      <c r="OL6" s="21">
        <f>Defaults!OL6*Obligors!$G$6*Obligors!$H$6</f>
        <v/>
      </c>
      <c r="OM6" s="21">
        <f>Defaults!OM6*Obligors!$G$6*Obligors!$H$6</f>
        <v/>
      </c>
      <c r="ON6" s="21">
        <f>Defaults!ON6*Obligors!$G$6*Obligors!$H$6</f>
        <v/>
      </c>
      <c r="OO6" s="21">
        <f>Defaults!OO6*Obligors!$G$6*Obligors!$H$6</f>
        <v/>
      </c>
      <c r="OP6" s="21">
        <f>Defaults!OP6*Obligors!$G$6*Obligors!$H$6</f>
        <v/>
      </c>
      <c r="OQ6" s="21">
        <f>Defaults!OQ6*Obligors!$G$6*Obligors!$H$6</f>
        <v/>
      </c>
      <c r="OR6" s="21">
        <f>Defaults!OR6*Obligors!$G$6*Obligors!$H$6</f>
        <v/>
      </c>
      <c r="OS6" s="21">
        <f>Defaults!OS6*Obligors!$G$6*Obligors!$H$6</f>
        <v/>
      </c>
      <c r="OT6" s="21">
        <f>Defaults!OT6*Obligors!$G$6*Obligors!$H$6</f>
        <v/>
      </c>
      <c r="OU6" s="21">
        <f>Defaults!OU6*Obligors!$G$6*Obligors!$H$6</f>
        <v/>
      </c>
      <c r="OV6" s="21">
        <f>Defaults!OV6*Obligors!$G$6*Obligors!$H$6</f>
        <v/>
      </c>
      <c r="OW6" s="21">
        <f>Defaults!OW6*Obligors!$G$6*Obligors!$H$6</f>
        <v/>
      </c>
      <c r="OX6" s="21">
        <f>Defaults!OX6*Obligors!$G$6*Obligors!$H$6</f>
        <v/>
      </c>
      <c r="OY6" s="21">
        <f>Defaults!OY6*Obligors!$G$6*Obligors!$H$6</f>
        <v/>
      </c>
      <c r="OZ6" s="21">
        <f>Defaults!OZ6*Obligors!$G$6*Obligors!$H$6</f>
        <v/>
      </c>
      <c r="PA6" s="21">
        <f>Defaults!PA6*Obligors!$G$6*Obligors!$H$6</f>
        <v/>
      </c>
      <c r="PB6" s="21">
        <f>Defaults!PB6*Obligors!$G$6*Obligors!$H$6</f>
        <v/>
      </c>
      <c r="PC6" s="21">
        <f>Defaults!PC6*Obligors!$G$6*Obligors!$H$6</f>
        <v/>
      </c>
      <c r="PD6" s="21">
        <f>Defaults!PD6*Obligors!$G$6*Obligors!$H$6</f>
        <v/>
      </c>
      <c r="PE6" s="21">
        <f>Defaults!PE6*Obligors!$G$6*Obligors!$H$6</f>
        <v/>
      </c>
      <c r="PF6" s="21">
        <f>Defaults!PF6*Obligors!$G$6*Obligors!$H$6</f>
        <v/>
      </c>
      <c r="PG6" s="21">
        <f>Defaults!PG6*Obligors!$G$6*Obligors!$H$6</f>
        <v/>
      </c>
      <c r="PH6" s="21">
        <f>Defaults!PH6*Obligors!$G$6*Obligors!$H$6</f>
        <v/>
      </c>
      <c r="PI6" s="21">
        <f>Defaults!PI6*Obligors!$G$6*Obligors!$H$6</f>
        <v/>
      </c>
      <c r="PJ6" s="21">
        <f>Defaults!PJ6*Obligors!$G$6*Obligors!$H$6</f>
        <v/>
      </c>
      <c r="PK6" s="21">
        <f>Defaults!PK6*Obligors!$G$6*Obligors!$H$6</f>
        <v/>
      </c>
      <c r="PL6" s="21">
        <f>Defaults!PL6*Obligors!$G$6*Obligors!$H$6</f>
        <v/>
      </c>
      <c r="PM6" s="21">
        <f>Defaults!PM6*Obligors!$G$6*Obligors!$H$6</f>
        <v/>
      </c>
      <c r="PN6" s="21">
        <f>Defaults!PN6*Obligors!$G$6*Obligors!$H$6</f>
        <v/>
      </c>
      <c r="PO6" s="21">
        <f>Defaults!PO6*Obligors!$G$6*Obligors!$H$6</f>
        <v/>
      </c>
      <c r="PP6" s="21">
        <f>Defaults!PP6*Obligors!$G$6*Obligors!$H$6</f>
        <v/>
      </c>
      <c r="PQ6" s="21">
        <f>Defaults!PQ6*Obligors!$G$6*Obligors!$H$6</f>
        <v/>
      </c>
      <c r="PR6" s="21">
        <f>Defaults!PR6*Obligors!$G$6*Obligors!$H$6</f>
        <v/>
      </c>
      <c r="PS6" s="21">
        <f>Defaults!PS6*Obligors!$G$6*Obligors!$H$6</f>
        <v/>
      </c>
      <c r="PT6" s="21">
        <f>Defaults!PT6*Obligors!$G$6*Obligors!$H$6</f>
        <v/>
      </c>
      <c r="PU6" s="21">
        <f>Defaults!PU6*Obligors!$G$6*Obligors!$H$6</f>
        <v/>
      </c>
      <c r="PV6" s="21">
        <f>Defaults!PV6*Obligors!$G$6*Obligors!$H$6</f>
        <v/>
      </c>
      <c r="PW6" s="21">
        <f>Defaults!PW6*Obligors!$G$6*Obligors!$H$6</f>
        <v/>
      </c>
      <c r="PX6" s="21">
        <f>Defaults!PX6*Obligors!$G$6*Obligors!$H$6</f>
        <v/>
      </c>
      <c r="PY6" s="21">
        <f>Defaults!PY6*Obligors!$G$6*Obligors!$H$6</f>
        <v/>
      </c>
      <c r="PZ6" s="21">
        <f>Defaults!PZ6*Obligors!$G$6*Obligors!$H$6</f>
        <v/>
      </c>
      <c r="QA6" s="21">
        <f>Defaults!QA6*Obligors!$G$6*Obligors!$H$6</f>
        <v/>
      </c>
      <c r="QB6" s="21">
        <f>Defaults!QB6*Obligors!$G$6*Obligors!$H$6</f>
        <v/>
      </c>
      <c r="QC6" s="21">
        <f>Defaults!QC6*Obligors!$G$6*Obligors!$H$6</f>
        <v/>
      </c>
      <c r="QD6" s="21">
        <f>Defaults!QD6*Obligors!$G$6*Obligors!$H$6</f>
        <v/>
      </c>
      <c r="QE6" s="21">
        <f>Defaults!QE6*Obligors!$G$6*Obligors!$H$6</f>
        <v/>
      </c>
      <c r="QF6" s="21">
        <f>Defaults!QF6*Obligors!$G$6*Obligors!$H$6</f>
        <v/>
      </c>
      <c r="QG6" s="21">
        <f>Defaults!QG6*Obligors!$G$6*Obligors!$H$6</f>
        <v/>
      </c>
      <c r="QH6" s="21">
        <f>Defaults!QH6*Obligors!$G$6*Obligors!$H$6</f>
        <v/>
      </c>
      <c r="QI6" s="21">
        <f>Defaults!QI6*Obligors!$G$6*Obligors!$H$6</f>
        <v/>
      </c>
      <c r="QJ6" s="21">
        <f>Defaults!QJ6*Obligors!$G$6*Obligors!$H$6</f>
        <v/>
      </c>
      <c r="QK6" s="21">
        <f>Defaults!QK6*Obligors!$G$6*Obligors!$H$6</f>
        <v/>
      </c>
      <c r="QL6" s="21">
        <f>Defaults!QL6*Obligors!$G$6*Obligors!$H$6</f>
        <v/>
      </c>
      <c r="QM6" s="21">
        <f>Defaults!QM6*Obligors!$G$6*Obligors!$H$6</f>
        <v/>
      </c>
      <c r="QN6" s="21">
        <f>Defaults!QN6*Obligors!$G$6*Obligors!$H$6</f>
        <v/>
      </c>
      <c r="QO6" s="21">
        <f>Defaults!QO6*Obligors!$G$6*Obligors!$H$6</f>
        <v/>
      </c>
      <c r="QP6" s="21">
        <f>Defaults!QP6*Obligors!$G$6*Obligors!$H$6</f>
        <v/>
      </c>
      <c r="QQ6" s="21">
        <f>Defaults!QQ6*Obligors!$G$6*Obligors!$H$6</f>
        <v/>
      </c>
      <c r="QR6" s="21">
        <f>Defaults!QR6*Obligors!$G$6*Obligors!$H$6</f>
        <v/>
      </c>
      <c r="QS6" s="21">
        <f>Defaults!QS6*Obligors!$G$6*Obligors!$H$6</f>
        <v/>
      </c>
      <c r="QT6" s="21">
        <f>Defaults!QT6*Obligors!$G$6*Obligors!$H$6</f>
        <v/>
      </c>
      <c r="QU6" s="21">
        <f>Defaults!QU6*Obligors!$G$6*Obligors!$H$6</f>
        <v/>
      </c>
      <c r="QV6" s="21">
        <f>Defaults!QV6*Obligors!$G$6*Obligors!$H$6</f>
        <v/>
      </c>
      <c r="QW6" s="21">
        <f>Defaults!QW6*Obligors!$G$6*Obligors!$H$6</f>
        <v/>
      </c>
      <c r="QX6" s="21">
        <f>Defaults!QX6*Obligors!$G$6*Obligors!$H$6</f>
        <v/>
      </c>
      <c r="QY6" s="21">
        <f>Defaults!QY6*Obligors!$G$6*Obligors!$H$6</f>
        <v/>
      </c>
      <c r="QZ6" s="21">
        <f>Defaults!QZ6*Obligors!$G$6*Obligors!$H$6</f>
        <v/>
      </c>
      <c r="RA6" s="21">
        <f>Defaults!RA6*Obligors!$G$6*Obligors!$H$6</f>
        <v/>
      </c>
      <c r="RB6" s="21">
        <f>Defaults!RB6*Obligors!$G$6*Obligors!$H$6</f>
        <v/>
      </c>
      <c r="RC6" s="21">
        <f>Defaults!RC6*Obligors!$G$6*Obligors!$H$6</f>
        <v/>
      </c>
      <c r="RD6" s="21">
        <f>Defaults!RD6*Obligors!$G$6*Obligors!$H$6</f>
        <v/>
      </c>
      <c r="RE6" s="21">
        <f>Defaults!RE6*Obligors!$G$6*Obligors!$H$6</f>
        <v/>
      </c>
      <c r="RF6" s="21">
        <f>Defaults!RF6*Obligors!$G$6*Obligors!$H$6</f>
        <v/>
      </c>
      <c r="RG6" s="21">
        <f>Defaults!RG6*Obligors!$G$6*Obligors!$H$6</f>
        <v/>
      </c>
      <c r="RH6" s="21">
        <f>Defaults!RH6*Obligors!$G$6*Obligors!$H$6</f>
        <v/>
      </c>
      <c r="RI6" s="21">
        <f>Defaults!RI6*Obligors!$G$6*Obligors!$H$6</f>
        <v/>
      </c>
      <c r="RJ6" s="21">
        <f>Defaults!RJ6*Obligors!$G$6*Obligors!$H$6</f>
        <v/>
      </c>
      <c r="RK6" s="21">
        <f>Defaults!RK6*Obligors!$G$6*Obligors!$H$6</f>
        <v/>
      </c>
      <c r="RL6" s="21">
        <f>Defaults!RL6*Obligors!$G$6*Obligors!$H$6</f>
        <v/>
      </c>
      <c r="RM6" s="21">
        <f>Defaults!RM6*Obligors!$G$6*Obligors!$H$6</f>
        <v/>
      </c>
      <c r="RN6" s="21">
        <f>Defaults!RN6*Obligors!$G$6*Obligors!$H$6</f>
        <v/>
      </c>
      <c r="RO6" s="21">
        <f>Defaults!RO6*Obligors!$G$6*Obligors!$H$6</f>
        <v/>
      </c>
      <c r="RP6" s="21">
        <f>Defaults!RP6*Obligors!$G$6*Obligors!$H$6</f>
        <v/>
      </c>
      <c r="RQ6" s="21">
        <f>Defaults!RQ6*Obligors!$G$6*Obligors!$H$6</f>
        <v/>
      </c>
      <c r="RR6" s="21">
        <f>Defaults!RR6*Obligors!$G$6*Obligors!$H$6</f>
        <v/>
      </c>
      <c r="RS6" s="21">
        <f>Defaults!RS6*Obligors!$G$6*Obligors!$H$6</f>
        <v/>
      </c>
      <c r="RT6" s="21">
        <f>Defaults!RT6*Obligors!$G$6*Obligors!$H$6</f>
        <v/>
      </c>
      <c r="RU6" s="21">
        <f>Defaults!RU6*Obligors!$G$6*Obligors!$H$6</f>
        <v/>
      </c>
      <c r="RV6" s="21">
        <f>Defaults!RV6*Obligors!$G$6*Obligors!$H$6</f>
        <v/>
      </c>
      <c r="RW6" s="21">
        <f>Defaults!RW6*Obligors!$G$6*Obligors!$H$6</f>
        <v/>
      </c>
      <c r="RX6" s="21">
        <f>Defaults!RX6*Obligors!$G$6*Obligors!$H$6</f>
        <v/>
      </c>
      <c r="RY6" s="21">
        <f>Defaults!RY6*Obligors!$G$6*Obligors!$H$6</f>
        <v/>
      </c>
      <c r="RZ6" s="21">
        <f>Defaults!RZ6*Obligors!$G$6*Obligors!$H$6</f>
        <v/>
      </c>
      <c r="SA6" s="21">
        <f>Defaults!SA6*Obligors!$G$6*Obligors!$H$6</f>
        <v/>
      </c>
      <c r="SB6" s="21">
        <f>Defaults!SB6*Obligors!$G$6*Obligors!$H$6</f>
        <v/>
      </c>
      <c r="SC6" s="21">
        <f>Defaults!SC6*Obligors!$G$6*Obligors!$H$6</f>
        <v/>
      </c>
      <c r="SD6" s="21">
        <f>Defaults!SD6*Obligors!$G$6*Obligors!$H$6</f>
        <v/>
      </c>
      <c r="SE6" s="21">
        <f>Defaults!SE6*Obligors!$G$6*Obligors!$H$6</f>
        <v/>
      </c>
      <c r="SF6" s="21">
        <f>Defaults!SF6*Obligors!$G$6*Obligors!$H$6</f>
        <v/>
      </c>
      <c r="SG6" s="21">
        <f>Defaults!SG6*Obligors!$G$6*Obligors!$H$6</f>
        <v/>
      </c>
    </row>
    <row r="7">
      <c r="A7" s="17" t="inlineStr">
        <is>
          <t>OBL-006</t>
        </is>
      </c>
      <c r="B7" s="21">
        <f>Defaults!B7*Obligors!$G$7*Obligors!$H$7</f>
        <v/>
      </c>
      <c r="C7" s="21">
        <f>Defaults!C7*Obligors!$G$7*Obligors!$H$7</f>
        <v/>
      </c>
      <c r="D7" s="21">
        <f>Defaults!D7*Obligors!$G$7*Obligors!$H$7</f>
        <v/>
      </c>
      <c r="E7" s="21">
        <f>Defaults!E7*Obligors!$G$7*Obligors!$H$7</f>
        <v/>
      </c>
      <c r="F7" s="21">
        <f>Defaults!F7*Obligors!$G$7*Obligors!$H$7</f>
        <v/>
      </c>
      <c r="G7" s="21">
        <f>Defaults!G7*Obligors!$G$7*Obligors!$H$7</f>
        <v/>
      </c>
      <c r="H7" s="21">
        <f>Defaults!H7*Obligors!$G$7*Obligors!$H$7</f>
        <v/>
      </c>
      <c r="I7" s="21">
        <f>Defaults!I7*Obligors!$G$7*Obligors!$H$7</f>
        <v/>
      </c>
      <c r="J7" s="21">
        <f>Defaults!J7*Obligors!$G$7*Obligors!$H$7</f>
        <v/>
      </c>
      <c r="K7" s="21">
        <f>Defaults!K7*Obligors!$G$7*Obligors!$H$7</f>
        <v/>
      </c>
      <c r="L7" s="21">
        <f>Defaults!L7*Obligors!$G$7*Obligors!$H$7</f>
        <v/>
      </c>
      <c r="M7" s="21">
        <f>Defaults!M7*Obligors!$G$7*Obligors!$H$7</f>
        <v/>
      </c>
      <c r="N7" s="21">
        <f>Defaults!N7*Obligors!$G$7*Obligors!$H$7</f>
        <v/>
      </c>
      <c r="O7" s="21">
        <f>Defaults!O7*Obligors!$G$7*Obligors!$H$7</f>
        <v/>
      </c>
      <c r="P7" s="21">
        <f>Defaults!P7*Obligors!$G$7*Obligors!$H$7</f>
        <v/>
      </c>
      <c r="Q7" s="21">
        <f>Defaults!Q7*Obligors!$G$7*Obligors!$H$7</f>
        <v/>
      </c>
      <c r="R7" s="21">
        <f>Defaults!R7*Obligors!$G$7*Obligors!$H$7</f>
        <v/>
      </c>
      <c r="S7" s="21">
        <f>Defaults!S7*Obligors!$G$7*Obligors!$H$7</f>
        <v/>
      </c>
      <c r="T7" s="21">
        <f>Defaults!T7*Obligors!$G$7*Obligors!$H$7</f>
        <v/>
      </c>
      <c r="U7" s="21">
        <f>Defaults!U7*Obligors!$G$7*Obligors!$H$7</f>
        <v/>
      </c>
      <c r="V7" s="21">
        <f>Defaults!V7*Obligors!$G$7*Obligors!$H$7</f>
        <v/>
      </c>
      <c r="W7" s="21">
        <f>Defaults!W7*Obligors!$G$7*Obligors!$H$7</f>
        <v/>
      </c>
      <c r="X7" s="21">
        <f>Defaults!X7*Obligors!$G$7*Obligors!$H$7</f>
        <v/>
      </c>
      <c r="Y7" s="21">
        <f>Defaults!Y7*Obligors!$G$7*Obligors!$H$7</f>
        <v/>
      </c>
      <c r="Z7" s="21">
        <f>Defaults!Z7*Obligors!$G$7*Obligors!$H$7</f>
        <v/>
      </c>
      <c r="AA7" s="21">
        <f>Defaults!AA7*Obligors!$G$7*Obligors!$H$7</f>
        <v/>
      </c>
      <c r="AB7" s="21">
        <f>Defaults!AB7*Obligors!$G$7*Obligors!$H$7</f>
        <v/>
      </c>
      <c r="AC7" s="21">
        <f>Defaults!AC7*Obligors!$G$7*Obligors!$H$7</f>
        <v/>
      </c>
      <c r="AD7" s="21">
        <f>Defaults!AD7*Obligors!$G$7*Obligors!$H$7</f>
        <v/>
      </c>
      <c r="AE7" s="21">
        <f>Defaults!AE7*Obligors!$G$7*Obligors!$H$7</f>
        <v/>
      </c>
      <c r="AF7" s="21">
        <f>Defaults!AF7*Obligors!$G$7*Obligors!$H$7</f>
        <v/>
      </c>
      <c r="AG7" s="21">
        <f>Defaults!AG7*Obligors!$G$7*Obligors!$H$7</f>
        <v/>
      </c>
      <c r="AH7" s="21">
        <f>Defaults!AH7*Obligors!$G$7*Obligors!$H$7</f>
        <v/>
      </c>
      <c r="AI7" s="21">
        <f>Defaults!AI7*Obligors!$G$7*Obligors!$H$7</f>
        <v/>
      </c>
      <c r="AJ7" s="21">
        <f>Defaults!AJ7*Obligors!$G$7*Obligors!$H$7</f>
        <v/>
      </c>
      <c r="AK7" s="21">
        <f>Defaults!AK7*Obligors!$G$7*Obligors!$H$7</f>
        <v/>
      </c>
      <c r="AL7" s="21">
        <f>Defaults!AL7*Obligors!$G$7*Obligors!$H$7</f>
        <v/>
      </c>
      <c r="AM7" s="21">
        <f>Defaults!AM7*Obligors!$G$7*Obligors!$H$7</f>
        <v/>
      </c>
      <c r="AN7" s="21">
        <f>Defaults!AN7*Obligors!$G$7*Obligors!$H$7</f>
        <v/>
      </c>
      <c r="AO7" s="21">
        <f>Defaults!AO7*Obligors!$G$7*Obligors!$H$7</f>
        <v/>
      </c>
      <c r="AP7" s="21">
        <f>Defaults!AP7*Obligors!$G$7*Obligors!$H$7</f>
        <v/>
      </c>
      <c r="AQ7" s="21">
        <f>Defaults!AQ7*Obligors!$G$7*Obligors!$H$7</f>
        <v/>
      </c>
      <c r="AR7" s="21">
        <f>Defaults!AR7*Obligors!$G$7*Obligors!$H$7</f>
        <v/>
      </c>
      <c r="AS7" s="21">
        <f>Defaults!AS7*Obligors!$G$7*Obligors!$H$7</f>
        <v/>
      </c>
      <c r="AT7" s="21">
        <f>Defaults!AT7*Obligors!$G$7*Obligors!$H$7</f>
        <v/>
      </c>
      <c r="AU7" s="21">
        <f>Defaults!AU7*Obligors!$G$7*Obligors!$H$7</f>
        <v/>
      </c>
      <c r="AV7" s="21">
        <f>Defaults!AV7*Obligors!$G$7*Obligors!$H$7</f>
        <v/>
      </c>
      <c r="AW7" s="21">
        <f>Defaults!AW7*Obligors!$G$7*Obligors!$H$7</f>
        <v/>
      </c>
      <c r="AX7" s="21">
        <f>Defaults!AX7*Obligors!$G$7*Obligors!$H$7</f>
        <v/>
      </c>
      <c r="AY7" s="21">
        <f>Defaults!AY7*Obligors!$G$7*Obligors!$H$7</f>
        <v/>
      </c>
      <c r="AZ7" s="21">
        <f>Defaults!AZ7*Obligors!$G$7*Obligors!$H$7</f>
        <v/>
      </c>
      <c r="BA7" s="21">
        <f>Defaults!BA7*Obligors!$G$7*Obligors!$H$7</f>
        <v/>
      </c>
      <c r="BB7" s="21">
        <f>Defaults!BB7*Obligors!$G$7*Obligors!$H$7</f>
        <v/>
      </c>
      <c r="BC7" s="21">
        <f>Defaults!BC7*Obligors!$G$7*Obligors!$H$7</f>
        <v/>
      </c>
      <c r="BD7" s="21">
        <f>Defaults!BD7*Obligors!$G$7*Obligors!$H$7</f>
        <v/>
      </c>
      <c r="BE7" s="21">
        <f>Defaults!BE7*Obligors!$G$7*Obligors!$H$7</f>
        <v/>
      </c>
      <c r="BF7" s="21">
        <f>Defaults!BF7*Obligors!$G$7*Obligors!$H$7</f>
        <v/>
      </c>
      <c r="BG7" s="21">
        <f>Defaults!BG7*Obligors!$G$7*Obligors!$H$7</f>
        <v/>
      </c>
      <c r="BH7" s="21">
        <f>Defaults!BH7*Obligors!$G$7*Obligors!$H$7</f>
        <v/>
      </c>
      <c r="BI7" s="21">
        <f>Defaults!BI7*Obligors!$G$7*Obligors!$H$7</f>
        <v/>
      </c>
      <c r="BJ7" s="21">
        <f>Defaults!BJ7*Obligors!$G$7*Obligors!$H$7</f>
        <v/>
      </c>
      <c r="BK7" s="21">
        <f>Defaults!BK7*Obligors!$G$7*Obligors!$H$7</f>
        <v/>
      </c>
      <c r="BL7" s="21">
        <f>Defaults!BL7*Obligors!$G$7*Obligors!$H$7</f>
        <v/>
      </c>
      <c r="BM7" s="21">
        <f>Defaults!BM7*Obligors!$G$7*Obligors!$H$7</f>
        <v/>
      </c>
      <c r="BN7" s="21">
        <f>Defaults!BN7*Obligors!$G$7*Obligors!$H$7</f>
        <v/>
      </c>
      <c r="BO7" s="21">
        <f>Defaults!BO7*Obligors!$G$7*Obligors!$H$7</f>
        <v/>
      </c>
      <c r="BP7" s="21">
        <f>Defaults!BP7*Obligors!$G$7*Obligors!$H$7</f>
        <v/>
      </c>
      <c r="BQ7" s="21">
        <f>Defaults!BQ7*Obligors!$G$7*Obligors!$H$7</f>
        <v/>
      </c>
      <c r="BR7" s="21">
        <f>Defaults!BR7*Obligors!$G$7*Obligors!$H$7</f>
        <v/>
      </c>
      <c r="BS7" s="21">
        <f>Defaults!BS7*Obligors!$G$7*Obligors!$H$7</f>
        <v/>
      </c>
      <c r="BT7" s="21">
        <f>Defaults!BT7*Obligors!$G$7*Obligors!$H$7</f>
        <v/>
      </c>
      <c r="BU7" s="21">
        <f>Defaults!BU7*Obligors!$G$7*Obligors!$H$7</f>
        <v/>
      </c>
      <c r="BV7" s="21">
        <f>Defaults!BV7*Obligors!$G$7*Obligors!$H$7</f>
        <v/>
      </c>
      <c r="BW7" s="21">
        <f>Defaults!BW7*Obligors!$G$7*Obligors!$H$7</f>
        <v/>
      </c>
      <c r="BX7" s="21">
        <f>Defaults!BX7*Obligors!$G$7*Obligors!$H$7</f>
        <v/>
      </c>
      <c r="BY7" s="21">
        <f>Defaults!BY7*Obligors!$G$7*Obligors!$H$7</f>
        <v/>
      </c>
      <c r="BZ7" s="21">
        <f>Defaults!BZ7*Obligors!$G$7*Obligors!$H$7</f>
        <v/>
      </c>
      <c r="CA7" s="21">
        <f>Defaults!CA7*Obligors!$G$7*Obligors!$H$7</f>
        <v/>
      </c>
      <c r="CB7" s="21">
        <f>Defaults!CB7*Obligors!$G$7*Obligors!$H$7</f>
        <v/>
      </c>
      <c r="CC7" s="21">
        <f>Defaults!CC7*Obligors!$G$7*Obligors!$H$7</f>
        <v/>
      </c>
      <c r="CD7" s="21">
        <f>Defaults!CD7*Obligors!$G$7*Obligors!$H$7</f>
        <v/>
      </c>
      <c r="CE7" s="21">
        <f>Defaults!CE7*Obligors!$G$7*Obligors!$H$7</f>
        <v/>
      </c>
      <c r="CF7" s="21">
        <f>Defaults!CF7*Obligors!$G$7*Obligors!$H$7</f>
        <v/>
      </c>
      <c r="CG7" s="21">
        <f>Defaults!CG7*Obligors!$G$7*Obligors!$H$7</f>
        <v/>
      </c>
      <c r="CH7" s="21">
        <f>Defaults!CH7*Obligors!$G$7*Obligors!$H$7</f>
        <v/>
      </c>
      <c r="CI7" s="21">
        <f>Defaults!CI7*Obligors!$G$7*Obligors!$H$7</f>
        <v/>
      </c>
      <c r="CJ7" s="21">
        <f>Defaults!CJ7*Obligors!$G$7*Obligors!$H$7</f>
        <v/>
      </c>
      <c r="CK7" s="21">
        <f>Defaults!CK7*Obligors!$G$7*Obligors!$H$7</f>
        <v/>
      </c>
      <c r="CL7" s="21">
        <f>Defaults!CL7*Obligors!$G$7*Obligors!$H$7</f>
        <v/>
      </c>
      <c r="CM7" s="21">
        <f>Defaults!CM7*Obligors!$G$7*Obligors!$H$7</f>
        <v/>
      </c>
      <c r="CN7" s="21">
        <f>Defaults!CN7*Obligors!$G$7*Obligors!$H$7</f>
        <v/>
      </c>
      <c r="CO7" s="21">
        <f>Defaults!CO7*Obligors!$G$7*Obligors!$H$7</f>
        <v/>
      </c>
      <c r="CP7" s="21">
        <f>Defaults!CP7*Obligors!$G$7*Obligors!$H$7</f>
        <v/>
      </c>
      <c r="CQ7" s="21">
        <f>Defaults!CQ7*Obligors!$G$7*Obligors!$H$7</f>
        <v/>
      </c>
      <c r="CR7" s="21">
        <f>Defaults!CR7*Obligors!$G$7*Obligors!$H$7</f>
        <v/>
      </c>
      <c r="CS7" s="21">
        <f>Defaults!CS7*Obligors!$G$7*Obligors!$H$7</f>
        <v/>
      </c>
      <c r="CT7" s="21">
        <f>Defaults!CT7*Obligors!$G$7*Obligors!$H$7</f>
        <v/>
      </c>
      <c r="CU7" s="21">
        <f>Defaults!CU7*Obligors!$G$7*Obligors!$H$7</f>
        <v/>
      </c>
      <c r="CV7" s="21">
        <f>Defaults!CV7*Obligors!$G$7*Obligors!$H$7</f>
        <v/>
      </c>
      <c r="CW7" s="21">
        <f>Defaults!CW7*Obligors!$G$7*Obligors!$H$7</f>
        <v/>
      </c>
      <c r="CX7" s="21">
        <f>Defaults!CX7*Obligors!$G$7*Obligors!$H$7</f>
        <v/>
      </c>
      <c r="CY7" s="21">
        <f>Defaults!CY7*Obligors!$G$7*Obligors!$H$7</f>
        <v/>
      </c>
      <c r="CZ7" s="21">
        <f>Defaults!CZ7*Obligors!$G$7*Obligors!$H$7</f>
        <v/>
      </c>
      <c r="DA7" s="21">
        <f>Defaults!DA7*Obligors!$G$7*Obligors!$H$7</f>
        <v/>
      </c>
      <c r="DB7" s="21">
        <f>Defaults!DB7*Obligors!$G$7*Obligors!$H$7</f>
        <v/>
      </c>
      <c r="DC7" s="21">
        <f>Defaults!DC7*Obligors!$G$7*Obligors!$H$7</f>
        <v/>
      </c>
      <c r="DD7" s="21">
        <f>Defaults!DD7*Obligors!$G$7*Obligors!$H$7</f>
        <v/>
      </c>
      <c r="DE7" s="21">
        <f>Defaults!DE7*Obligors!$G$7*Obligors!$H$7</f>
        <v/>
      </c>
      <c r="DF7" s="21">
        <f>Defaults!DF7*Obligors!$G$7*Obligors!$H$7</f>
        <v/>
      </c>
      <c r="DG7" s="21">
        <f>Defaults!DG7*Obligors!$G$7*Obligors!$H$7</f>
        <v/>
      </c>
      <c r="DH7" s="21">
        <f>Defaults!DH7*Obligors!$G$7*Obligors!$H$7</f>
        <v/>
      </c>
      <c r="DI7" s="21">
        <f>Defaults!DI7*Obligors!$G$7*Obligors!$H$7</f>
        <v/>
      </c>
      <c r="DJ7" s="21">
        <f>Defaults!DJ7*Obligors!$G$7*Obligors!$H$7</f>
        <v/>
      </c>
      <c r="DK7" s="21">
        <f>Defaults!DK7*Obligors!$G$7*Obligors!$H$7</f>
        <v/>
      </c>
      <c r="DL7" s="21">
        <f>Defaults!DL7*Obligors!$G$7*Obligors!$H$7</f>
        <v/>
      </c>
      <c r="DM7" s="21">
        <f>Defaults!DM7*Obligors!$G$7*Obligors!$H$7</f>
        <v/>
      </c>
      <c r="DN7" s="21">
        <f>Defaults!DN7*Obligors!$G$7*Obligors!$H$7</f>
        <v/>
      </c>
      <c r="DO7" s="21">
        <f>Defaults!DO7*Obligors!$G$7*Obligors!$H$7</f>
        <v/>
      </c>
      <c r="DP7" s="21">
        <f>Defaults!DP7*Obligors!$G$7*Obligors!$H$7</f>
        <v/>
      </c>
      <c r="DQ7" s="21">
        <f>Defaults!DQ7*Obligors!$G$7*Obligors!$H$7</f>
        <v/>
      </c>
      <c r="DR7" s="21">
        <f>Defaults!DR7*Obligors!$G$7*Obligors!$H$7</f>
        <v/>
      </c>
      <c r="DS7" s="21">
        <f>Defaults!DS7*Obligors!$G$7*Obligors!$H$7</f>
        <v/>
      </c>
      <c r="DT7" s="21">
        <f>Defaults!DT7*Obligors!$G$7*Obligors!$H$7</f>
        <v/>
      </c>
      <c r="DU7" s="21">
        <f>Defaults!DU7*Obligors!$G$7*Obligors!$H$7</f>
        <v/>
      </c>
      <c r="DV7" s="21">
        <f>Defaults!DV7*Obligors!$G$7*Obligors!$H$7</f>
        <v/>
      </c>
      <c r="DW7" s="21">
        <f>Defaults!DW7*Obligors!$G$7*Obligors!$H$7</f>
        <v/>
      </c>
      <c r="DX7" s="21">
        <f>Defaults!DX7*Obligors!$G$7*Obligors!$H$7</f>
        <v/>
      </c>
      <c r="DY7" s="21">
        <f>Defaults!DY7*Obligors!$G$7*Obligors!$H$7</f>
        <v/>
      </c>
      <c r="DZ7" s="21">
        <f>Defaults!DZ7*Obligors!$G$7*Obligors!$H$7</f>
        <v/>
      </c>
      <c r="EA7" s="21">
        <f>Defaults!EA7*Obligors!$G$7*Obligors!$H$7</f>
        <v/>
      </c>
      <c r="EB7" s="21">
        <f>Defaults!EB7*Obligors!$G$7*Obligors!$H$7</f>
        <v/>
      </c>
      <c r="EC7" s="21">
        <f>Defaults!EC7*Obligors!$G$7*Obligors!$H$7</f>
        <v/>
      </c>
      <c r="ED7" s="21">
        <f>Defaults!ED7*Obligors!$G$7*Obligors!$H$7</f>
        <v/>
      </c>
      <c r="EE7" s="21">
        <f>Defaults!EE7*Obligors!$G$7*Obligors!$H$7</f>
        <v/>
      </c>
      <c r="EF7" s="21">
        <f>Defaults!EF7*Obligors!$G$7*Obligors!$H$7</f>
        <v/>
      </c>
      <c r="EG7" s="21">
        <f>Defaults!EG7*Obligors!$G$7*Obligors!$H$7</f>
        <v/>
      </c>
      <c r="EH7" s="21">
        <f>Defaults!EH7*Obligors!$G$7*Obligors!$H$7</f>
        <v/>
      </c>
      <c r="EI7" s="21">
        <f>Defaults!EI7*Obligors!$G$7*Obligors!$H$7</f>
        <v/>
      </c>
      <c r="EJ7" s="21">
        <f>Defaults!EJ7*Obligors!$G$7*Obligors!$H$7</f>
        <v/>
      </c>
      <c r="EK7" s="21">
        <f>Defaults!EK7*Obligors!$G$7*Obligors!$H$7</f>
        <v/>
      </c>
      <c r="EL7" s="21">
        <f>Defaults!EL7*Obligors!$G$7*Obligors!$H$7</f>
        <v/>
      </c>
      <c r="EM7" s="21">
        <f>Defaults!EM7*Obligors!$G$7*Obligors!$H$7</f>
        <v/>
      </c>
      <c r="EN7" s="21">
        <f>Defaults!EN7*Obligors!$G$7*Obligors!$H$7</f>
        <v/>
      </c>
      <c r="EO7" s="21">
        <f>Defaults!EO7*Obligors!$G$7*Obligors!$H$7</f>
        <v/>
      </c>
      <c r="EP7" s="21">
        <f>Defaults!EP7*Obligors!$G$7*Obligors!$H$7</f>
        <v/>
      </c>
      <c r="EQ7" s="21">
        <f>Defaults!EQ7*Obligors!$G$7*Obligors!$H$7</f>
        <v/>
      </c>
      <c r="ER7" s="21">
        <f>Defaults!ER7*Obligors!$G$7*Obligors!$H$7</f>
        <v/>
      </c>
      <c r="ES7" s="21">
        <f>Defaults!ES7*Obligors!$G$7*Obligors!$H$7</f>
        <v/>
      </c>
      <c r="ET7" s="21">
        <f>Defaults!ET7*Obligors!$G$7*Obligors!$H$7</f>
        <v/>
      </c>
      <c r="EU7" s="21">
        <f>Defaults!EU7*Obligors!$G$7*Obligors!$H$7</f>
        <v/>
      </c>
      <c r="EV7" s="21">
        <f>Defaults!EV7*Obligors!$G$7*Obligors!$H$7</f>
        <v/>
      </c>
      <c r="EW7" s="21">
        <f>Defaults!EW7*Obligors!$G$7*Obligors!$H$7</f>
        <v/>
      </c>
      <c r="EX7" s="21">
        <f>Defaults!EX7*Obligors!$G$7*Obligors!$H$7</f>
        <v/>
      </c>
      <c r="EY7" s="21">
        <f>Defaults!EY7*Obligors!$G$7*Obligors!$H$7</f>
        <v/>
      </c>
      <c r="EZ7" s="21">
        <f>Defaults!EZ7*Obligors!$G$7*Obligors!$H$7</f>
        <v/>
      </c>
      <c r="FA7" s="21">
        <f>Defaults!FA7*Obligors!$G$7*Obligors!$H$7</f>
        <v/>
      </c>
      <c r="FB7" s="21">
        <f>Defaults!FB7*Obligors!$G$7*Obligors!$H$7</f>
        <v/>
      </c>
      <c r="FC7" s="21">
        <f>Defaults!FC7*Obligors!$G$7*Obligors!$H$7</f>
        <v/>
      </c>
      <c r="FD7" s="21">
        <f>Defaults!FD7*Obligors!$G$7*Obligors!$H$7</f>
        <v/>
      </c>
      <c r="FE7" s="21">
        <f>Defaults!FE7*Obligors!$G$7*Obligors!$H$7</f>
        <v/>
      </c>
      <c r="FF7" s="21">
        <f>Defaults!FF7*Obligors!$G$7*Obligors!$H$7</f>
        <v/>
      </c>
      <c r="FG7" s="21">
        <f>Defaults!FG7*Obligors!$G$7*Obligors!$H$7</f>
        <v/>
      </c>
      <c r="FH7" s="21">
        <f>Defaults!FH7*Obligors!$G$7*Obligors!$H$7</f>
        <v/>
      </c>
      <c r="FI7" s="21">
        <f>Defaults!FI7*Obligors!$G$7*Obligors!$H$7</f>
        <v/>
      </c>
      <c r="FJ7" s="21">
        <f>Defaults!FJ7*Obligors!$G$7*Obligors!$H$7</f>
        <v/>
      </c>
      <c r="FK7" s="21">
        <f>Defaults!FK7*Obligors!$G$7*Obligors!$H$7</f>
        <v/>
      </c>
      <c r="FL7" s="21">
        <f>Defaults!FL7*Obligors!$G$7*Obligors!$H$7</f>
        <v/>
      </c>
      <c r="FM7" s="21">
        <f>Defaults!FM7*Obligors!$G$7*Obligors!$H$7</f>
        <v/>
      </c>
      <c r="FN7" s="21">
        <f>Defaults!FN7*Obligors!$G$7*Obligors!$H$7</f>
        <v/>
      </c>
      <c r="FO7" s="21">
        <f>Defaults!FO7*Obligors!$G$7*Obligors!$H$7</f>
        <v/>
      </c>
      <c r="FP7" s="21">
        <f>Defaults!FP7*Obligors!$G$7*Obligors!$H$7</f>
        <v/>
      </c>
      <c r="FQ7" s="21">
        <f>Defaults!FQ7*Obligors!$G$7*Obligors!$H$7</f>
        <v/>
      </c>
      <c r="FR7" s="21">
        <f>Defaults!FR7*Obligors!$G$7*Obligors!$H$7</f>
        <v/>
      </c>
      <c r="FS7" s="21">
        <f>Defaults!FS7*Obligors!$G$7*Obligors!$H$7</f>
        <v/>
      </c>
      <c r="FT7" s="21">
        <f>Defaults!FT7*Obligors!$G$7*Obligors!$H$7</f>
        <v/>
      </c>
      <c r="FU7" s="21">
        <f>Defaults!FU7*Obligors!$G$7*Obligors!$H$7</f>
        <v/>
      </c>
      <c r="FV7" s="21">
        <f>Defaults!FV7*Obligors!$G$7*Obligors!$H$7</f>
        <v/>
      </c>
      <c r="FW7" s="21">
        <f>Defaults!FW7*Obligors!$G$7*Obligors!$H$7</f>
        <v/>
      </c>
      <c r="FX7" s="21">
        <f>Defaults!FX7*Obligors!$G$7*Obligors!$H$7</f>
        <v/>
      </c>
      <c r="FY7" s="21">
        <f>Defaults!FY7*Obligors!$G$7*Obligors!$H$7</f>
        <v/>
      </c>
      <c r="FZ7" s="21">
        <f>Defaults!FZ7*Obligors!$G$7*Obligors!$H$7</f>
        <v/>
      </c>
      <c r="GA7" s="21">
        <f>Defaults!GA7*Obligors!$G$7*Obligors!$H$7</f>
        <v/>
      </c>
      <c r="GB7" s="21">
        <f>Defaults!GB7*Obligors!$G$7*Obligors!$H$7</f>
        <v/>
      </c>
      <c r="GC7" s="21">
        <f>Defaults!GC7*Obligors!$G$7*Obligors!$H$7</f>
        <v/>
      </c>
      <c r="GD7" s="21">
        <f>Defaults!GD7*Obligors!$G$7*Obligors!$H$7</f>
        <v/>
      </c>
      <c r="GE7" s="21">
        <f>Defaults!GE7*Obligors!$G$7*Obligors!$H$7</f>
        <v/>
      </c>
      <c r="GF7" s="21">
        <f>Defaults!GF7*Obligors!$G$7*Obligors!$H$7</f>
        <v/>
      </c>
      <c r="GG7" s="21">
        <f>Defaults!GG7*Obligors!$G$7*Obligors!$H$7</f>
        <v/>
      </c>
      <c r="GH7" s="21">
        <f>Defaults!GH7*Obligors!$G$7*Obligors!$H$7</f>
        <v/>
      </c>
      <c r="GI7" s="21">
        <f>Defaults!GI7*Obligors!$G$7*Obligors!$H$7</f>
        <v/>
      </c>
      <c r="GJ7" s="21">
        <f>Defaults!GJ7*Obligors!$G$7*Obligors!$H$7</f>
        <v/>
      </c>
      <c r="GK7" s="21">
        <f>Defaults!GK7*Obligors!$G$7*Obligors!$H$7</f>
        <v/>
      </c>
      <c r="GL7" s="21">
        <f>Defaults!GL7*Obligors!$G$7*Obligors!$H$7</f>
        <v/>
      </c>
      <c r="GM7" s="21">
        <f>Defaults!GM7*Obligors!$G$7*Obligors!$H$7</f>
        <v/>
      </c>
      <c r="GN7" s="21">
        <f>Defaults!GN7*Obligors!$G$7*Obligors!$H$7</f>
        <v/>
      </c>
      <c r="GO7" s="21">
        <f>Defaults!GO7*Obligors!$G$7*Obligors!$H$7</f>
        <v/>
      </c>
      <c r="GP7" s="21">
        <f>Defaults!GP7*Obligors!$G$7*Obligors!$H$7</f>
        <v/>
      </c>
      <c r="GQ7" s="21">
        <f>Defaults!GQ7*Obligors!$G$7*Obligors!$H$7</f>
        <v/>
      </c>
      <c r="GR7" s="21">
        <f>Defaults!GR7*Obligors!$G$7*Obligors!$H$7</f>
        <v/>
      </c>
      <c r="GS7" s="21">
        <f>Defaults!GS7*Obligors!$G$7*Obligors!$H$7</f>
        <v/>
      </c>
      <c r="GT7" s="21">
        <f>Defaults!GT7*Obligors!$G$7*Obligors!$H$7</f>
        <v/>
      </c>
      <c r="GU7" s="21">
        <f>Defaults!GU7*Obligors!$G$7*Obligors!$H$7</f>
        <v/>
      </c>
      <c r="GV7" s="21">
        <f>Defaults!GV7*Obligors!$G$7*Obligors!$H$7</f>
        <v/>
      </c>
      <c r="GW7" s="21">
        <f>Defaults!GW7*Obligors!$G$7*Obligors!$H$7</f>
        <v/>
      </c>
      <c r="GX7" s="21">
        <f>Defaults!GX7*Obligors!$G$7*Obligors!$H$7</f>
        <v/>
      </c>
      <c r="GY7" s="21">
        <f>Defaults!GY7*Obligors!$G$7*Obligors!$H$7</f>
        <v/>
      </c>
      <c r="GZ7" s="21">
        <f>Defaults!GZ7*Obligors!$G$7*Obligors!$H$7</f>
        <v/>
      </c>
      <c r="HA7" s="21">
        <f>Defaults!HA7*Obligors!$G$7*Obligors!$H$7</f>
        <v/>
      </c>
      <c r="HB7" s="21">
        <f>Defaults!HB7*Obligors!$G$7*Obligors!$H$7</f>
        <v/>
      </c>
      <c r="HC7" s="21">
        <f>Defaults!HC7*Obligors!$G$7*Obligors!$H$7</f>
        <v/>
      </c>
      <c r="HD7" s="21">
        <f>Defaults!HD7*Obligors!$G$7*Obligors!$H$7</f>
        <v/>
      </c>
      <c r="HE7" s="21">
        <f>Defaults!HE7*Obligors!$G$7*Obligors!$H$7</f>
        <v/>
      </c>
      <c r="HF7" s="21">
        <f>Defaults!HF7*Obligors!$G$7*Obligors!$H$7</f>
        <v/>
      </c>
      <c r="HG7" s="21">
        <f>Defaults!HG7*Obligors!$G$7*Obligors!$H$7</f>
        <v/>
      </c>
      <c r="HH7" s="21">
        <f>Defaults!HH7*Obligors!$G$7*Obligors!$H$7</f>
        <v/>
      </c>
      <c r="HI7" s="21">
        <f>Defaults!HI7*Obligors!$G$7*Obligors!$H$7</f>
        <v/>
      </c>
      <c r="HJ7" s="21">
        <f>Defaults!HJ7*Obligors!$G$7*Obligors!$H$7</f>
        <v/>
      </c>
      <c r="HK7" s="21">
        <f>Defaults!HK7*Obligors!$G$7*Obligors!$H$7</f>
        <v/>
      </c>
      <c r="HL7" s="21">
        <f>Defaults!HL7*Obligors!$G$7*Obligors!$H$7</f>
        <v/>
      </c>
      <c r="HM7" s="21">
        <f>Defaults!HM7*Obligors!$G$7*Obligors!$H$7</f>
        <v/>
      </c>
      <c r="HN7" s="21">
        <f>Defaults!HN7*Obligors!$G$7*Obligors!$H$7</f>
        <v/>
      </c>
      <c r="HO7" s="21">
        <f>Defaults!HO7*Obligors!$G$7*Obligors!$H$7</f>
        <v/>
      </c>
      <c r="HP7" s="21">
        <f>Defaults!HP7*Obligors!$G$7*Obligors!$H$7</f>
        <v/>
      </c>
      <c r="HQ7" s="21">
        <f>Defaults!HQ7*Obligors!$G$7*Obligors!$H$7</f>
        <v/>
      </c>
      <c r="HR7" s="21">
        <f>Defaults!HR7*Obligors!$G$7*Obligors!$H$7</f>
        <v/>
      </c>
      <c r="HS7" s="21">
        <f>Defaults!HS7*Obligors!$G$7*Obligors!$H$7</f>
        <v/>
      </c>
      <c r="HT7" s="21">
        <f>Defaults!HT7*Obligors!$G$7*Obligors!$H$7</f>
        <v/>
      </c>
      <c r="HU7" s="21">
        <f>Defaults!HU7*Obligors!$G$7*Obligors!$H$7</f>
        <v/>
      </c>
      <c r="HV7" s="21">
        <f>Defaults!HV7*Obligors!$G$7*Obligors!$H$7</f>
        <v/>
      </c>
      <c r="HW7" s="21">
        <f>Defaults!HW7*Obligors!$G$7*Obligors!$H$7</f>
        <v/>
      </c>
      <c r="HX7" s="21">
        <f>Defaults!HX7*Obligors!$G$7*Obligors!$H$7</f>
        <v/>
      </c>
      <c r="HY7" s="21">
        <f>Defaults!HY7*Obligors!$G$7*Obligors!$H$7</f>
        <v/>
      </c>
      <c r="HZ7" s="21">
        <f>Defaults!HZ7*Obligors!$G$7*Obligors!$H$7</f>
        <v/>
      </c>
      <c r="IA7" s="21">
        <f>Defaults!IA7*Obligors!$G$7*Obligors!$H$7</f>
        <v/>
      </c>
      <c r="IB7" s="21">
        <f>Defaults!IB7*Obligors!$G$7*Obligors!$H$7</f>
        <v/>
      </c>
      <c r="IC7" s="21">
        <f>Defaults!IC7*Obligors!$G$7*Obligors!$H$7</f>
        <v/>
      </c>
      <c r="ID7" s="21">
        <f>Defaults!ID7*Obligors!$G$7*Obligors!$H$7</f>
        <v/>
      </c>
      <c r="IE7" s="21">
        <f>Defaults!IE7*Obligors!$G$7*Obligors!$H$7</f>
        <v/>
      </c>
      <c r="IF7" s="21">
        <f>Defaults!IF7*Obligors!$G$7*Obligors!$H$7</f>
        <v/>
      </c>
      <c r="IG7" s="21">
        <f>Defaults!IG7*Obligors!$G$7*Obligors!$H$7</f>
        <v/>
      </c>
      <c r="IH7" s="21">
        <f>Defaults!IH7*Obligors!$G$7*Obligors!$H$7</f>
        <v/>
      </c>
      <c r="II7" s="21">
        <f>Defaults!II7*Obligors!$G$7*Obligors!$H$7</f>
        <v/>
      </c>
      <c r="IJ7" s="21">
        <f>Defaults!IJ7*Obligors!$G$7*Obligors!$H$7</f>
        <v/>
      </c>
      <c r="IK7" s="21">
        <f>Defaults!IK7*Obligors!$G$7*Obligors!$H$7</f>
        <v/>
      </c>
      <c r="IL7" s="21">
        <f>Defaults!IL7*Obligors!$G$7*Obligors!$H$7</f>
        <v/>
      </c>
      <c r="IM7" s="21">
        <f>Defaults!IM7*Obligors!$G$7*Obligors!$H$7</f>
        <v/>
      </c>
      <c r="IN7" s="21">
        <f>Defaults!IN7*Obligors!$G$7*Obligors!$H$7</f>
        <v/>
      </c>
      <c r="IO7" s="21">
        <f>Defaults!IO7*Obligors!$G$7*Obligors!$H$7</f>
        <v/>
      </c>
      <c r="IP7" s="21">
        <f>Defaults!IP7*Obligors!$G$7*Obligors!$H$7</f>
        <v/>
      </c>
      <c r="IQ7" s="21">
        <f>Defaults!IQ7*Obligors!$G$7*Obligors!$H$7</f>
        <v/>
      </c>
      <c r="IR7" s="21">
        <f>Defaults!IR7*Obligors!$G$7*Obligors!$H$7</f>
        <v/>
      </c>
      <c r="IS7" s="21">
        <f>Defaults!IS7*Obligors!$G$7*Obligors!$H$7</f>
        <v/>
      </c>
      <c r="IT7" s="21">
        <f>Defaults!IT7*Obligors!$G$7*Obligors!$H$7</f>
        <v/>
      </c>
      <c r="IU7" s="21">
        <f>Defaults!IU7*Obligors!$G$7*Obligors!$H$7</f>
        <v/>
      </c>
      <c r="IV7" s="21">
        <f>Defaults!IV7*Obligors!$G$7*Obligors!$H$7</f>
        <v/>
      </c>
      <c r="IW7" s="21">
        <f>Defaults!IW7*Obligors!$G$7*Obligors!$H$7</f>
        <v/>
      </c>
      <c r="IX7" s="21">
        <f>Defaults!IX7*Obligors!$G$7*Obligors!$H$7</f>
        <v/>
      </c>
      <c r="IY7" s="21">
        <f>Defaults!IY7*Obligors!$G$7*Obligors!$H$7</f>
        <v/>
      </c>
      <c r="IZ7" s="21">
        <f>Defaults!IZ7*Obligors!$G$7*Obligors!$H$7</f>
        <v/>
      </c>
      <c r="JA7" s="21">
        <f>Defaults!JA7*Obligors!$G$7*Obligors!$H$7</f>
        <v/>
      </c>
      <c r="JB7" s="21">
        <f>Defaults!JB7*Obligors!$G$7*Obligors!$H$7</f>
        <v/>
      </c>
      <c r="JC7" s="21">
        <f>Defaults!JC7*Obligors!$G$7*Obligors!$H$7</f>
        <v/>
      </c>
      <c r="JD7" s="21">
        <f>Defaults!JD7*Obligors!$G$7*Obligors!$H$7</f>
        <v/>
      </c>
      <c r="JE7" s="21">
        <f>Defaults!JE7*Obligors!$G$7*Obligors!$H$7</f>
        <v/>
      </c>
      <c r="JF7" s="21">
        <f>Defaults!JF7*Obligors!$G$7*Obligors!$H$7</f>
        <v/>
      </c>
      <c r="JG7" s="21">
        <f>Defaults!JG7*Obligors!$G$7*Obligors!$H$7</f>
        <v/>
      </c>
      <c r="JH7" s="21">
        <f>Defaults!JH7*Obligors!$G$7*Obligors!$H$7</f>
        <v/>
      </c>
      <c r="JI7" s="21">
        <f>Defaults!JI7*Obligors!$G$7*Obligors!$H$7</f>
        <v/>
      </c>
      <c r="JJ7" s="21">
        <f>Defaults!JJ7*Obligors!$G$7*Obligors!$H$7</f>
        <v/>
      </c>
      <c r="JK7" s="21">
        <f>Defaults!JK7*Obligors!$G$7*Obligors!$H$7</f>
        <v/>
      </c>
      <c r="JL7" s="21">
        <f>Defaults!JL7*Obligors!$G$7*Obligors!$H$7</f>
        <v/>
      </c>
      <c r="JM7" s="21">
        <f>Defaults!JM7*Obligors!$G$7*Obligors!$H$7</f>
        <v/>
      </c>
      <c r="JN7" s="21">
        <f>Defaults!JN7*Obligors!$G$7*Obligors!$H$7</f>
        <v/>
      </c>
      <c r="JO7" s="21">
        <f>Defaults!JO7*Obligors!$G$7*Obligors!$H$7</f>
        <v/>
      </c>
      <c r="JP7" s="21">
        <f>Defaults!JP7*Obligors!$G$7*Obligors!$H$7</f>
        <v/>
      </c>
      <c r="JQ7" s="21">
        <f>Defaults!JQ7*Obligors!$G$7*Obligors!$H$7</f>
        <v/>
      </c>
      <c r="JR7" s="21">
        <f>Defaults!JR7*Obligors!$G$7*Obligors!$H$7</f>
        <v/>
      </c>
      <c r="JS7" s="21">
        <f>Defaults!JS7*Obligors!$G$7*Obligors!$H$7</f>
        <v/>
      </c>
      <c r="JT7" s="21">
        <f>Defaults!JT7*Obligors!$G$7*Obligors!$H$7</f>
        <v/>
      </c>
      <c r="JU7" s="21">
        <f>Defaults!JU7*Obligors!$G$7*Obligors!$H$7</f>
        <v/>
      </c>
      <c r="JV7" s="21">
        <f>Defaults!JV7*Obligors!$G$7*Obligors!$H$7</f>
        <v/>
      </c>
      <c r="JW7" s="21">
        <f>Defaults!JW7*Obligors!$G$7*Obligors!$H$7</f>
        <v/>
      </c>
      <c r="JX7" s="21">
        <f>Defaults!JX7*Obligors!$G$7*Obligors!$H$7</f>
        <v/>
      </c>
      <c r="JY7" s="21">
        <f>Defaults!JY7*Obligors!$G$7*Obligors!$H$7</f>
        <v/>
      </c>
      <c r="JZ7" s="21">
        <f>Defaults!JZ7*Obligors!$G$7*Obligors!$H$7</f>
        <v/>
      </c>
      <c r="KA7" s="21">
        <f>Defaults!KA7*Obligors!$G$7*Obligors!$H$7</f>
        <v/>
      </c>
      <c r="KB7" s="21">
        <f>Defaults!KB7*Obligors!$G$7*Obligors!$H$7</f>
        <v/>
      </c>
      <c r="KC7" s="21">
        <f>Defaults!KC7*Obligors!$G$7*Obligors!$H$7</f>
        <v/>
      </c>
      <c r="KD7" s="21">
        <f>Defaults!KD7*Obligors!$G$7*Obligors!$H$7</f>
        <v/>
      </c>
      <c r="KE7" s="21">
        <f>Defaults!KE7*Obligors!$G$7*Obligors!$H$7</f>
        <v/>
      </c>
      <c r="KF7" s="21">
        <f>Defaults!KF7*Obligors!$G$7*Obligors!$H$7</f>
        <v/>
      </c>
      <c r="KG7" s="21">
        <f>Defaults!KG7*Obligors!$G$7*Obligors!$H$7</f>
        <v/>
      </c>
      <c r="KH7" s="21">
        <f>Defaults!KH7*Obligors!$G$7*Obligors!$H$7</f>
        <v/>
      </c>
      <c r="KI7" s="21">
        <f>Defaults!KI7*Obligors!$G$7*Obligors!$H$7</f>
        <v/>
      </c>
      <c r="KJ7" s="21">
        <f>Defaults!KJ7*Obligors!$G$7*Obligors!$H$7</f>
        <v/>
      </c>
      <c r="KK7" s="21">
        <f>Defaults!KK7*Obligors!$G$7*Obligors!$H$7</f>
        <v/>
      </c>
      <c r="KL7" s="21">
        <f>Defaults!KL7*Obligors!$G$7*Obligors!$H$7</f>
        <v/>
      </c>
      <c r="KM7" s="21">
        <f>Defaults!KM7*Obligors!$G$7*Obligors!$H$7</f>
        <v/>
      </c>
      <c r="KN7" s="21">
        <f>Defaults!KN7*Obligors!$G$7*Obligors!$H$7</f>
        <v/>
      </c>
      <c r="KO7" s="21">
        <f>Defaults!KO7*Obligors!$G$7*Obligors!$H$7</f>
        <v/>
      </c>
      <c r="KP7" s="21">
        <f>Defaults!KP7*Obligors!$G$7*Obligors!$H$7</f>
        <v/>
      </c>
      <c r="KQ7" s="21">
        <f>Defaults!KQ7*Obligors!$G$7*Obligors!$H$7</f>
        <v/>
      </c>
      <c r="KR7" s="21">
        <f>Defaults!KR7*Obligors!$G$7*Obligors!$H$7</f>
        <v/>
      </c>
      <c r="KS7" s="21">
        <f>Defaults!KS7*Obligors!$G$7*Obligors!$H$7</f>
        <v/>
      </c>
      <c r="KT7" s="21">
        <f>Defaults!KT7*Obligors!$G$7*Obligors!$H$7</f>
        <v/>
      </c>
      <c r="KU7" s="21">
        <f>Defaults!KU7*Obligors!$G$7*Obligors!$H$7</f>
        <v/>
      </c>
      <c r="KV7" s="21">
        <f>Defaults!KV7*Obligors!$G$7*Obligors!$H$7</f>
        <v/>
      </c>
      <c r="KW7" s="21">
        <f>Defaults!KW7*Obligors!$G$7*Obligors!$H$7</f>
        <v/>
      </c>
      <c r="KX7" s="21">
        <f>Defaults!KX7*Obligors!$G$7*Obligors!$H$7</f>
        <v/>
      </c>
      <c r="KY7" s="21">
        <f>Defaults!KY7*Obligors!$G$7*Obligors!$H$7</f>
        <v/>
      </c>
      <c r="KZ7" s="21">
        <f>Defaults!KZ7*Obligors!$G$7*Obligors!$H$7</f>
        <v/>
      </c>
      <c r="LA7" s="21">
        <f>Defaults!LA7*Obligors!$G$7*Obligors!$H$7</f>
        <v/>
      </c>
      <c r="LB7" s="21">
        <f>Defaults!LB7*Obligors!$G$7*Obligors!$H$7</f>
        <v/>
      </c>
      <c r="LC7" s="21">
        <f>Defaults!LC7*Obligors!$G$7*Obligors!$H$7</f>
        <v/>
      </c>
      <c r="LD7" s="21">
        <f>Defaults!LD7*Obligors!$G$7*Obligors!$H$7</f>
        <v/>
      </c>
      <c r="LE7" s="21">
        <f>Defaults!LE7*Obligors!$G$7*Obligors!$H$7</f>
        <v/>
      </c>
      <c r="LF7" s="21">
        <f>Defaults!LF7*Obligors!$G$7*Obligors!$H$7</f>
        <v/>
      </c>
      <c r="LG7" s="21">
        <f>Defaults!LG7*Obligors!$G$7*Obligors!$H$7</f>
        <v/>
      </c>
      <c r="LH7" s="21">
        <f>Defaults!LH7*Obligors!$G$7*Obligors!$H$7</f>
        <v/>
      </c>
      <c r="LI7" s="21">
        <f>Defaults!LI7*Obligors!$G$7*Obligors!$H$7</f>
        <v/>
      </c>
      <c r="LJ7" s="21">
        <f>Defaults!LJ7*Obligors!$G$7*Obligors!$H$7</f>
        <v/>
      </c>
      <c r="LK7" s="21">
        <f>Defaults!LK7*Obligors!$G$7*Obligors!$H$7</f>
        <v/>
      </c>
      <c r="LL7" s="21">
        <f>Defaults!LL7*Obligors!$G$7*Obligors!$H$7</f>
        <v/>
      </c>
      <c r="LM7" s="21">
        <f>Defaults!LM7*Obligors!$G$7*Obligors!$H$7</f>
        <v/>
      </c>
      <c r="LN7" s="21">
        <f>Defaults!LN7*Obligors!$G$7*Obligors!$H$7</f>
        <v/>
      </c>
      <c r="LO7" s="21">
        <f>Defaults!LO7*Obligors!$G$7*Obligors!$H$7</f>
        <v/>
      </c>
      <c r="LP7" s="21">
        <f>Defaults!LP7*Obligors!$G$7*Obligors!$H$7</f>
        <v/>
      </c>
      <c r="LQ7" s="21">
        <f>Defaults!LQ7*Obligors!$G$7*Obligors!$H$7</f>
        <v/>
      </c>
      <c r="LR7" s="21">
        <f>Defaults!LR7*Obligors!$G$7*Obligors!$H$7</f>
        <v/>
      </c>
      <c r="LS7" s="21">
        <f>Defaults!LS7*Obligors!$G$7*Obligors!$H$7</f>
        <v/>
      </c>
      <c r="LT7" s="21">
        <f>Defaults!LT7*Obligors!$G$7*Obligors!$H$7</f>
        <v/>
      </c>
      <c r="LU7" s="21">
        <f>Defaults!LU7*Obligors!$G$7*Obligors!$H$7</f>
        <v/>
      </c>
      <c r="LV7" s="21">
        <f>Defaults!LV7*Obligors!$G$7*Obligors!$H$7</f>
        <v/>
      </c>
      <c r="LW7" s="21">
        <f>Defaults!LW7*Obligors!$G$7*Obligors!$H$7</f>
        <v/>
      </c>
      <c r="LX7" s="21">
        <f>Defaults!LX7*Obligors!$G$7*Obligors!$H$7</f>
        <v/>
      </c>
      <c r="LY7" s="21">
        <f>Defaults!LY7*Obligors!$G$7*Obligors!$H$7</f>
        <v/>
      </c>
      <c r="LZ7" s="21">
        <f>Defaults!LZ7*Obligors!$G$7*Obligors!$H$7</f>
        <v/>
      </c>
      <c r="MA7" s="21">
        <f>Defaults!MA7*Obligors!$G$7*Obligors!$H$7</f>
        <v/>
      </c>
      <c r="MB7" s="21">
        <f>Defaults!MB7*Obligors!$G$7*Obligors!$H$7</f>
        <v/>
      </c>
      <c r="MC7" s="21">
        <f>Defaults!MC7*Obligors!$G$7*Obligors!$H$7</f>
        <v/>
      </c>
      <c r="MD7" s="21">
        <f>Defaults!MD7*Obligors!$G$7*Obligors!$H$7</f>
        <v/>
      </c>
      <c r="ME7" s="21">
        <f>Defaults!ME7*Obligors!$G$7*Obligors!$H$7</f>
        <v/>
      </c>
      <c r="MF7" s="21">
        <f>Defaults!MF7*Obligors!$G$7*Obligors!$H$7</f>
        <v/>
      </c>
      <c r="MG7" s="21">
        <f>Defaults!MG7*Obligors!$G$7*Obligors!$H$7</f>
        <v/>
      </c>
      <c r="MH7" s="21">
        <f>Defaults!MH7*Obligors!$G$7*Obligors!$H$7</f>
        <v/>
      </c>
      <c r="MI7" s="21">
        <f>Defaults!MI7*Obligors!$G$7*Obligors!$H$7</f>
        <v/>
      </c>
      <c r="MJ7" s="21">
        <f>Defaults!MJ7*Obligors!$G$7*Obligors!$H$7</f>
        <v/>
      </c>
      <c r="MK7" s="21">
        <f>Defaults!MK7*Obligors!$G$7*Obligors!$H$7</f>
        <v/>
      </c>
      <c r="ML7" s="21">
        <f>Defaults!ML7*Obligors!$G$7*Obligors!$H$7</f>
        <v/>
      </c>
      <c r="MM7" s="21">
        <f>Defaults!MM7*Obligors!$G$7*Obligors!$H$7</f>
        <v/>
      </c>
      <c r="MN7" s="21">
        <f>Defaults!MN7*Obligors!$G$7*Obligors!$H$7</f>
        <v/>
      </c>
      <c r="MO7" s="21">
        <f>Defaults!MO7*Obligors!$G$7*Obligors!$H$7</f>
        <v/>
      </c>
      <c r="MP7" s="21">
        <f>Defaults!MP7*Obligors!$G$7*Obligors!$H$7</f>
        <v/>
      </c>
      <c r="MQ7" s="21">
        <f>Defaults!MQ7*Obligors!$G$7*Obligors!$H$7</f>
        <v/>
      </c>
      <c r="MR7" s="21">
        <f>Defaults!MR7*Obligors!$G$7*Obligors!$H$7</f>
        <v/>
      </c>
      <c r="MS7" s="21">
        <f>Defaults!MS7*Obligors!$G$7*Obligors!$H$7</f>
        <v/>
      </c>
      <c r="MT7" s="21">
        <f>Defaults!MT7*Obligors!$G$7*Obligors!$H$7</f>
        <v/>
      </c>
      <c r="MU7" s="21">
        <f>Defaults!MU7*Obligors!$G$7*Obligors!$H$7</f>
        <v/>
      </c>
      <c r="MV7" s="21">
        <f>Defaults!MV7*Obligors!$G$7*Obligors!$H$7</f>
        <v/>
      </c>
      <c r="MW7" s="21">
        <f>Defaults!MW7*Obligors!$G$7*Obligors!$H$7</f>
        <v/>
      </c>
      <c r="MX7" s="21">
        <f>Defaults!MX7*Obligors!$G$7*Obligors!$H$7</f>
        <v/>
      </c>
      <c r="MY7" s="21">
        <f>Defaults!MY7*Obligors!$G$7*Obligors!$H$7</f>
        <v/>
      </c>
      <c r="MZ7" s="21">
        <f>Defaults!MZ7*Obligors!$G$7*Obligors!$H$7</f>
        <v/>
      </c>
      <c r="NA7" s="21">
        <f>Defaults!NA7*Obligors!$G$7*Obligors!$H$7</f>
        <v/>
      </c>
      <c r="NB7" s="21">
        <f>Defaults!NB7*Obligors!$G$7*Obligors!$H$7</f>
        <v/>
      </c>
      <c r="NC7" s="21">
        <f>Defaults!NC7*Obligors!$G$7*Obligors!$H$7</f>
        <v/>
      </c>
      <c r="ND7" s="21">
        <f>Defaults!ND7*Obligors!$G$7*Obligors!$H$7</f>
        <v/>
      </c>
      <c r="NE7" s="21">
        <f>Defaults!NE7*Obligors!$G$7*Obligors!$H$7</f>
        <v/>
      </c>
      <c r="NF7" s="21">
        <f>Defaults!NF7*Obligors!$G$7*Obligors!$H$7</f>
        <v/>
      </c>
      <c r="NG7" s="21">
        <f>Defaults!NG7*Obligors!$G$7*Obligors!$H$7</f>
        <v/>
      </c>
      <c r="NH7" s="21">
        <f>Defaults!NH7*Obligors!$G$7*Obligors!$H$7</f>
        <v/>
      </c>
      <c r="NI7" s="21">
        <f>Defaults!NI7*Obligors!$G$7*Obligors!$H$7</f>
        <v/>
      </c>
      <c r="NJ7" s="21">
        <f>Defaults!NJ7*Obligors!$G$7*Obligors!$H$7</f>
        <v/>
      </c>
      <c r="NK7" s="21">
        <f>Defaults!NK7*Obligors!$G$7*Obligors!$H$7</f>
        <v/>
      </c>
      <c r="NL7" s="21">
        <f>Defaults!NL7*Obligors!$G$7*Obligors!$H$7</f>
        <v/>
      </c>
      <c r="NM7" s="21">
        <f>Defaults!NM7*Obligors!$G$7*Obligors!$H$7</f>
        <v/>
      </c>
      <c r="NN7" s="21">
        <f>Defaults!NN7*Obligors!$G$7*Obligors!$H$7</f>
        <v/>
      </c>
      <c r="NO7" s="21">
        <f>Defaults!NO7*Obligors!$G$7*Obligors!$H$7</f>
        <v/>
      </c>
      <c r="NP7" s="21">
        <f>Defaults!NP7*Obligors!$G$7*Obligors!$H$7</f>
        <v/>
      </c>
      <c r="NQ7" s="21">
        <f>Defaults!NQ7*Obligors!$G$7*Obligors!$H$7</f>
        <v/>
      </c>
      <c r="NR7" s="21">
        <f>Defaults!NR7*Obligors!$G$7*Obligors!$H$7</f>
        <v/>
      </c>
      <c r="NS7" s="21">
        <f>Defaults!NS7*Obligors!$G$7*Obligors!$H$7</f>
        <v/>
      </c>
      <c r="NT7" s="21">
        <f>Defaults!NT7*Obligors!$G$7*Obligors!$H$7</f>
        <v/>
      </c>
      <c r="NU7" s="21">
        <f>Defaults!NU7*Obligors!$G$7*Obligors!$H$7</f>
        <v/>
      </c>
      <c r="NV7" s="21">
        <f>Defaults!NV7*Obligors!$G$7*Obligors!$H$7</f>
        <v/>
      </c>
      <c r="NW7" s="21">
        <f>Defaults!NW7*Obligors!$G$7*Obligors!$H$7</f>
        <v/>
      </c>
      <c r="NX7" s="21">
        <f>Defaults!NX7*Obligors!$G$7*Obligors!$H$7</f>
        <v/>
      </c>
      <c r="NY7" s="21">
        <f>Defaults!NY7*Obligors!$G$7*Obligors!$H$7</f>
        <v/>
      </c>
      <c r="NZ7" s="21">
        <f>Defaults!NZ7*Obligors!$G$7*Obligors!$H$7</f>
        <v/>
      </c>
      <c r="OA7" s="21">
        <f>Defaults!OA7*Obligors!$G$7*Obligors!$H$7</f>
        <v/>
      </c>
      <c r="OB7" s="21">
        <f>Defaults!OB7*Obligors!$G$7*Obligors!$H$7</f>
        <v/>
      </c>
      <c r="OC7" s="21">
        <f>Defaults!OC7*Obligors!$G$7*Obligors!$H$7</f>
        <v/>
      </c>
      <c r="OD7" s="21">
        <f>Defaults!OD7*Obligors!$G$7*Obligors!$H$7</f>
        <v/>
      </c>
      <c r="OE7" s="21">
        <f>Defaults!OE7*Obligors!$G$7*Obligors!$H$7</f>
        <v/>
      </c>
      <c r="OF7" s="21">
        <f>Defaults!OF7*Obligors!$G$7*Obligors!$H$7</f>
        <v/>
      </c>
      <c r="OG7" s="21">
        <f>Defaults!OG7*Obligors!$G$7*Obligors!$H$7</f>
        <v/>
      </c>
      <c r="OH7" s="21">
        <f>Defaults!OH7*Obligors!$G$7*Obligors!$H$7</f>
        <v/>
      </c>
      <c r="OI7" s="21">
        <f>Defaults!OI7*Obligors!$G$7*Obligors!$H$7</f>
        <v/>
      </c>
      <c r="OJ7" s="21">
        <f>Defaults!OJ7*Obligors!$G$7*Obligors!$H$7</f>
        <v/>
      </c>
      <c r="OK7" s="21">
        <f>Defaults!OK7*Obligors!$G$7*Obligors!$H$7</f>
        <v/>
      </c>
      <c r="OL7" s="21">
        <f>Defaults!OL7*Obligors!$G$7*Obligors!$H$7</f>
        <v/>
      </c>
      <c r="OM7" s="21">
        <f>Defaults!OM7*Obligors!$G$7*Obligors!$H$7</f>
        <v/>
      </c>
      <c r="ON7" s="21">
        <f>Defaults!ON7*Obligors!$G$7*Obligors!$H$7</f>
        <v/>
      </c>
      <c r="OO7" s="21">
        <f>Defaults!OO7*Obligors!$G$7*Obligors!$H$7</f>
        <v/>
      </c>
      <c r="OP7" s="21">
        <f>Defaults!OP7*Obligors!$G$7*Obligors!$H$7</f>
        <v/>
      </c>
      <c r="OQ7" s="21">
        <f>Defaults!OQ7*Obligors!$G$7*Obligors!$H$7</f>
        <v/>
      </c>
      <c r="OR7" s="21">
        <f>Defaults!OR7*Obligors!$G$7*Obligors!$H$7</f>
        <v/>
      </c>
      <c r="OS7" s="21">
        <f>Defaults!OS7*Obligors!$G$7*Obligors!$H$7</f>
        <v/>
      </c>
      <c r="OT7" s="21">
        <f>Defaults!OT7*Obligors!$G$7*Obligors!$H$7</f>
        <v/>
      </c>
      <c r="OU7" s="21">
        <f>Defaults!OU7*Obligors!$G$7*Obligors!$H$7</f>
        <v/>
      </c>
      <c r="OV7" s="21">
        <f>Defaults!OV7*Obligors!$G$7*Obligors!$H$7</f>
        <v/>
      </c>
      <c r="OW7" s="21">
        <f>Defaults!OW7*Obligors!$G$7*Obligors!$H$7</f>
        <v/>
      </c>
      <c r="OX7" s="21">
        <f>Defaults!OX7*Obligors!$G$7*Obligors!$H$7</f>
        <v/>
      </c>
      <c r="OY7" s="21">
        <f>Defaults!OY7*Obligors!$G$7*Obligors!$H$7</f>
        <v/>
      </c>
      <c r="OZ7" s="21">
        <f>Defaults!OZ7*Obligors!$G$7*Obligors!$H$7</f>
        <v/>
      </c>
      <c r="PA7" s="21">
        <f>Defaults!PA7*Obligors!$G$7*Obligors!$H$7</f>
        <v/>
      </c>
      <c r="PB7" s="21">
        <f>Defaults!PB7*Obligors!$G$7*Obligors!$H$7</f>
        <v/>
      </c>
      <c r="PC7" s="21">
        <f>Defaults!PC7*Obligors!$G$7*Obligors!$H$7</f>
        <v/>
      </c>
      <c r="PD7" s="21">
        <f>Defaults!PD7*Obligors!$G$7*Obligors!$H$7</f>
        <v/>
      </c>
      <c r="PE7" s="21">
        <f>Defaults!PE7*Obligors!$G$7*Obligors!$H$7</f>
        <v/>
      </c>
      <c r="PF7" s="21">
        <f>Defaults!PF7*Obligors!$G$7*Obligors!$H$7</f>
        <v/>
      </c>
      <c r="PG7" s="21">
        <f>Defaults!PG7*Obligors!$G$7*Obligors!$H$7</f>
        <v/>
      </c>
      <c r="PH7" s="21">
        <f>Defaults!PH7*Obligors!$G$7*Obligors!$H$7</f>
        <v/>
      </c>
      <c r="PI7" s="21">
        <f>Defaults!PI7*Obligors!$G$7*Obligors!$H$7</f>
        <v/>
      </c>
      <c r="PJ7" s="21">
        <f>Defaults!PJ7*Obligors!$G$7*Obligors!$H$7</f>
        <v/>
      </c>
      <c r="PK7" s="21">
        <f>Defaults!PK7*Obligors!$G$7*Obligors!$H$7</f>
        <v/>
      </c>
      <c r="PL7" s="21">
        <f>Defaults!PL7*Obligors!$G$7*Obligors!$H$7</f>
        <v/>
      </c>
      <c r="PM7" s="21">
        <f>Defaults!PM7*Obligors!$G$7*Obligors!$H$7</f>
        <v/>
      </c>
      <c r="PN7" s="21">
        <f>Defaults!PN7*Obligors!$G$7*Obligors!$H$7</f>
        <v/>
      </c>
      <c r="PO7" s="21">
        <f>Defaults!PO7*Obligors!$G$7*Obligors!$H$7</f>
        <v/>
      </c>
      <c r="PP7" s="21">
        <f>Defaults!PP7*Obligors!$G$7*Obligors!$H$7</f>
        <v/>
      </c>
      <c r="PQ7" s="21">
        <f>Defaults!PQ7*Obligors!$G$7*Obligors!$H$7</f>
        <v/>
      </c>
      <c r="PR7" s="21">
        <f>Defaults!PR7*Obligors!$G$7*Obligors!$H$7</f>
        <v/>
      </c>
      <c r="PS7" s="21">
        <f>Defaults!PS7*Obligors!$G$7*Obligors!$H$7</f>
        <v/>
      </c>
      <c r="PT7" s="21">
        <f>Defaults!PT7*Obligors!$G$7*Obligors!$H$7</f>
        <v/>
      </c>
      <c r="PU7" s="21">
        <f>Defaults!PU7*Obligors!$G$7*Obligors!$H$7</f>
        <v/>
      </c>
      <c r="PV7" s="21">
        <f>Defaults!PV7*Obligors!$G$7*Obligors!$H$7</f>
        <v/>
      </c>
      <c r="PW7" s="21">
        <f>Defaults!PW7*Obligors!$G$7*Obligors!$H$7</f>
        <v/>
      </c>
      <c r="PX7" s="21">
        <f>Defaults!PX7*Obligors!$G$7*Obligors!$H$7</f>
        <v/>
      </c>
      <c r="PY7" s="21">
        <f>Defaults!PY7*Obligors!$G$7*Obligors!$H$7</f>
        <v/>
      </c>
      <c r="PZ7" s="21">
        <f>Defaults!PZ7*Obligors!$G$7*Obligors!$H$7</f>
        <v/>
      </c>
      <c r="QA7" s="21">
        <f>Defaults!QA7*Obligors!$G$7*Obligors!$H$7</f>
        <v/>
      </c>
      <c r="QB7" s="21">
        <f>Defaults!QB7*Obligors!$G$7*Obligors!$H$7</f>
        <v/>
      </c>
      <c r="QC7" s="21">
        <f>Defaults!QC7*Obligors!$G$7*Obligors!$H$7</f>
        <v/>
      </c>
      <c r="QD7" s="21">
        <f>Defaults!QD7*Obligors!$G$7*Obligors!$H$7</f>
        <v/>
      </c>
      <c r="QE7" s="21">
        <f>Defaults!QE7*Obligors!$G$7*Obligors!$H$7</f>
        <v/>
      </c>
      <c r="QF7" s="21">
        <f>Defaults!QF7*Obligors!$G$7*Obligors!$H$7</f>
        <v/>
      </c>
      <c r="QG7" s="21">
        <f>Defaults!QG7*Obligors!$G$7*Obligors!$H$7</f>
        <v/>
      </c>
      <c r="QH7" s="21">
        <f>Defaults!QH7*Obligors!$G$7*Obligors!$H$7</f>
        <v/>
      </c>
      <c r="QI7" s="21">
        <f>Defaults!QI7*Obligors!$G$7*Obligors!$H$7</f>
        <v/>
      </c>
      <c r="QJ7" s="21">
        <f>Defaults!QJ7*Obligors!$G$7*Obligors!$H$7</f>
        <v/>
      </c>
      <c r="QK7" s="21">
        <f>Defaults!QK7*Obligors!$G$7*Obligors!$H$7</f>
        <v/>
      </c>
      <c r="QL7" s="21">
        <f>Defaults!QL7*Obligors!$G$7*Obligors!$H$7</f>
        <v/>
      </c>
      <c r="QM7" s="21">
        <f>Defaults!QM7*Obligors!$G$7*Obligors!$H$7</f>
        <v/>
      </c>
      <c r="QN7" s="21">
        <f>Defaults!QN7*Obligors!$G$7*Obligors!$H$7</f>
        <v/>
      </c>
      <c r="QO7" s="21">
        <f>Defaults!QO7*Obligors!$G$7*Obligors!$H$7</f>
        <v/>
      </c>
      <c r="QP7" s="21">
        <f>Defaults!QP7*Obligors!$G$7*Obligors!$H$7</f>
        <v/>
      </c>
      <c r="QQ7" s="21">
        <f>Defaults!QQ7*Obligors!$G$7*Obligors!$H$7</f>
        <v/>
      </c>
      <c r="QR7" s="21">
        <f>Defaults!QR7*Obligors!$G$7*Obligors!$H$7</f>
        <v/>
      </c>
      <c r="QS7" s="21">
        <f>Defaults!QS7*Obligors!$G$7*Obligors!$H$7</f>
        <v/>
      </c>
      <c r="QT7" s="21">
        <f>Defaults!QT7*Obligors!$G$7*Obligors!$H$7</f>
        <v/>
      </c>
      <c r="QU7" s="21">
        <f>Defaults!QU7*Obligors!$G$7*Obligors!$H$7</f>
        <v/>
      </c>
      <c r="QV7" s="21">
        <f>Defaults!QV7*Obligors!$G$7*Obligors!$H$7</f>
        <v/>
      </c>
      <c r="QW7" s="21">
        <f>Defaults!QW7*Obligors!$G$7*Obligors!$H$7</f>
        <v/>
      </c>
      <c r="QX7" s="21">
        <f>Defaults!QX7*Obligors!$G$7*Obligors!$H$7</f>
        <v/>
      </c>
      <c r="QY7" s="21">
        <f>Defaults!QY7*Obligors!$G$7*Obligors!$H$7</f>
        <v/>
      </c>
      <c r="QZ7" s="21">
        <f>Defaults!QZ7*Obligors!$G$7*Obligors!$H$7</f>
        <v/>
      </c>
      <c r="RA7" s="21">
        <f>Defaults!RA7*Obligors!$G$7*Obligors!$H$7</f>
        <v/>
      </c>
      <c r="RB7" s="21">
        <f>Defaults!RB7*Obligors!$G$7*Obligors!$H$7</f>
        <v/>
      </c>
      <c r="RC7" s="21">
        <f>Defaults!RC7*Obligors!$G$7*Obligors!$H$7</f>
        <v/>
      </c>
      <c r="RD7" s="21">
        <f>Defaults!RD7*Obligors!$G$7*Obligors!$H$7</f>
        <v/>
      </c>
      <c r="RE7" s="21">
        <f>Defaults!RE7*Obligors!$G$7*Obligors!$H$7</f>
        <v/>
      </c>
      <c r="RF7" s="21">
        <f>Defaults!RF7*Obligors!$G$7*Obligors!$H$7</f>
        <v/>
      </c>
      <c r="RG7" s="21">
        <f>Defaults!RG7*Obligors!$G$7*Obligors!$H$7</f>
        <v/>
      </c>
      <c r="RH7" s="21">
        <f>Defaults!RH7*Obligors!$G$7*Obligors!$H$7</f>
        <v/>
      </c>
      <c r="RI7" s="21">
        <f>Defaults!RI7*Obligors!$G$7*Obligors!$H$7</f>
        <v/>
      </c>
      <c r="RJ7" s="21">
        <f>Defaults!RJ7*Obligors!$G$7*Obligors!$H$7</f>
        <v/>
      </c>
      <c r="RK7" s="21">
        <f>Defaults!RK7*Obligors!$G$7*Obligors!$H$7</f>
        <v/>
      </c>
      <c r="RL7" s="21">
        <f>Defaults!RL7*Obligors!$G$7*Obligors!$H$7</f>
        <v/>
      </c>
      <c r="RM7" s="21">
        <f>Defaults!RM7*Obligors!$G$7*Obligors!$H$7</f>
        <v/>
      </c>
      <c r="RN7" s="21">
        <f>Defaults!RN7*Obligors!$G$7*Obligors!$H$7</f>
        <v/>
      </c>
      <c r="RO7" s="21">
        <f>Defaults!RO7*Obligors!$G$7*Obligors!$H$7</f>
        <v/>
      </c>
      <c r="RP7" s="21">
        <f>Defaults!RP7*Obligors!$G$7*Obligors!$H$7</f>
        <v/>
      </c>
      <c r="RQ7" s="21">
        <f>Defaults!RQ7*Obligors!$G$7*Obligors!$H$7</f>
        <v/>
      </c>
      <c r="RR7" s="21">
        <f>Defaults!RR7*Obligors!$G$7*Obligors!$H$7</f>
        <v/>
      </c>
      <c r="RS7" s="21">
        <f>Defaults!RS7*Obligors!$G$7*Obligors!$H$7</f>
        <v/>
      </c>
      <c r="RT7" s="21">
        <f>Defaults!RT7*Obligors!$G$7*Obligors!$H$7</f>
        <v/>
      </c>
      <c r="RU7" s="21">
        <f>Defaults!RU7*Obligors!$G$7*Obligors!$H$7</f>
        <v/>
      </c>
      <c r="RV7" s="21">
        <f>Defaults!RV7*Obligors!$G$7*Obligors!$H$7</f>
        <v/>
      </c>
      <c r="RW7" s="21">
        <f>Defaults!RW7*Obligors!$G$7*Obligors!$H$7</f>
        <v/>
      </c>
      <c r="RX7" s="21">
        <f>Defaults!RX7*Obligors!$G$7*Obligors!$H$7</f>
        <v/>
      </c>
      <c r="RY7" s="21">
        <f>Defaults!RY7*Obligors!$G$7*Obligors!$H$7</f>
        <v/>
      </c>
      <c r="RZ7" s="21">
        <f>Defaults!RZ7*Obligors!$G$7*Obligors!$H$7</f>
        <v/>
      </c>
      <c r="SA7" s="21">
        <f>Defaults!SA7*Obligors!$G$7*Obligors!$H$7</f>
        <v/>
      </c>
      <c r="SB7" s="21">
        <f>Defaults!SB7*Obligors!$G$7*Obligors!$H$7</f>
        <v/>
      </c>
      <c r="SC7" s="21">
        <f>Defaults!SC7*Obligors!$G$7*Obligors!$H$7</f>
        <v/>
      </c>
      <c r="SD7" s="21">
        <f>Defaults!SD7*Obligors!$G$7*Obligors!$H$7</f>
        <v/>
      </c>
      <c r="SE7" s="21">
        <f>Defaults!SE7*Obligors!$G$7*Obligors!$H$7</f>
        <v/>
      </c>
      <c r="SF7" s="21">
        <f>Defaults!SF7*Obligors!$G$7*Obligors!$H$7</f>
        <v/>
      </c>
      <c r="SG7" s="21">
        <f>Defaults!SG7*Obligors!$G$7*Obligors!$H$7</f>
        <v/>
      </c>
    </row>
    <row r="8">
      <c r="A8" s="17" t="inlineStr">
        <is>
          <t>OBL-007</t>
        </is>
      </c>
      <c r="B8" s="21">
        <f>Defaults!B8*Obligors!$G$8*Obligors!$H$8</f>
        <v/>
      </c>
      <c r="C8" s="21">
        <f>Defaults!C8*Obligors!$G$8*Obligors!$H$8</f>
        <v/>
      </c>
      <c r="D8" s="21">
        <f>Defaults!D8*Obligors!$G$8*Obligors!$H$8</f>
        <v/>
      </c>
      <c r="E8" s="21">
        <f>Defaults!E8*Obligors!$G$8*Obligors!$H$8</f>
        <v/>
      </c>
      <c r="F8" s="21">
        <f>Defaults!F8*Obligors!$G$8*Obligors!$H$8</f>
        <v/>
      </c>
      <c r="G8" s="21">
        <f>Defaults!G8*Obligors!$G$8*Obligors!$H$8</f>
        <v/>
      </c>
      <c r="H8" s="21">
        <f>Defaults!H8*Obligors!$G$8*Obligors!$H$8</f>
        <v/>
      </c>
      <c r="I8" s="21">
        <f>Defaults!I8*Obligors!$G$8*Obligors!$H$8</f>
        <v/>
      </c>
      <c r="J8" s="21">
        <f>Defaults!J8*Obligors!$G$8*Obligors!$H$8</f>
        <v/>
      </c>
      <c r="K8" s="21">
        <f>Defaults!K8*Obligors!$G$8*Obligors!$H$8</f>
        <v/>
      </c>
      <c r="L8" s="21">
        <f>Defaults!L8*Obligors!$G$8*Obligors!$H$8</f>
        <v/>
      </c>
      <c r="M8" s="21">
        <f>Defaults!M8*Obligors!$G$8*Obligors!$H$8</f>
        <v/>
      </c>
      <c r="N8" s="21">
        <f>Defaults!N8*Obligors!$G$8*Obligors!$H$8</f>
        <v/>
      </c>
      <c r="O8" s="21">
        <f>Defaults!O8*Obligors!$G$8*Obligors!$H$8</f>
        <v/>
      </c>
      <c r="P8" s="21">
        <f>Defaults!P8*Obligors!$G$8*Obligors!$H$8</f>
        <v/>
      </c>
      <c r="Q8" s="21">
        <f>Defaults!Q8*Obligors!$G$8*Obligors!$H$8</f>
        <v/>
      </c>
      <c r="R8" s="21">
        <f>Defaults!R8*Obligors!$G$8*Obligors!$H$8</f>
        <v/>
      </c>
      <c r="S8" s="21">
        <f>Defaults!S8*Obligors!$G$8*Obligors!$H$8</f>
        <v/>
      </c>
      <c r="T8" s="21">
        <f>Defaults!T8*Obligors!$G$8*Obligors!$H$8</f>
        <v/>
      </c>
      <c r="U8" s="21">
        <f>Defaults!U8*Obligors!$G$8*Obligors!$H$8</f>
        <v/>
      </c>
      <c r="V8" s="21">
        <f>Defaults!V8*Obligors!$G$8*Obligors!$H$8</f>
        <v/>
      </c>
      <c r="W8" s="21">
        <f>Defaults!W8*Obligors!$G$8*Obligors!$H$8</f>
        <v/>
      </c>
      <c r="X8" s="21">
        <f>Defaults!X8*Obligors!$G$8*Obligors!$H$8</f>
        <v/>
      </c>
      <c r="Y8" s="21">
        <f>Defaults!Y8*Obligors!$G$8*Obligors!$H$8</f>
        <v/>
      </c>
      <c r="Z8" s="21">
        <f>Defaults!Z8*Obligors!$G$8*Obligors!$H$8</f>
        <v/>
      </c>
      <c r="AA8" s="21">
        <f>Defaults!AA8*Obligors!$G$8*Obligors!$H$8</f>
        <v/>
      </c>
      <c r="AB8" s="21">
        <f>Defaults!AB8*Obligors!$G$8*Obligors!$H$8</f>
        <v/>
      </c>
      <c r="AC8" s="21">
        <f>Defaults!AC8*Obligors!$G$8*Obligors!$H$8</f>
        <v/>
      </c>
      <c r="AD8" s="21">
        <f>Defaults!AD8*Obligors!$G$8*Obligors!$H$8</f>
        <v/>
      </c>
      <c r="AE8" s="21">
        <f>Defaults!AE8*Obligors!$G$8*Obligors!$H$8</f>
        <v/>
      </c>
      <c r="AF8" s="21">
        <f>Defaults!AF8*Obligors!$G$8*Obligors!$H$8</f>
        <v/>
      </c>
      <c r="AG8" s="21">
        <f>Defaults!AG8*Obligors!$G$8*Obligors!$H$8</f>
        <v/>
      </c>
      <c r="AH8" s="21">
        <f>Defaults!AH8*Obligors!$G$8*Obligors!$H$8</f>
        <v/>
      </c>
      <c r="AI8" s="21">
        <f>Defaults!AI8*Obligors!$G$8*Obligors!$H$8</f>
        <v/>
      </c>
      <c r="AJ8" s="21">
        <f>Defaults!AJ8*Obligors!$G$8*Obligors!$H$8</f>
        <v/>
      </c>
      <c r="AK8" s="21">
        <f>Defaults!AK8*Obligors!$G$8*Obligors!$H$8</f>
        <v/>
      </c>
      <c r="AL8" s="21">
        <f>Defaults!AL8*Obligors!$G$8*Obligors!$H$8</f>
        <v/>
      </c>
      <c r="AM8" s="21">
        <f>Defaults!AM8*Obligors!$G$8*Obligors!$H$8</f>
        <v/>
      </c>
      <c r="AN8" s="21">
        <f>Defaults!AN8*Obligors!$G$8*Obligors!$H$8</f>
        <v/>
      </c>
      <c r="AO8" s="21">
        <f>Defaults!AO8*Obligors!$G$8*Obligors!$H$8</f>
        <v/>
      </c>
      <c r="AP8" s="21">
        <f>Defaults!AP8*Obligors!$G$8*Obligors!$H$8</f>
        <v/>
      </c>
      <c r="AQ8" s="21">
        <f>Defaults!AQ8*Obligors!$G$8*Obligors!$H$8</f>
        <v/>
      </c>
      <c r="AR8" s="21">
        <f>Defaults!AR8*Obligors!$G$8*Obligors!$H$8</f>
        <v/>
      </c>
      <c r="AS8" s="21">
        <f>Defaults!AS8*Obligors!$G$8*Obligors!$H$8</f>
        <v/>
      </c>
      <c r="AT8" s="21">
        <f>Defaults!AT8*Obligors!$G$8*Obligors!$H$8</f>
        <v/>
      </c>
      <c r="AU8" s="21">
        <f>Defaults!AU8*Obligors!$G$8*Obligors!$H$8</f>
        <v/>
      </c>
      <c r="AV8" s="21">
        <f>Defaults!AV8*Obligors!$G$8*Obligors!$H$8</f>
        <v/>
      </c>
      <c r="AW8" s="21">
        <f>Defaults!AW8*Obligors!$G$8*Obligors!$H$8</f>
        <v/>
      </c>
      <c r="AX8" s="21">
        <f>Defaults!AX8*Obligors!$G$8*Obligors!$H$8</f>
        <v/>
      </c>
      <c r="AY8" s="21">
        <f>Defaults!AY8*Obligors!$G$8*Obligors!$H$8</f>
        <v/>
      </c>
      <c r="AZ8" s="21">
        <f>Defaults!AZ8*Obligors!$G$8*Obligors!$H$8</f>
        <v/>
      </c>
      <c r="BA8" s="21">
        <f>Defaults!BA8*Obligors!$G$8*Obligors!$H$8</f>
        <v/>
      </c>
      <c r="BB8" s="21">
        <f>Defaults!BB8*Obligors!$G$8*Obligors!$H$8</f>
        <v/>
      </c>
      <c r="BC8" s="21">
        <f>Defaults!BC8*Obligors!$G$8*Obligors!$H$8</f>
        <v/>
      </c>
      <c r="BD8" s="21">
        <f>Defaults!BD8*Obligors!$G$8*Obligors!$H$8</f>
        <v/>
      </c>
      <c r="BE8" s="21">
        <f>Defaults!BE8*Obligors!$G$8*Obligors!$H$8</f>
        <v/>
      </c>
      <c r="BF8" s="21">
        <f>Defaults!BF8*Obligors!$G$8*Obligors!$H$8</f>
        <v/>
      </c>
      <c r="BG8" s="21">
        <f>Defaults!BG8*Obligors!$G$8*Obligors!$H$8</f>
        <v/>
      </c>
      <c r="BH8" s="21">
        <f>Defaults!BH8*Obligors!$G$8*Obligors!$H$8</f>
        <v/>
      </c>
      <c r="BI8" s="21">
        <f>Defaults!BI8*Obligors!$G$8*Obligors!$H$8</f>
        <v/>
      </c>
      <c r="BJ8" s="21">
        <f>Defaults!BJ8*Obligors!$G$8*Obligors!$H$8</f>
        <v/>
      </c>
      <c r="BK8" s="21">
        <f>Defaults!BK8*Obligors!$G$8*Obligors!$H$8</f>
        <v/>
      </c>
      <c r="BL8" s="21">
        <f>Defaults!BL8*Obligors!$G$8*Obligors!$H$8</f>
        <v/>
      </c>
      <c r="BM8" s="21">
        <f>Defaults!BM8*Obligors!$G$8*Obligors!$H$8</f>
        <v/>
      </c>
      <c r="BN8" s="21">
        <f>Defaults!BN8*Obligors!$G$8*Obligors!$H$8</f>
        <v/>
      </c>
      <c r="BO8" s="21">
        <f>Defaults!BO8*Obligors!$G$8*Obligors!$H$8</f>
        <v/>
      </c>
      <c r="BP8" s="21">
        <f>Defaults!BP8*Obligors!$G$8*Obligors!$H$8</f>
        <v/>
      </c>
      <c r="BQ8" s="21">
        <f>Defaults!BQ8*Obligors!$G$8*Obligors!$H$8</f>
        <v/>
      </c>
      <c r="BR8" s="21">
        <f>Defaults!BR8*Obligors!$G$8*Obligors!$H$8</f>
        <v/>
      </c>
      <c r="BS8" s="21">
        <f>Defaults!BS8*Obligors!$G$8*Obligors!$H$8</f>
        <v/>
      </c>
      <c r="BT8" s="21">
        <f>Defaults!BT8*Obligors!$G$8*Obligors!$H$8</f>
        <v/>
      </c>
      <c r="BU8" s="21">
        <f>Defaults!BU8*Obligors!$G$8*Obligors!$H$8</f>
        <v/>
      </c>
      <c r="BV8" s="21">
        <f>Defaults!BV8*Obligors!$G$8*Obligors!$H$8</f>
        <v/>
      </c>
      <c r="BW8" s="21">
        <f>Defaults!BW8*Obligors!$G$8*Obligors!$H$8</f>
        <v/>
      </c>
      <c r="BX8" s="21">
        <f>Defaults!BX8*Obligors!$G$8*Obligors!$H$8</f>
        <v/>
      </c>
      <c r="BY8" s="21">
        <f>Defaults!BY8*Obligors!$G$8*Obligors!$H$8</f>
        <v/>
      </c>
      <c r="BZ8" s="21">
        <f>Defaults!BZ8*Obligors!$G$8*Obligors!$H$8</f>
        <v/>
      </c>
      <c r="CA8" s="21">
        <f>Defaults!CA8*Obligors!$G$8*Obligors!$H$8</f>
        <v/>
      </c>
      <c r="CB8" s="21">
        <f>Defaults!CB8*Obligors!$G$8*Obligors!$H$8</f>
        <v/>
      </c>
      <c r="CC8" s="21">
        <f>Defaults!CC8*Obligors!$G$8*Obligors!$H$8</f>
        <v/>
      </c>
      <c r="CD8" s="21">
        <f>Defaults!CD8*Obligors!$G$8*Obligors!$H$8</f>
        <v/>
      </c>
      <c r="CE8" s="21">
        <f>Defaults!CE8*Obligors!$G$8*Obligors!$H$8</f>
        <v/>
      </c>
      <c r="CF8" s="21">
        <f>Defaults!CF8*Obligors!$G$8*Obligors!$H$8</f>
        <v/>
      </c>
      <c r="CG8" s="21">
        <f>Defaults!CG8*Obligors!$G$8*Obligors!$H$8</f>
        <v/>
      </c>
      <c r="CH8" s="21">
        <f>Defaults!CH8*Obligors!$G$8*Obligors!$H$8</f>
        <v/>
      </c>
      <c r="CI8" s="21">
        <f>Defaults!CI8*Obligors!$G$8*Obligors!$H$8</f>
        <v/>
      </c>
      <c r="CJ8" s="21">
        <f>Defaults!CJ8*Obligors!$G$8*Obligors!$H$8</f>
        <v/>
      </c>
      <c r="CK8" s="21">
        <f>Defaults!CK8*Obligors!$G$8*Obligors!$H$8</f>
        <v/>
      </c>
      <c r="CL8" s="21">
        <f>Defaults!CL8*Obligors!$G$8*Obligors!$H$8</f>
        <v/>
      </c>
      <c r="CM8" s="21">
        <f>Defaults!CM8*Obligors!$G$8*Obligors!$H$8</f>
        <v/>
      </c>
      <c r="CN8" s="21">
        <f>Defaults!CN8*Obligors!$G$8*Obligors!$H$8</f>
        <v/>
      </c>
      <c r="CO8" s="21">
        <f>Defaults!CO8*Obligors!$G$8*Obligors!$H$8</f>
        <v/>
      </c>
      <c r="CP8" s="21">
        <f>Defaults!CP8*Obligors!$G$8*Obligors!$H$8</f>
        <v/>
      </c>
      <c r="CQ8" s="21">
        <f>Defaults!CQ8*Obligors!$G$8*Obligors!$H$8</f>
        <v/>
      </c>
      <c r="CR8" s="21">
        <f>Defaults!CR8*Obligors!$G$8*Obligors!$H$8</f>
        <v/>
      </c>
      <c r="CS8" s="21">
        <f>Defaults!CS8*Obligors!$G$8*Obligors!$H$8</f>
        <v/>
      </c>
      <c r="CT8" s="21">
        <f>Defaults!CT8*Obligors!$G$8*Obligors!$H$8</f>
        <v/>
      </c>
      <c r="CU8" s="21">
        <f>Defaults!CU8*Obligors!$G$8*Obligors!$H$8</f>
        <v/>
      </c>
      <c r="CV8" s="21">
        <f>Defaults!CV8*Obligors!$G$8*Obligors!$H$8</f>
        <v/>
      </c>
      <c r="CW8" s="21">
        <f>Defaults!CW8*Obligors!$G$8*Obligors!$H$8</f>
        <v/>
      </c>
      <c r="CX8" s="21">
        <f>Defaults!CX8*Obligors!$G$8*Obligors!$H$8</f>
        <v/>
      </c>
      <c r="CY8" s="21">
        <f>Defaults!CY8*Obligors!$G$8*Obligors!$H$8</f>
        <v/>
      </c>
      <c r="CZ8" s="21">
        <f>Defaults!CZ8*Obligors!$G$8*Obligors!$H$8</f>
        <v/>
      </c>
      <c r="DA8" s="21">
        <f>Defaults!DA8*Obligors!$G$8*Obligors!$H$8</f>
        <v/>
      </c>
      <c r="DB8" s="21">
        <f>Defaults!DB8*Obligors!$G$8*Obligors!$H$8</f>
        <v/>
      </c>
      <c r="DC8" s="21">
        <f>Defaults!DC8*Obligors!$G$8*Obligors!$H$8</f>
        <v/>
      </c>
      <c r="DD8" s="21">
        <f>Defaults!DD8*Obligors!$G$8*Obligors!$H$8</f>
        <v/>
      </c>
      <c r="DE8" s="21">
        <f>Defaults!DE8*Obligors!$G$8*Obligors!$H$8</f>
        <v/>
      </c>
      <c r="DF8" s="21">
        <f>Defaults!DF8*Obligors!$G$8*Obligors!$H$8</f>
        <v/>
      </c>
      <c r="DG8" s="21">
        <f>Defaults!DG8*Obligors!$G$8*Obligors!$H$8</f>
        <v/>
      </c>
      <c r="DH8" s="21">
        <f>Defaults!DH8*Obligors!$G$8*Obligors!$H$8</f>
        <v/>
      </c>
      <c r="DI8" s="21">
        <f>Defaults!DI8*Obligors!$G$8*Obligors!$H$8</f>
        <v/>
      </c>
      <c r="DJ8" s="21">
        <f>Defaults!DJ8*Obligors!$G$8*Obligors!$H$8</f>
        <v/>
      </c>
      <c r="DK8" s="21">
        <f>Defaults!DK8*Obligors!$G$8*Obligors!$H$8</f>
        <v/>
      </c>
      <c r="DL8" s="21">
        <f>Defaults!DL8*Obligors!$G$8*Obligors!$H$8</f>
        <v/>
      </c>
      <c r="DM8" s="21">
        <f>Defaults!DM8*Obligors!$G$8*Obligors!$H$8</f>
        <v/>
      </c>
      <c r="DN8" s="21">
        <f>Defaults!DN8*Obligors!$G$8*Obligors!$H$8</f>
        <v/>
      </c>
      <c r="DO8" s="21">
        <f>Defaults!DO8*Obligors!$G$8*Obligors!$H$8</f>
        <v/>
      </c>
      <c r="DP8" s="21">
        <f>Defaults!DP8*Obligors!$G$8*Obligors!$H$8</f>
        <v/>
      </c>
      <c r="DQ8" s="21">
        <f>Defaults!DQ8*Obligors!$G$8*Obligors!$H$8</f>
        <v/>
      </c>
      <c r="DR8" s="21">
        <f>Defaults!DR8*Obligors!$G$8*Obligors!$H$8</f>
        <v/>
      </c>
      <c r="DS8" s="21">
        <f>Defaults!DS8*Obligors!$G$8*Obligors!$H$8</f>
        <v/>
      </c>
      <c r="DT8" s="21">
        <f>Defaults!DT8*Obligors!$G$8*Obligors!$H$8</f>
        <v/>
      </c>
      <c r="DU8" s="21">
        <f>Defaults!DU8*Obligors!$G$8*Obligors!$H$8</f>
        <v/>
      </c>
      <c r="DV8" s="21">
        <f>Defaults!DV8*Obligors!$G$8*Obligors!$H$8</f>
        <v/>
      </c>
      <c r="DW8" s="21">
        <f>Defaults!DW8*Obligors!$G$8*Obligors!$H$8</f>
        <v/>
      </c>
      <c r="DX8" s="21">
        <f>Defaults!DX8*Obligors!$G$8*Obligors!$H$8</f>
        <v/>
      </c>
      <c r="DY8" s="21">
        <f>Defaults!DY8*Obligors!$G$8*Obligors!$H$8</f>
        <v/>
      </c>
      <c r="DZ8" s="21">
        <f>Defaults!DZ8*Obligors!$G$8*Obligors!$H$8</f>
        <v/>
      </c>
      <c r="EA8" s="21">
        <f>Defaults!EA8*Obligors!$G$8*Obligors!$H$8</f>
        <v/>
      </c>
      <c r="EB8" s="21">
        <f>Defaults!EB8*Obligors!$G$8*Obligors!$H$8</f>
        <v/>
      </c>
      <c r="EC8" s="21">
        <f>Defaults!EC8*Obligors!$G$8*Obligors!$H$8</f>
        <v/>
      </c>
      <c r="ED8" s="21">
        <f>Defaults!ED8*Obligors!$G$8*Obligors!$H$8</f>
        <v/>
      </c>
      <c r="EE8" s="21">
        <f>Defaults!EE8*Obligors!$G$8*Obligors!$H$8</f>
        <v/>
      </c>
      <c r="EF8" s="21">
        <f>Defaults!EF8*Obligors!$G$8*Obligors!$H$8</f>
        <v/>
      </c>
      <c r="EG8" s="21">
        <f>Defaults!EG8*Obligors!$G$8*Obligors!$H$8</f>
        <v/>
      </c>
      <c r="EH8" s="21">
        <f>Defaults!EH8*Obligors!$G$8*Obligors!$H$8</f>
        <v/>
      </c>
      <c r="EI8" s="21">
        <f>Defaults!EI8*Obligors!$G$8*Obligors!$H$8</f>
        <v/>
      </c>
      <c r="EJ8" s="21">
        <f>Defaults!EJ8*Obligors!$G$8*Obligors!$H$8</f>
        <v/>
      </c>
      <c r="EK8" s="21">
        <f>Defaults!EK8*Obligors!$G$8*Obligors!$H$8</f>
        <v/>
      </c>
      <c r="EL8" s="21">
        <f>Defaults!EL8*Obligors!$G$8*Obligors!$H$8</f>
        <v/>
      </c>
      <c r="EM8" s="21">
        <f>Defaults!EM8*Obligors!$G$8*Obligors!$H$8</f>
        <v/>
      </c>
      <c r="EN8" s="21">
        <f>Defaults!EN8*Obligors!$G$8*Obligors!$H$8</f>
        <v/>
      </c>
      <c r="EO8" s="21">
        <f>Defaults!EO8*Obligors!$G$8*Obligors!$H$8</f>
        <v/>
      </c>
      <c r="EP8" s="21">
        <f>Defaults!EP8*Obligors!$G$8*Obligors!$H$8</f>
        <v/>
      </c>
      <c r="EQ8" s="21">
        <f>Defaults!EQ8*Obligors!$G$8*Obligors!$H$8</f>
        <v/>
      </c>
      <c r="ER8" s="21">
        <f>Defaults!ER8*Obligors!$G$8*Obligors!$H$8</f>
        <v/>
      </c>
      <c r="ES8" s="21">
        <f>Defaults!ES8*Obligors!$G$8*Obligors!$H$8</f>
        <v/>
      </c>
      <c r="ET8" s="21">
        <f>Defaults!ET8*Obligors!$G$8*Obligors!$H$8</f>
        <v/>
      </c>
      <c r="EU8" s="21">
        <f>Defaults!EU8*Obligors!$G$8*Obligors!$H$8</f>
        <v/>
      </c>
      <c r="EV8" s="21">
        <f>Defaults!EV8*Obligors!$G$8*Obligors!$H$8</f>
        <v/>
      </c>
      <c r="EW8" s="21">
        <f>Defaults!EW8*Obligors!$G$8*Obligors!$H$8</f>
        <v/>
      </c>
      <c r="EX8" s="21">
        <f>Defaults!EX8*Obligors!$G$8*Obligors!$H$8</f>
        <v/>
      </c>
      <c r="EY8" s="21">
        <f>Defaults!EY8*Obligors!$G$8*Obligors!$H$8</f>
        <v/>
      </c>
      <c r="EZ8" s="21">
        <f>Defaults!EZ8*Obligors!$G$8*Obligors!$H$8</f>
        <v/>
      </c>
      <c r="FA8" s="21">
        <f>Defaults!FA8*Obligors!$G$8*Obligors!$H$8</f>
        <v/>
      </c>
      <c r="FB8" s="21">
        <f>Defaults!FB8*Obligors!$G$8*Obligors!$H$8</f>
        <v/>
      </c>
      <c r="FC8" s="21">
        <f>Defaults!FC8*Obligors!$G$8*Obligors!$H$8</f>
        <v/>
      </c>
      <c r="FD8" s="21">
        <f>Defaults!FD8*Obligors!$G$8*Obligors!$H$8</f>
        <v/>
      </c>
      <c r="FE8" s="21">
        <f>Defaults!FE8*Obligors!$G$8*Obligors!$H$8</f>
        <v/>
      </c>
      <c r="FF8" s="21">
        <f>Defaults!FF8*Obligors!$G$8*Obligors!$H$8</f>
        <v/>
      </c>
      <c r="FG8" s="21">
        <f>Defaults!FG8*Obligors!$G$8*Obligors!$H$8</f>
        <v/>
      </c>
      <c r="FH8" s="21">
        <f>Defaults!FH8*Obligors!$G$8*Obligors!$H$8</f>
        <v/>
      </c>
      <c r="FI8" s="21">
        <f>Defaults!FI8*Obligors!$G$8*Obligors!$H$8</f>
        <v/>
      </c>
      <c r="FJ8" s="21">
        <f>Defaults!FJ8*Obligors!$G$8*Obligors!$H$8</f>
        <v/>
      </c>
      <c r="FK8" s="21">
        <f>Defaults!FK8*Obligors!$G$8*Obligors!$H$8</f>
        <v/>
      </c>
      <c r="FL8" s="21">
        <f>Defaults!FL8*Obligors!$G$8*Obligors!$H$8</f>
        <v/>
      </c>
      <c r="FM8" s="21">
        <f>Defaults!FM8*Obligors!$G$8*Obligors!$H$8</f>
        <v/>
      </c>
      <c r="FN8" s="21">
        <f>Defaults!FN8*Obligors!$G$8*Obligors!$H$8</f>
        <v/>
      </c>
      <c r="FO8" s="21">
        <f>Defaults!FO8*Obligors!$G$8*Obligors!$H$8</f>
        <v/>
      </c>
      <c r="FP8" s="21">
        <f>Defaults!FP8*Obligors!$G$8*Obligors!$H$8</f>
        <v/>
      </c>
      <c r="FQ8" s="21">
        <f>Defaults!FQ8*Obligors!$G$8*Obligors!$H$8</f>
        <v/>
      </c>
      <c r="FR8" s="21">
        <f>Defaults!FR8*Obligors!$G$8*Obligors!$H$8</f>
        <v/>
      </c>
      <c r="FS8" s="21">
        <f>Defaults!FS8*Obligors!$G$8*Obligors!$H$8</f>
        <v/>
      </c>
      <c r="FT8" s="21">
        <f>Defaults!FT8*Obligors!$G$8*Obligors!$H$8</f>
        <v/>
      </c>
      <c r="FU8" s="21">
        <f>Defaults!FU8*Obligors!$G$8*Obligors!$H$8</f>
        <v/>
      </c>
      <c r="FV8" s="21">
        <f>Defaults!FV8*Obligors!$G$8*Obligors!$H$8</f>
        <v/>
      </c>
      <c r="FW8" s="21">
        <f>Defaults!FW8*Obligors!$G$8*Obligors!$H$8</f>
        <v/>
      </c>
      <c r="FX8" s="21">
        <f>Defaults!FX8*Obligors!$G$8*Obligors!$H$8</f>
        <v/>
      </c>
      <c r="FY8" s="21">
        <f>Defaults!FY8*Obligors!$G$8*Obligors!$H$8</f>
        <v/>
      </c>
      <c r="FZ8" s="21">
        <f>Defaults!FZ8*Obligors!$G$8*Obligors!$H$8</f>
        <v/>
      </c>
      <c r="GA8" s="21">
        <f>Defaults!GA8*Obligors!$G$8*Obligors!$H$8</f>
        <v/>
      </c>
      <c r="GB8" s="21">
        <f>Defaults!GB8*Obligors!$G$8*Obligors!$H$8</f>
        <v/>
      </c>
      <c r="GC8" s="21">
        <f>Defaults!GC8*Obligors!$G$8*Obligors!$H$8</f>
        <v/>
      </c>
      <c r="GD8" s="21">
        <f>Defaults!GD8*Obligors!$G$8*Obligors!$H$8</f>
        <v/>
      </c>
      <c r="GE8" s="21">
        <f>Defaults!GE8*Obligors!$G$8*Obligors!$H$8</f>
        <v/>
      </c>
      <c r="GF8" s="21">
        <f>Defaults!GF8*Obligors!$G$8*Obligors!$H$8</f>
        <v/>
      </c>
      <c r="GG8" s="21">
        <f>Defaults!GG8*Obligors!$G$8*Obligors!$H$8</f>
        <v/>
      </c>
      <c r="GH8" s="21">
        <f>Defaults!GH8*Obligors!$G$8*Obligors!$H$8</f>
        <v/>
      </c>
      <c r="GI8" s="21">
        <f>Defaults!GI8*Obligors!$G$8*Obligors!$H$8</f>
        <v/>
      </c>
      <c r="GJ8" s="21">
        <f>Defaults!GJ8*Obligors!$G$8*Obligors!$H$8</f>
        <v/>
      </c>
      <c r="GK8" s="21">
        <f>Defaults!GK8*Obligors!$G$8*Obligors!$H$8</f>
        <v/>
      </c>
      <c r="GL8" s="21">
        <f>Defaults!GL8*Obligors!$G$8*Obligors!$H$8</f>
        <v/>
      </c>
      <c r="GM8" s="21">
        <f>Defaults!GM8*Obligors!$G$8*Obligors!$H$8</f>
        <v/>
      </c>
      <c r="GN8" s="21">
        <f>Defaults!GN8*Obligors!$G$8*Obligors!$H$8</f>
        <v/>
      </c>
      <c r="GO8" s="21">
        <f>Defaults!GO8*Obligors!$G$8*Obligors!$H$8</f>
        <v/>
      </c>
      <c r="GP8" s="21">
        <f>Defaults!GP8*Obligors!$G$8*Obligors!$H$8</f>
        <v/>
      </c>
      <c r="GQ8" s="21">
        <f>Defaults!GQ8*Obligors!$G$8*Obligors!$H$8</f>
        <v/>
      </c>
      <c r="GR8" s="21">
        <f>Defaults!GR8*Obligors!$G$8*Obligors!$H$8</f>
        <v/>
      </c>
      <c r="GS8" s="21">
        <f>Defaults!GS8*Obligors!$G$8*Obligors!$H$8</f>
        <v/>
      </c>
      <c r="GT8" s="21">
        <f>Defaults!GT8*Obligors!$G$8*Obligors!$H$8</f>
        <v/>
      </c>
      <c r="GU8" s="21">
        <f>Defaults!GU8*Obligors!$G$8*Obligors!$H$8</f>
        <v/>
      </c>
      <c r="GV8" s="21">
        <f>Defaults!GV8*Obligors!$G$8*Obligors!$H$8</f>
        <v/>
      </c>
      <c r="GW8" s="21">
        <f>Defaults!GW8*Obligors!$G$8*Obligors!$H$8</f>
        <v/>
      </c>
      <c r="GX8" s="21">
        <f>Defaults!GX8*Obligors!$G$8*Obligors!$H$8</f>
        <v/>
      </c>
      <c r="GY8" s="21">
        <f>Defaults!GY8*Obligors!$G$8*Obligors!$H$8</f>
        <v/>
      </c>
      <c r="GZ8" s="21">
        <f>Defaults!GZ8*Obligors!$G$8*Obligors!$H$8</f>
        <v/>
      </c>
      <c r="HA8" s="21">
        <f>Defaults!HA8*Obligors!$G$8*Obligors!$H$8</f>
        <v/>
      </c>
      <c r="HB8" s="21">
        <f>Defaults!HB8*Obligors!$G$8*Obligors!$H$8</f>
        <v/>
      </c>
      <c r="HC8" s="21">
        <f>Defaults!HC8*Obligors!$G$8*Obligors!$H$8</f>
        <v/>
      </c>
      <c r="HD8" s="21">
        <f>Defaults!HD8*Obligors!$G$8*Obligors!$H$8</f>
        <v/>
      </c>
      <c r="HE8" s="21">
        <f>Defaults!HE8*Obligors!$G$8*Obligors!$H$8</f>
        <v/>
      </c>
      <c r="HF8" s="21">
        <f>Defaults!HF8*Obligors!$G$8*Obligors!$H$8</f>
        <v/>
      </c>
      <c r="HG8" s="21">
        <f>Defaults!HG8*Obligors!$G$8*Obligors!$H$8</f>
        <v/>
      </c>
      <c r="HH8" s="21">
        <f>Defaults!HH8*Obligors!$G$8*Obligors!$H$8</f>
        <v/>
      </c>
      <c r="HI8" s="21">
        <f>Defaults!HI8*Obligors!$G$8*Obligors!$H$8</f>
        <v/>
      </c>
      <c r="HJ8" s="21">
        <f>Defaults!HJ8*Obligors!$G$8*Obligors!$H$8</f>
        <v/>
      </c>
      <c r="HK8" s="21">
        <f>Defaults!HK8*Obligors!$G$8*Obligors!$H$8</f>
        <v/>
      </c>
      <c r="HL8" s="21">
        <f>Defaults!HL8*Obligors!$G$8*Obligors!$H$8</f>
        <v/>
      </c>
      <c r="HM8" s="21">
        <f>Defaults!HM8*Obligors!$G$8*Obligors!$H$8</f>
        <v/>
      </c>
      <c r="HN8" s="21">
        <f>Defaults!HN8*Obligors!$G$8*Obligors!$H$8</f>
        <v/>
      </c>
      <c r="HO8" s="21">
        <f>Defaults!HO8*Obligors!$G$8*Obligors!$H$8</f>
        <v/>
      </c>
      <c r="HP8" s="21">
        <f>Defaults!HP8*Obligors!$G$8*Obligors!$H$8</f>
        <v/>
      </c>
      <c r="HQ8" s="21">
        <f>Defaults!HQ8*Obligors!$G$8*Obligors!$H$8</f>
        <v/>
      </c>
      <c r="HR8" s="21">
        <f>Defaults!HR8*Obligors!$G$8*Obligors!$H$8</f>
        <v/>
      </c>
      <c r="HS8" s="21">
        <f>Defaults!HS8*Obligors!$G$8*Obligors!$H$8</f>
        <v/>
      </c>
      <c r="HT8" s="21">
        <f>Defaults!HT8*Obligors!$G$8*Obligors!$H$8</f>
        <v/>
      </c>
      <c r="HU8" s="21">
        <f>Defaults!HU8*Obligors!$G$8*Obligors!$H$8</f>
        <v/>
      </c>
      <c r="HV8" s="21">
        <f>Defaults!HV8*Obligors!$G$8*Obligors!$H$8</f>
        <v/>
      </c>
      <c r="HW8" s="21">
        <f>Defaults!HW8*Obligors!$G$8*Obligors!$H$8</f>
        <v/>
      </c>
      <c r="HX8" s="21">
        <f>Defaults!HX8*Obligors!$G$8*Obligors!$H$8</f>
        <v/>
      </c>
      <c r="HY8" s="21">
        <f>Defaults!HY8*Obligors!$G$8*Obligors!$H$8</f>
        <v/>
      </c>
      <c r="HZ8" s="21">
        <f>Defaults!HZ8*Obligors!$G$8*Obligors!$H$8</f>
        <v/>
      </c>
      <c r="IA8" s="21">
        <f>Defaults!IA8*Obligors!$G$8*Obligors!$H$8</f>
        <v/>
      </c>
      <c r="IB8" s="21">
        <f>Defaults!IB8*Obligors!$G$8*Obligors!$H$8</f>
        <v/>
      </c>
      <c r="IC8" s="21">
        <f>Defaults!IC8*Obligors!$G$8*Obligors!$H$8</f>
        <v/>
      </c>
      <c r="ID8" s="21">
        <f>Defaults!ID8*Obligors!$G$8*Obligors!$H$8</f>
        <v/>
      </c>
      <c r="IE8" s="21">
        <f>Defaults!IE8*Obligors!$G$8*Obligors!$H$8</f>
        <v/>
      </c>
      <c r="IF8" s="21">
        <f>Defaults!IF8*Obligors!$G$8*Obligors!$H$8</f>
        <v/>
      </c>
      <c r="IG8" s="21">
        <f>Defaults!IG8*Obligors!$G$8*Obligors!$H$8</f>
        <v/>
      </c>
      <c r="IH8" s="21">
        <f>Defaults!IH8*Obligors!$G$8*Obligors!$H$8</f>
        <v/>
      </c>
      <c r="II8" s="21">
        <f>Defaults!II8*Obligors!$G$8*Obligors!$H$8</f>
        <v/>
      </c>
      <c r="IJ8" s="21">
        <f>Defaults!IJ8*Obligors!$G$8*Obligors!$H$8</f>
        <v/>
      </c>
      <c r="IK8" s="21">
        <f>Defaults!IK8*Obligors!$G$8*Obligors!$H$8</f>
        <v/>
      </c>
      <c r="IL8" s="21">
        <f>Defaults!IL8*Obligors!$G$8*Obligors!$H$8</f>
        <v/>
      </c>
      <c r="IM8" s="21">
        <f>Defaults!IM8*Obligors!$G$8*Obligors!$H$8</f>
        <v/>
      </c>
      <c r="IN8" s="21">
        <f>Defaults!IN8*Obligors!$G$8*Obligors!$H$8</f>
        <v/>
      </c>
      <c r="IO8" s="21">
        <f>Defaults!IO8*Obligors!$G$8*Obligors!$H$8</f>
        <v/>
      </c>
      <c r="IP8" s="21">
        <f>Defaults!IP8*Obligors!$G$8*Obligors!$H$8</f>
        <v/>
      </c>
      <c r="IQ8" s="21">
        <f>Defaults!IQ8*Obligors!$G$8*Obligors!$H$8</f>
        <v/>
      </c>
      <c r="IR8" s="21">
        <f>Defaults!IR8*Obligors!$G$8*Obligors!$H$8</f>
        <v/>
      </c>
      <c r="IS8" s="21">
        <f>Defaults!IS8*Obligors!$G$8*Obligors!$H$8</f>
        <v/>
      </c>
      <c r="IT8" s="21">
        <f>Defaults!IT8*Obligors!$G$8*Obligors!$H$8</f>
        <v/>
      </c>
      <c r="IU8" s="21">
        <f>Defaults!IU8*Obligors!$G$8*Obligors!$H$8</f>
        <v/>
      </c>
      <c r="IV8" s="21">
        <f>Defaults!IV8*Obligors!$G$8*Obligors!$H$8</f>
        <v/>
      </c>
      <c r="IW8" s="21">
        <f>Defaults!IW8*Obligors!$G$8*Obligors!$H$8</f>
        <v/>
      </c>
      <c r="IX8" s="21">
        <f>Defaults!IX8*Obligors!$G$8*Obligors!$H$8</f>
        <v/>
      </c>
      <c r="IY8" s="21">
        <f>Defaults!IY8*Obligors!$G$8*Obligors!$H$8</f>
        <v/>
      </c>
      <c r="IZ8" s="21">
        <f>Defaults!IZ8*Obligors!$G$8*Obligors!$H$8</f>
        <v/>
      </c>
      <c r="JA8" s="21">
        <f>Defaults!JA8*Obligors!$G$8*Obligors!$H$8</f>
        <v/>
      </c>
      <c r="JB8" s="21">
        <f>Defaults!JB8*Obligors!$G$8*Obligors!$H$8</f>
        <v/>
      </c>
      <c r="JC8" s="21">
        <f>Defaults!JC8*Obligors!$G$8*Obligors!$H$8</f>
        <v/>
      </c>
      <c r="JD8" s="21">
        <f>Defaults!JD8*Obligors!$G$8*Obligors!$H$8</f>
        <v/>
      </c>
      <c r="JE8" s="21">
        <f>Defaults!JE8*Obligors!$G$8*Obligors!$H$8</f>
        <v/>
      </c>
      <c r="JF8" s="21">
        <f>Defaults!JF8*Obligors!$G$8*Obligors!$H$8</f>
        <v/>
      </c>
      <c r="JG8" s="21">
        <f>Defaults!JG8*Obligors!$G$8*Obligors!$H$8</f>
        <v/>
      </c>
      <c r="JH8" s="21">
        <f>Defaults!JH8*Obligors!$G$8*Obligors!$H$8</f>
        <v/>
      </c>
      <c r="JI8" s="21">
        <f>Defaults!JI8*Obligors!$G$8*Obligors!$H$8</f>
        <v/>
      </c>
      <c r="JJ8" s="21">
        <f>Defaults!JJ8*Obligors!$G$8*Obligors!$H$8</f>
        <v/>
      </c>
      <c r="JK8" s="21">
        <f>Defaults!JK8*Obligors!$G$8*Obligors!$H$8</f>
        <v/>
      </c>
      <c r="JL8" s="21">
        <f>Defaults!JL8*Obligors!$G$8*Obligors!$H$8</f>
        <v/>
      </c>
      <c r="JM8" s="21">
        <f>Defaults!JM8*Obligors!$G$8*Obligors!$H$8</f>
        <v/>
      </c>
      <c r="JN8" s="21">
        <f>Defaults!JN8*Obligors!$G$8*Obligors!$H$8</f>
        <v/>
      </c>
      <c r="JO8" s="21">
        <f>Defaults!JO8*Obligors!$G$8*Obligors!$H$8</f>
        <v/>
      </c>
      <c r="JP8" s="21">
        <f>Defaults!JP8*Obligors!$G$8*Obligors!$H$8</f>
        <v/>
      </c>
      <c r="JQ8" s="21">
        <f>Defaults!JQ8*Obligors!$G$8*Obligors!$H$8</f>
        <v/>
      </c>
      <c r="JR8" s="21">
        <f>Defaults!JR8*Obligors!$G$8*Obligors!$H$8</f>
        <v/>
      </c>
      <c r="JS8" s="21">
        <f>Defaults!JS8*Obligors!$G$8*Obligors!$H$8</f>
        <v/>
      </c>
      <c r="JT8" s="21">
        <f>Defaults!JT8*Obligors!$G$8*Obligors!$H$8</f>
        <v/>
      </c>
      <c r="JU8" s="21">
        <f>Defaults!JU8*Obligors!$G$8*Obligors!$H$8</f>
        <v/>
      </c>
      <c r="JV8" s="21">
        <f>Defaults!JV8*Obligors!$G$8*Obligors!$H$8</f>
        <v/>
      </c>
      <c r="JW8" s="21">
        <f>Defaults!JW8*Obligors!$G$8*Obligors!$H$8</f>
        <v/>
      </c>
      <c r="JX8" s="21">
        <f>Defaults!JX8*Obligors!$G$8*Obligors!$H$8</f>
        <v/>
      </c>
      <c r="JY8" s="21">
        <f>Defaults!JY8*Obligors!$G$8*Obligors!$H$8</f>
        <v/>
      </c>
      <c r="JZ8" s="21">
        <f>Defaults!JZ8*Obligors!$G$8*Obligors!$H$8</f>
        <v/>
      </c>
      <c r="KA8" s="21">
        <f>Defaults!KA8*Obligors!$G$8*Obligors!$H$8</f>
        <v/>
      </c>
      <c r="KB8" s="21">
        <f>Defaults!KB8*Obligors!$G$8*Obligors!$H$8</f>
        <v/>
      </c>
      <c r="KC8" s="21">
        <f>Defaults!KC8*Obligors!$G$8*Obligors!$H$8</f>
        <v/>
      </c>
      <c r="KD8" s="21">
        <f>Defaults!KD8*Obligors!$G$8*Obligors!$H$8</f>
        <v/>
      </c>
      <c r="KE8" s="21">
        <f>Defaults!KE8*Obligors!$G$8*Obligors!$H$8</f>
        <v/>
      </c>
      <c r="KF8" s="21">
        <f>Defaults!KF8*Obligors!$G$8*Obligors!$H$8</f>
        <v/>
      </c>
      <c r="KG8" s="21">
        <f>Defaults!KG8*Obligors!$G$8*Obligors!$H$8</f>
        <v/>
      </c>
      <c r="KH8" s="21">
        <f>Defaults!KH8*Obligors!$G$8*Obligors!$H$8</f>
        <v/>
      </c>
      <c r="KI8" s="21">
        <f>Defaults!KI8*Obligors!$G$8*Obligors!$H$8</f>
        <v/>
      </c>
      <c r="KJ8" s="21">
        <f>Defaults!KJ8*Obligors!$G$8*Obligors!$H$8</f>
        <v/>
      </c>
      <c r="KK8" s="21">
        <f>Defaults!KK8*Obligors!$G$8*Obligors!$H$8</f>
        <v/>
      </c>
      <c r="KL8" s="21">
        <f>Defaults!KL8*Obligors!$G$8*Obligors!$H$8</f>
        <v/>
      </c>
      <c r="KM8" s="21">
        <f>Defaults!KM8*Obligors!$G$8*Obligors!$H$8</f>
        <v/>
      </c>
      <c r="KN8" s="21">
        <f>Defaults!KN8*Obligors!$G$8*Obligors!$H$8</f>
        <v/>
      </c>
      <c r="KO8" s="21">
        <f>Defaults!KO8*Obligors!$G$8*Obligors!$H$8</f>
        <v/>
      </c>
      <c r="KP8" s="21">
        <f>Defaults!KP8*Obligors!$G$8*Obligors!$H$8</f>
        <v/>
      </c>
      <c r="KQ8" s="21">
        <f>Defaults!KQ8*Obligors!$G$8*Obligors!$H$8</f>
        <v/>
      </c>
      <c r="KR8" s="21">
        <f>Defaults!KR8*Obligors!$G$8*Obligors!$H$8</f>
        <v/>
      </c>
      <c r="KS8" s="21">
        <f>Defaults!KS8*Obligors!$G$8*Obligors!$H$8</f>
        <v/>
      </c>
      <c r="KT8" s="21">
        <f>Defaults!KT8*Obligors!$G$8*Obligors!$H$8</f>
        <v/>
      </c>
      <c r="KU8" s="21">
        <f>Defaults!KU8*Obligors!$G$8*Obligors!$H$8</f>
        <v/>
      </c>
      <c r="KV8" s="21">
        <f>Defaults!KV8*Obligors!$G$8*Obligors!$H$8</f>
        <v/>
      </c>
      <c r="KW8" s="21">
        <f>Defaults!KW8*Obligors!$G$8*Obligors!$H$8</f>
        <v/>
      </c>
      <c r="KX8" s="21">
        <f>Defaults!KX8*Obligors!$G$8*Obligors!$H$8</f>
        <v/>
      </c>
      <c r="KY8" s="21">
        <f>Defaults!KY8*Obligors!$G$8*Obligors!$H$8</f>
        <v/>
      </c>
      <c r="KZ8" s="21">
        <f>Defaults!KZ8*Obligors!$G$8*Obligors!$H$8</f>
        <v/>
      </c>
      <c r="LA8" s="21">
        <f>Defaults!LA8*Obligors!$G$8*Obligors!$H$8</f>
        <v/>
      </c>
      <c r="LB8" s="21">
        <f>Defaults!LB8*Obligors!$G$8*Obligors!$H$8</f>
        <v/>
      </c>
      <c r="LC8" s="21">
        <f>Defaults!LC8*Obligors!$G$8*Obligors!$H$8</f>
        <v/>
      </c>
      <c r="LD8" s="21">
        <f>Defaults!LD8*Obligors!$G$8*Obligors!$H$8</f>
        <v/>
      </c>
      <c r="LE8" s="21">
        <f>Defaults!LE8*Obligors!$G$8*Obligors!$H$8</f>
        <v/>
      </c>
      <c r="LF8" s="21">
        <f>Defaults!LF8*Obligors!$G$8*Obligors!$H$8</f>
        <v/>
      </c>
      <c r="LG8" s="21">
        <f>Defaults!LG8*Obligors!$G$8*Obligors!$H$8</f>
        <v/>
      </c>
      <c r="LH8" s="21">
        <f>Defaults!LH8*Obligors!$G$8*Obligors!$H$8</f>
        <v/>
      </c>
      <c r="LI8" s="21">
        <f>Defaults!LI8*Obligors!$G$8*Obligors!$H$8</f>
        <v/>
      </c>
      <c r="LJ8" s="21">
        <f>Defaults!LJ8*Obligors!$G$8*Obligors!$H$8</f>
        <v/>
      </c>
      <c r="LK8" s="21">
        <f>Defaults!LK8*Obligors!$G$8*Obligors!$H$8</f>
        <v/>
      </c>
      <c r="LL8" s="21">
        <f>Defaults!LL8*Obligors!$G$8*Obligors!$H$8</f>
        <v/>
      </c>
      <c r="LM8" s="21">
        <f>Defaults!LM8*Obligors!$G$8*Obligors!$H$8</f>
        <v/>
      </c>
      <c r="LN8" s="21">
        <f>Defaults!LN8*Obligors!$G$8*Obligors!$H$8</f>
        <v/>
      </c>
      <c r="LO8" s="21">
        <f>Defaults!LO8*Obligors!$G$8*Obligors!$H$8</f>
        <v/>
      </c>
      <c r="LP8" s="21">
        <f>Defaults!LP8*Obligors!$G$8*Obligors!$H$8</f>
        <v/>
      </c>
      <c r="LQ8" s="21">
        <f>Defaults!LQ8*Obligors!$G$8*Obligors!$H$8</f>
        <v/>
      </c>
      <c r="LR8" s="21">
        <f>Defaults!LR8*Obligors!$G$8*Obligors!$H$8</f>
        <v/>
      </c>
      <c r="LS8" s="21">
        <f>Defaults!LS8*Obligors!$G$8*Obligors!$H$8</f>
        <v/>
      </c>
      <c r="LT8" s="21">
        <f>Defaults!LT8*Obligors!$G$8*Obligors!$H$8</f>
        <v/>
      </c>
      <c r="LU8" s="21">
        <f>Defaults!LU8*Obligors!$G$8*Obligors!$H$8</f>
        <v/>
      </c>
      <c r="LV8" s="21">
        <f>Defaults!LV8*Obligors!$G$8*Obligors!$H$8</f>
        <v/>
      </c>
      <c r="LW8" s="21">
        <f>Defaults!LW8*Obligors!$G$8*Obligors!$H$8</f>
        <v/>
      </c>
      <c r="LX8" s="21">
        <f>Defaults!LX8*Obligors!$G$8*Obligors!$H$8</f>
        <v/>
      </c>
      <c r="LY8" s="21">
        <f>Defaults!LY8*Obligors!$G$8*Obligors!$H$8</f>
        <v/>
      </c>
      <c r="LZ8" s="21">
        <f>Defaults!LZ8*Obligors!$G$8*Obligors!$H$8</f>
        <v/>
      </c>
      <c r="MA8" s="21">
        <f>Defaults!MA8*Obligors!$G$8*Obligors!$H$8</f>
        <v/>
      </c>
      <c r="MB8" s="21">
        <f>Defaults!MB8*Obligors!$G$8*Obligors!$H$8</f>
        <v/>
      </c>
      <c r="MC8" s="21">
        <f>Defaults!MC8*Obligors!$G$8*Obligors!$H$8</f>
        <v/>
      </c>
      <c r="MD8" s="21">
        <f>Defaults!MD8*Obligors!$G$8*Obligors!$H$8</f>
        <v/>
      </c>
      <c r="ME8" s="21">
        <f>Defaults!ME8*Obligors!$G$8*Obligors!$H$8</f>
        <v/>
      </c>
      <c r="MF8" s="21">
        <f>Defaults!MF8*Obligors!$G$8*Obligors!$H$8</f>
        <v/>
      </c>
      <c r="MG8" s="21">
        <f>Defaults!MG8*Obligors!$G$8*Obligors!$H$8</f>
        <v/>
      </c>
      <c r="MH8" s="21">
        <f>Defaults!MH8*Obligors!$G$8*Obligors!$H$8</f>
        <v/>
      </c>
      <c r="MI8" s="21">
        <f>Defaults!MI8*Obligors!$G$8*Obligors!$H$8</f>
        <v/>
      </c>
      <c r="MJ8" s="21">
        <f>Defaults!MJ8*Obligors!$G$8*Obligors!$H$8</f>
        <v/>
      </c>
      <c r="MK8" s="21">
        <f>Defaults!MK8*Obligors!$G$8*Obligors!$H$8</f>
        <v/>
      </c>
      <c r="ML8" s="21">
        <f>Defaults!ML8*Obligors!$G$8*Obligors!$H$8</f>
        <v/>
      </c>
      <c r="MM8" s="21">
        <f>Defaults!MM8*Obligors!$G$8*Obligors!$H$8</f>
        <v/>
      </c>
      <c r="MN8" s="21">
        <f>Defaults!MN8*Obligors!$G$8*Obligors!$H$8</f>
        <v/>
      </c>
      <c r="MO8" s="21">
        <f>Defaults!MO8*Obligors!$G$8*Obligors!$H$8</f>
        <v/>
      </c>
      <c r="MP8" s="21">
        <f>Defaults!MP8*Obligors!$G$8*Obligors!$H$8</f>
        <v/>
      </c>
      <c r="MQ8" s="21">
        <f>Defaults!MQ8*Obligors!$G$8*Obligors!$H$8</f>
        <v/>
      </c>
      <c r="MR8" s="21">
        <f>Defaults!MR8*Obligors!$G$8*Obligors!$H$8</f>
        <v/>
      </c>
      <c r="MS8" s="21">
        <f>Defaults!MS8*Obligors!$G$8*Obligors!$H$8</f>
        <v/>
      </c>
      <c r="MT8" s="21">
        <f>Defaults!MT8*Obligors!$G$8*Obligors!$H$8</f>
        <v/>
      </c>
      <c r="MU8" s="21">
        <f>Defaults!MU8*Obligors!$G$8*Obligors!$H$8</f>
        <v/>
      </c>
      <c r="MV8" s="21">
        <f>Defaults!MV8*Obligors!$G$8*Obligors!$H$8</f>
        <v/>
      </c>
      <c r="MW8" s="21">
        <f>Defaults!MW8*Obligors!$G$8*Obligors!$H$8</f>
        <v/>
      </c>
      <c r="MX8" s="21">
        <f>Defaults!MX8*Obligors!$G$8*Obligors!$H$8</f>
        <v/>
      </c>
      <c r="MY8" s="21">
        <f>Defaults!MY8*Obligors!$G$8*Obligors!$H$8</f>
        <v/>
      </c>
      <c r="MZ8" s="21">
        <f>Defaults!MZ8*Obligors!$G$8*Obligors!$H$8</f>
        <v/>
      </c>
      <c r="NA8" s="21">
        <f>Defaults!NA8*Obligors!$G$8*Obligors!$H$8</f>
        <v/>
      </c>
      <c r="NB8" s="21">
        <f>Defaults!NB8*Obligors!$G$8*Obligors!$H$8</f>
        <v/>
      </c>
      <c r="NC8" s="21">
        <f>Defaults!NC8*Obligors!$G$8*Obligors!$H$8</f>
        <v/>
      </c>
      <c r="ND8" s="21">
        <f>Defaults!ND8*Obligors!$G$8*Obligors!$H$8</f>
        <v/>
      </c>
      <c r="NE8" s="21">
        <f>Defaults!NE8*Obligors!$G$8*Obligors!$H$8</f>
        <v/>
      </c>
      <c r="NF8" s="21">
        <f>Defaults!NF8*Obligors!$G$8*Obligors!$H$8</f>
        <v/>
      </c>
      <c r="NG8" s="21">
        <f>Defaults!NG8*Obligors!$G$8*Obligors!$H$8</f>
        <v/>
      </c>
      <c r="NH8" s="21">
        <f>Defaults!NH8*Obligors!$G$8*Obligors!$H$8</f>
        <v/>
      </c>
      <c r="NI8" s="21">
        <f>Defaults!NI8*Obligors!$G$8*Obligors!$H$8</f>
        <v/>
      </c>
      <c r="NJ8" s="21">
        <f>Defaults!NJ8*Obligors!$G$8*Obligors!$H$8</f>
        <v/>
      </c>
      <c r="NK8" s="21">
        <f>Defaults!NK8*Obligors!$G$8*Obligors!$H$8</f>
        <v/>
      </c>
      <c r="NL8" s="21">
        <f>Defaults!NL8*Obligors!$G$8*Obligors!$H$8</f>
        <v/>
      </c>
      <c r="NM8" s="21">
        <f>Defaults!NM8*Obligors!$G$8*Obligors!$H$8</f>
        <v/>
      </c>
      <c r="NN8" s="21">
        <f>Defaults!NN8*Obligors!$G$8*Obligors!$H$8</f>
        <v/>
      </c>
      <c r="NO8" s="21">
        <f>Defaults!NO8*Obligors!$G$8*Obligors!$H$8</f>
        <v/>
      </c>
      <c r="NP8" s="21">
        <f>Defaults!NP8*Obligors!$G$8*Obligors!$H$8</f>
        <v/>
      </c>
      <c r="NQ8" s="21">
        <f>Defaults!NQ8*Obligors!$G$8*Obligors!$H$8</f>
        <v/>
      </c>
      <c r="NR8" s="21">
        <f>Defaults!NR8*Obligors!$G$8*Obligors!$H$8</f>
        <v/>
      </c>
      <c r="NS8" s="21">
        <f>Defaults!NS8*Obligors!$G$8*Obligors!$H$8</f>
        <v/>
      </c>
      <c r="NT8" s="21">
        <f>Defaults!NT8*Obligors!$G$8*Obligors!$H$8</f>
        <v/>
      </c>
      <c r="NU8" s="21">
        <f>Defaults!NU8*Obligors!$G$8*Obligors!$H$8</f>
        <v/>
      </c>
      <c r="NV8" s="21">
        <f>Defaults!NV8*Obligors!$G$8*Obligors!$H$8</f>
        <v/>
      </c>
      <c r="NW8" s="21">
        <f>Defaults!NW8*Obligors!$G$8*Obligors!$H$8</f>
        <v/>
      </c>
      <c r="NX8" s="21">
        <f>Defaults!NX8*Obligors!$G$8*Obligors!$H$8</f>
        <v/>
      </c>
      <c r="NY8" s="21">
        <f>Defaults!NY8*Obligors!$G$8*Obligors!$H$8</f>
        <v/>
      </c>
      <c r="NZ8" s="21">
        <f>Defaults!NZ8*Obligors!$G$8*Obligors!$H$8</f>
        <v/>
      </c>
      <c r="OA8" s="21">
        <f>Defaults!OA8*Obligors!$G$8*Obligors!$H$8</f>
        <v/>
      </c>
      <c r="OB8" s="21">
        <f>Defaults!OB8*Obligors!$G$8*Obligors!$H$8</f>
        <v/>
      </c>
      <c r="OC8" s="21">
        <f>Defaults!OC8*Obligors!$G$8*Obligors!$H$8</f>
        <v/>
      </c>
      <c r="OD8" s="21">
        <f>Defaults!OD8*Obligors!$G$8*Obligors!$H$8</f>
        <v/>
      </c>
      <c r="OE8" s="21">
        <f>Defaults!OE8*Obligors!$G$8*Obligors!$H$8</f>
        <v/>
      </c>
      <c r="OF8" s="21">
        <f>Defaults!OF8*Obligors!$G$8*Obligors!$H$8</f>
        <v/>
      </c>
      <c r="OG8" s="21">
        <f>Defaults!OG8*Obligors!$G$8*Obligors!$H$8</f>
        <v/>
      </c>
      <c r="OH8" s="21">
        <f>Defaults!OH8*Obligors!$G$8*Obligors!$H$8</f>
        <v/>
      </c>
      <c r="OI8" s="21">
        <f>Defaults!OI8*Obligors!$G$8*Obligors!$H$8</f>
        <v/>
      </c>
      <c r="OJ8" s="21">
        <f>Defaults!OJ8*Obligors!$G$8*Obligors!$H$8</f>
        <v/>
      </c>
      <c r="OK8" s="21">
        <f>Defaults!OK8*Obligors!$G$8*Obligors!$H$8</f>
        <v/>
      </c>
      <c r="OL8" s="21">
        <f>Defaults!OL8*Obligors!$G$8*Obligors!$H$8</f>
        <v/>
      </c>
      <c r="OM8" s="21">
        <f>Defaults!OM8*Obligors!$G$8*Obligors!$H$8</f>
        <v/>
      </c>
      <c r="ON8" s="21">
        <f>Defaults!ON8*Obligors!$G$8*Obligors!$H$8</f>
        <v/>
      </c>
      <c r="OO8" s="21">
        <f>Defaults!OO8*Obligors!$G$8*Obligors!$H$8</f>
        <v/>
      </c>
      <c r="OP8" s="21">
        <f>Defaults!OP8*Obligors!$G$8*Obligors!$H$8</f>
        <v/>
      </c>
      <c r="OQ8" s="21">
        <f>Defaults!OQ8*Obligors!$G$8*Obligors!$H$8</f>
        <v/>
      </c>
      <c r="OR8" s="21">
        <f>Defaults!OR8*Obligors!$G$8*Obligors!$H$8</f>
        <v/>
      </c>
      <c r="OS8" s="21">
        <f>Defaults!OS8*Obligors!$G$8*Obligors!$H$8</f>
        <v/>
      </c>
      <c r="OT8" s="21">
        <f>Defaults!OT8*Obligors!$G$8*Obligors!$H$8</f>
        <v/>
      </c>
      <c r="OU8" s="21">
        <f>Defaults!OU8*Obligors!$G$8*Obligors!$H$8</f>
        <v/>
      </c>
      <c r="OV8" s="21">
        <f>Defaults!OV8*Obligors!$G$8*Obligors!$H$8</f>
        <v/>
      </c>
      <c r="OW8" s="21">
        <f>Defaults!OW8*Obligors!$G$8*Obligors!$H$8</f>
        <v/>
      </c>
      <c r="OX8" s="21">
        <f>Defaults!OX8*Obligors!$G$8*Obligors!$H$8</f>
        <v/>
      </c>
      <c r="OY8" s="21">
        <f>Defaults!OY8*Obligors!$G$8*Obligors!$H$8</f>
        <v/>
      </c>
      <c r="OZ8" s="21">
        <f>Defaults!OZ8*Obligors!$G$8*Obligors!$H$8</f>
        <v/>
      </c>
      <c r="PA8" s="21">
        <f>Defaults!PA8*Obligors!$G$8*Obligors!$H$8</f>
        <v/>
      </c>
      <c r="PB8" s="21">
        <f>Defaults!PB8*Obligors!$G$8*Obligors!$H$8</f>
        <v/>
      </c>
      <c r="PC8" s="21">
        <f>Defaults!PC8*Obligors!$G$8*Obligors!$H$8</f>
        <v/>
      </c>
      <c r="PD8" s="21">
        <f>Defaults!PD8*Obligors!$G$8*Obligors!$H$8</f>
        <v/>
      </c>
      <c r="PE8" s="21">
        <f>Defaults!PE8*Obligors!$G$8*Obligors!$H$8</f>
        <v/>
      </c>
      <c r="PF8" s="21">
        <f>Defaults!PF8*Obligors!$G$8*Obligors!$H$8</f>
        <v/>
      </c>
      <c r="PG8" s="21">
        <f>Defaults!PG8*Obligors!$G$8*Obligors!$H$8</f>
        <v/>
      </c>
      <c r="PH8" s="21">
        <f>Defaults!PH8*Obligors!$G$8*Obligors!$H$8</f>
        <v/>
      </c>
      <c r="PI8" s="21">
        <f>Defaults!PI8*Obligors!$G$8*Obligors!$H$8</f>
        <v/>
      </c>
      <c r="PJ8" s="21">
        <f>Defaults!PJ8*Obligors!$G$8*Obligors!$H$8</f>
        <v/>
      </c>
      <c r="PK8" s="21">
        <f>Defaults!PK8*Obligors!$G$8*Obligors!$H$8</f>
        <v/>
      </c>
      <c r="PL8" s="21">
        <f>Defaults!PL8*Obligors!$G$8*Obligors!$H$8</f>
        <v/>
      </c>
      <c r="PM8" s="21">
        <f>Defaults!PM8*Obligors!$G$8*Obligors!$H$8</f>
        <v/>
      </c>
      <c r="PN8" s="21">
        <f>Defaults!PN8*Obligors!$G$8*Obligors!$H$8</f>
        <v/>
      </c>
      <c r="PO8" s="21">
        <f>Defaults!PO8*Obligors!$G$8*Obligors!$H$8</f>
        <v/>
      </c>
      <c r="PP8" s="21">
        <f>Defaults!PP8*Obligors!$G$8*Obligors!$H$8</f>
        <v/>
      </c>
      <c r="PQ8" s="21">
        <f>Defaults!PQ8*Obligors!$G$8*Obligors!$H$8</f>
        <v/>
      </c>
      <c r="PR8" s="21">
        <f>Defaults!PR8*Obligors!$G$8*Obligors!$H$8</f>
        <v/>
      </c>
      <c r="PS8" s="21">
        <f>Defaults!PS8*Obligors!$G$8*Obligors!$H$8</f>
        <v/>
      </c>
      <c r="PT8" s="21">
        <f>Defaults!PT8*Obligors!$G$8*Obligors!$H$8</f>
        <v/>
      </c>
      <c r="PU8" s="21">
        <f>Defaults!PU8*Obligors!$G$8*Obligors!$H$8</f>
        <v/>
      </c>
      <c r="PV8" s="21">
        <f>Defaults!PV8*Obligors!$G$8*Obligors!$H$8</f>
        <v/>
      </c>
      <c r="PW8" s="21">
        <f>Defaults!PW8*Obligors!$G$8*Obligors!$H$8</f>
        <v/>
      </c>
      <c r="PX8" s="21">
        <f>Defaults!PX8*Obligors!$G$8*Obligors!$H$8</f>
        <v/>
      </c>
      <c r="PY8" s="21">
        <f>Defaults!PY8*Obligors!$G$8*Obligors!$H$8</f>
        <v/>
      </c>
      <c r="PZ8" s="21">
        <f>Defaults!PZ8*Obligors!$G$8*Obligors!$H$8</f>
        <v/>
      </c>
      <c r="QA8" s="21">
        <f>Defaults!QA8*Obligors!$G$8*Obligors!$H$8</f>
        <v/>
      </c>
      <c r="QB8" s="21">
        <f>Defaults!QB8*Obligors!$G$8*Obligors!$H$8</f>
        <v/>
      </c>
      <c r="QC8" s="21">
        <f>Defaults!QC8*Obligors!$G$8*Obligors!$H$8</f>
        <v/>
      </c>
      <c r="QD8" s="21">
        <f>Defaults!QD8*Obligors!$G$8*Obligors!$H$8</f>
        <v/>
      </c>
      <c r="QE8" s="21">
        <f>Defaults!QE8*Obligors!$G$8*Obligors!$H$8</f>
        <v/>
      </c>
      <c r="QF8" s="21">
        <f>Defaults!QF8*Obligors!$G$8*Obligors!$H$8</f>
        <v/>
      </c>
      <c r="QG8" s="21">
        <f>Defaults!QG8*Obligors!$G$8*Obligors!$H$8</f>
        <v/>
      </c>
      <c r="QH8" s="21">
        <f>Defaults!QH8*Obligors!$G$8*Obligors!$H$8</f>
        <v/>
      </c>
      <c r="QI8" s="21">
        <f>Defaults!QI8*Obligors!$G$8*Obligors!$H$8</f>
        <v/>
      </c>
      <c r="QJ8" s="21">
        <f>Defaults!QJ8*Obligors!$G$8*Obligors!$H$8</f>
        <v/>
      </c>
      <c r="QK8" s="21">
        <f>Defaults!QK8*Obligors!$G$8*Obligors!$H$8</f>
        <v/>
      </c>
      <c r="QL8" s="21">
        <f>Defaults!QL8*Obligors!$G$8*Obligors!$H$8</f>
        <v/>
      </c>
      <c r="QM8" s="21">
        <f>Defaults!QM8*Obligors!$G$8*Obligors!$H$8</f>
        <v/>
      </c>
      <c r="QN8" s="21">
        <f>Defaults!QN8*Obligors!$G$8*Obligors!$H$8</f>
        <v/>
      </c>
      <c r="QO8" s="21">
        <f>Defaults!QO8*Obligors!$G$8*Obligors!$H$8</f>
        <v/>
      </c>
      <c r="QP8" s="21">
        <f>Defaults!QP8*Obligors!$G$8*Obligors!$H$8</f>
        <v/>
      </c>
      <c r="QQ8" s="21">
        <f>Defaults!QQ8*Obligors!$G$8*Obligors!$H$8</f>
        <v/>
      </c>
      <c r="QR8" s="21">
        <f>Defaults!QR8*Obligors!$G$8*Obligors!$H$8</f>
        <v/>
      </c>
      <c r="QS8" s="21">
        <f>Defaults!QS8*Obligors!$G$8*Obligors!$H$8</f>
        <v/>
      </c>
      <c r="QT8" s="21">
        <f>Defaults!QT8*Obligors!$G$8*Obligors!$H$8</f>
        <v/>
      </c>
      <c r="QU8" s="21">
        <f>Defaults!QU8*Obligors!$G$8*Obligors!$H$8</f>
        <v/>
      </c>
      <c r="QV8" s="21">
        <f>Defaults!QV8*Obligors!$G$8*Obligors!$H$8</f>
        <v/>
      </c>
      <c r="QW8" s="21">
        <f>Defaults!QW8*Obligors!$G$8*Obligors!$H$8</f>
        <v/>
      </c>
      <c r="QX8" s="21">
        <f>Defaults!QX8*Obligors!$G$8*Obligors!$H$8</f>
        <v/>
      </c>
      <c r="QY8" s="21">
        <f>Defaults!QY8*Obligors!$G$8*Obligors!$H$8</f>
        <v/>
      </c>
      <c r="QZ8" s="21">
        <f>Defaults!QZ8*Obligors!$G$8*Obligors!$H$8</f>
        <v/>
      </c>
      <c r="RA8" s="21">
        <f>Defaults!RA8*Obligors!$G$8*Obligors!$H$8</f>
        <v/>
      </c>
      <c r="RB8" s="21">
        <f>Defaults!RB8*Obligors!$G$8*Obligors!$H$8</f>
        <v/>
      </c>
      <c r="RC8" s="21">
        <f>Defaults!RC8*Obligors!$G$8*Obligors!$H$8</f>
        <v/>
      </c>
      <c r="RD8" s="21">
        <f>Defaults!RD8*Obligors!$G$8*Obligors!$H$8</f>
        <v/>
      </c>
      <c r="RE8" s="21">
        <f>Defaults!RE8*Obligors!$G$8*Obligors!$H$8</f>
        <v/>
      </c>
      <c r="RF8" s="21">
        <f>Defaults!RF8*Obligors!$G$8*Obligors!$H$8</f>
        <v/>
      </c>
      <c r="RG8" s="21">
        <f>Defaults!RG8*Obligors!$G$8*Obligors!$H$8</f>
        <v/>
      </c>
      <c r="RH8" s="21">
        <f>Defaults!RH8*Obligors!$G$8*Obligors!$H$8</f>
        <v/>
      </c>
      <c r="RI8" s="21">
        <f>Defaults!RI8*Obligors!$G$8*Obligors!$H$8</f>
        <v/>
      </c>
      <c r="RJ8" s="21">
        <f>Defaults!RJ8*Obligors!$G$8*Obligors!$H$8</f>
        <v/>
      </c>
      <c r="RK8" s="21">
        <f>Defaults!RK8*Obligors!$G$8*Obligors!$H$8</f>
        <v/>
      </c>
      <c r="RL8" s="21">
        <f>Defaults!RL8*Obligors!$G$8*Obligors!$H$8</f>
        <v/>
      </c>
      <c r="RM8" s="21">
        <f>Defaults!RM8*Obligors!$G$8*Obligors!$H$8</f>
        <v/>
      </c>
      <c r="RN8" s="21">
        <f>Defaults!RN8*Obligors!$G$8*Obligors!$H$8</f>
        <v/>
      </c>
      <c r="RO8" s="21">
        <f>Defaults!RO8*Obligors!$G$8*Obligors!$H$8</f>
        <v/>
      </c>
      <c r="RP8" s="21">
        <f>Defaults!RP8*Obligors!$G$8*Obligors!$H$8</f>
        <v/>
      </c>
      <c r="RQ8" s="21">
        <f>Defaults!RQ8*Obligors!$G$8*Obligors!$H$8</f>
        <v/>
      </c>
      <c r="RR8" s="21">
        <f>Defaults!RR8*Obligors!$G$8*Obligors!$H$8</f>
        <v/>
      </c>
      <c r="RS8" s="21">
        <f>Defaults!RS8*Obligors!$G$8*Obligors!$H$8</f>
        <v/>
      </c>
      <c r="RT8" s="21">
        <f>Defaults!RT8*Obligors!$G$8*Obligors!$H$8</f>
        <v/>
      </c>
      <c r="RU8" s="21">
        <f>Defaults!RU8*Obligors!$G$8*Obligors!$H$8</f>
        <v/>
      </c>
      <c r="RV8" s="21">
        <f>Defaults!RV8*Obligors!$G$8*Obligors!$H$8</f>
        <v/>
      </c>
      <c r="RW8" s="21">
        <f>Defaults!RW8*Obligors!$G$8*Obligors!$H$8</f>
        <v/>
      </c>
      <c r="RX8" s="21">
        <f>Defaults!RX8*Obligors!$G$8*Obligors!$H$8</f>
        <v/>
      </c>
      <c r="RY8" s="21">
        <f>Defaults!RY8*Obligors!$G$8*Obligors!$H$8</f>
        <v/>
      </c>
      <c r="RZ8" s="21">
        <f>Defaults!RZ8*Obligors!$G$8*Obligors!$H$8</f>
        <v/>
      </c>
      <c r="SA8" s="21">
        <f>Defaults!SA8*Obligors!$G$8*Obligors!$H$8</f>
        <v/>
      </c>
      <c r="SB8" s="21">
        <f>Defaults!SB8*Obligors!$G$8*Obligors!$H$8</f>
        <v/>
      </c>
      <c r="SC8" s="21">
        <f>Defaults!SC8*Obligors!$G$8*Obligors!$H$8</f>
        <v/>
      </c>
      <c r="SD8" s="21">
        <f>Defaults!SD8*Obligors!$G$8*Obligors!$H$8</f>
        <v/>
      </c>
      <c r="SE8" s="21">
        <f>Defaults!SE8*Obligors!$G$8*Obligors!$H$8</f>
        <v/>
      </c>
      <c r="SF8" s="21">
        <f>Defaults!SF8*Obligors!$G$8*Obligors!$H$8</f>
        <v/>
      </c>
      <c r="SG8" s="21">
        <f>Defaults!SG8*Obligors!$G$8*Obligors!$H$8</f>
        <v/>
      </c>
    </row>
    <row r="9">
      <c r="A9" s="17" t="inlineStr">
        <is>
          <t>OBL-008</t>
        </is>
      </c>
      <c r="B9" s="21">
        <f>Defaults!B9*Obligors!$G$9*Obligors!$H$9</f>
        <v/>
      </c>
      <c r="C9" s="21">
        <f>Defaults!C9*Obligors!$G$9*Obligors!$H$9</f>
        <v/>
      </c>
      <c r="D9" s="21">
        <f>Defaults!D9*Obligors!$G$9*Obligors!$H$9</f>
        <v/>
      </c>
      <c r="E9" s="21">
        <f>Defaults!E9*Obligors!$G$9*Obligors!$H$9</f>
        <v/>
      </c>
      <c r="F9" s="21">
        <f>Defaults!F9*Obligors!$G$9*Obligors!$H$9</f>
        <v/>
      </c>
      <c r="G9" s="21">
        <f>Defaults!G9*Obligors!$G$9*Obligors!$H$9</f>
        <v/>
      </c>
      <c r="H9" s="21">
        <f>Defaults!H9*Obligors!$G$9*Obligors!$H$9</f>
        <v/>
      </c>
      <c r="I9" s="21">
        <f>Defaults!I9*Obligors!$G$9*Obligors!$H$9</f>
        <v/>
      </c>
      <c r="J9" s="21">
        <f>Defaults!J9*Obligors!$G$9*Obligors!$H$9</f>
        <v/>
      </c>
      <c r="K9" s="21">
        <f>Defaults!K9*Obligors!$G$9*Obligors!$H$9</f>
        <v/>
      </c>
      <c r="L9" s="21">
        <f>Defaults!L9*Obligors!$G$9*Obligors!$H$9</f>
        <v/>
      </c>
      <c r="M9" s="21">
        <f>Defaults!M9*Obligors!$G$9*Obligors!$H$9</f>
        <v/>
      </c>
      <c r="N9" s="21">
        <f>Defaults!N9*Obligors!$G$9*Obligors!$H$9</f>
        <v/>
      </c>
      <c r="O9" s="21">
        <f>Defaults!O9*Obligors!$G$9*Obligors!$H$9</f>
        <v/>
      </c>
      <c r="P9" s="21">
        <f>Defaults!P9*Obligors!$G$9*Obligors!$H$9</f>
        <v/>
      </c>
      <c r="Q9" s="21">
        <f>Defaults!Q9*Obligors!$G$9*Obligors!$H$9</f>
        <v/>
      </c>
      <c r="R9" s="21">
        <f>Defaults!R9*Obligors!$G$9*Obligors!$H$9</f>
        <v/>
      </c>
      <c r="S9" s="21">
        <f>Defaults!S9*Obligors!$G$9*Obligors!$H$9</f>
        <v/>
      </c>
      <c r="T9" s="21">
        <f>Defaults!T9*Obligors!$G$9*Obligors!$H$9</f>
        <v/>
      </c>
      <c r="U9" s="21">
        <f>Defaults!U9*Obligors!$G$9*Obligors!$H$9</f>
        <v/>
      </c>
      <c r="V9" s="21">
        <f>Defaults!V9*Obligors!$G$9*Obligors!$H$9</f>
        <v/>
      </c>
      <c r="W9" s="21">
        <f>Defaults!W9*Obligors!$G$9*Obligors!$H$9</f>
        <v/>
      </c>
      <c r="X9" s="21">
        <f>Defaults!X9*Obligors!$G$9*Obligors!$H$9</f>
        <v/>
      </c>
      <c r="Y9" s="21">
        <f>Defaults!Y9*Obligors!$G$9*Obligors!$H$9</f>
        <v/>
      </c>
      <c r="Z9" s="21">
        <f>Defaults!Z9*Obligors!$G$9*Obligors!$H$9</f>
        <v/>
      </c>
      <c r="AA9" s="21">
        <f>Defaults!AA9*Obligors!$G$9*Obligors!$H$9</f>
        <v/>
      </c>
      <c r="AB9" s="21">
        <f>Defaults!AB9*Obligors!$G$9*Obligors!$H$9</f>
        <v/>
      </c>
      <c r="AC9" s="21">
        <f>Defaults!AC9*Obligors!$G$9*Obligors!$H$9</f>
        <v/>
      </c>
      <c r="AD9" s="21">
        <f>Defaults!AD9*Obligors!$G$9*Obligors!$H$9</f>
        <v/>
      </c>
      <c r="AE9" s="21">
        <f>Defaults!AE9*Obligors!$G$9*Obligors!$H$9</f>
        <v/>
      </c>
      <c r="AF9" s="21">
        <f>Defaults!AF9*Obligors!$G$9*Obligors!$H$9</f>
        <v/>
      </c>
      <c r="AG9" s="21">
        <f>Defaults!AG9*Obligors!$G$9*Obligors!$H$9</f>
        <v/>
      </c>
      <c r="AH9" s="21">
        <f>Defaults!AH9*Obligors!$G$9*Obligors!$H$9</f>
        <v/>
      </c>
      <c r="AI9" s="21">
        <f>Defaults!AI9*Obligors!$G$9*Obligors!$H$9</f>
        <v/>
      </c>
      <c r="AJ9" s="21">
        <f>Defaults!AJ9*Obligors!$G$9*Obligors!$H$9</f>
        <v/>
      </c>
      <c r="AK9" s="21">
        <f>Defaults!AK9*Obligors!$G$9*Obligors!$H$9</f>
        <v/>
      </c>
      <c r="AL9" s="21">
        <f>Defaults!AL9*Obligors!$G$9*Obligors!$H$9</f>
        <v/>
      </c>
      <c r="AM9" s="21">
        <f>Defaults!AM9*Obligors!$G$9*Obligors!$H$9</f>
        <v/>
      </c>
      <c r="AN9" s="21">
        <f>Defaults!AN9*Obligors!$G$9*Obligors!$H$9</f>
        <v/>
      </c>
      <c r="AO9" s="21">
        <f>Defaults!AO9*Obligors!$G$9*Obligors!$H$9</f>
        <v/>
      </c>
      <c r="AP9" s="21">
        <f>Defaults!AP9*Obligors!$G$9*Obligors!$H$9</f>
        <v/>
      </c>
      <c r="AQ9" s="21">
        <f>Defaults!AQ9*Obligors!$G$9*Obligors!$H$9</f>
        <v/>
      </c>
      <c r="AR9" s="21">
        <f>Defaults!AR9*Obligors!$G$9*Obligors!$H$9</f>
        <v/>
      </c>
      <c r="AS9" s="21">
        <f>Defaults!AS9*Obligors!$G$9*Obligors!$H$9</f>
        <v/>
      </c>
      <c r="AT9" s="21">
        <f>Defaults!AT9*Obligors!$G$9*Obligors!$H$9</f>
        <v/>
      </c>
      <c r="AU9" s="21">
        <f>Defaults!AU9*Obligors!$G$9*Obligors!$H$9</f>
        <v/>
      </c>
      <c r="AV9" s="21">
        <f>Defaults!AV9*Obligors!$G$9*Obligors!$H$9</f>
        <v/>
      </c>
      <c r="AW9" s="21">
        <f>Defaults!AW9*Obligors!$G$9*Obligors!$H$9</f>
        <v/>
      </c>
      <c r="AX9" s="21">
        <f>Defaults!AX9*Obligors!$G$9*Obligors!$H$9</f>
        <v/>
      </c>
      <c r="AY9" s="21">
        <f>Defaults!AY9*Obligors!$G$9*Obligors!$H$9</f>
        <v/>
      </c>
      <c r="AZ9" s="21">
        <f>Defaults!AZ9*Obligors!$G$9*Obligors!$H$9</f>
        <v/>
      </c>
      <c r="BA9" s="21">
        <f>Defaults!BA9*Obligors!$G$9*Obligors!$H$9</f>
        <v/>
      </c>
      <c r="BB9" s="21">
        <f>Defaults!BB9*Obligors!$G$9*Obligors!$H$9</f>
        <v/>
      </c>
      <c r="BC9" s="21">
        <f>Defaults!BC9*Obligors!$G$9*Obligors!$H$9</f>
        <v/>
      </c>
      <c r="BD9" s="21">
        <f>Defaults!BD9*Obligors!$G$9*Obligors!$H$9</f>
        <v/>
      </c>
      <c r="BE9" s="21">
        <f>Defaults!BE9*Obligors!$G$9*Obligors!$H$9</f>
        <v/>
      </c>
      <c r="BF9" s="21">
        <f>Defaults!BF9*Obligors!$G$9*Obligors!$H$9</f>
        <v/>
      </c>
      <c r="BG9" s="21">
        <f>Defaults!BG9*Obligors!$G$9*Obligors!$H$9</f>
        <v/>
      </c>
      <c r="BH9" s="21">
        <f>Defaults!BH9*Obligors!$G$9*Obligors!$H$9</f>
        <v/>
      </c>
      <c r="BI9" s="21">
        <f>Defaults!BI9*Obligors!$G$9*Obligors!$H$9</f>
        <v/>
      </c>
      <c r="BJ9" s="21">
        <f>Defaults!BJ9*Obligors!$G$9*Obligors!$H$9</f>
        <v/>
      </c>
      <c r="BK9" s="21">
        <f>Defaults!BK9*Obligors!$G$9*Obligors!$H$9</f>
        <v/>
      </c>
      <c r="BL9" s="21">
        <f>Defaults!BL9*Obligors!$G$9*Obligors!$H$9</f>
        <v/>
      </c>
      <c r="BM9" s="21">
        <f>Defaults!BM9*Obligors!$G$9*Obligors!$H$9</f>
        <v/>
      </c>
      <c r="BN9" s="21">
        <f>Defaults!BN9*Obligors!$G$9*Obligors!$H$9</f>
        <v/>
      </c>
      <c r="BO9" s="21">
        <f>Defaults!BO9*Obligors!$G$9*Obligors!$H$9</f>
        <v/>
      </c>
      <c r="BP9" s="21">
        <f>Defaults!BP9*Obligors!$G$9*Obligors!$H$9</f>
        <v/>
      </c>
      <c r="BQ9" s="21">
        <f>Defaults!BQ9*Obligors!$G$9*Obligors!$H$9</f>
        <v/>
      </c>
      <c r="BR9" s="21">
        <f>Defaults!BR9*Obligors!$G$9*Obligors!$H$9</f>
        <v/>
      </c>
      <c r="BS9" s="21">
        <f>Defaults!BS9*Obligors!$G$9*Obligors!$H$9</f>
        <v/>
      </c>
      <c r="BT9" s="21">
        <f>Defaults!BT9*Obligors!$G$9*Obligors!$H$9</f>
        <v/>
      </c>
      <c r="BU9" s="21">
        <f>Defaults!BU9*Obligors!$G$9*Obligors!$H$9</f>
        <v/>
      </c>
      <c r="BV9" s="21">
        <f>Defaults!BV9*Obligors!$G$9*Obligors!$H$9</f>
        <v/>
      </c>
      <c r="BW9" s="21">
        <f>Defaults!BW9*Obligors!$G$9*Obligors!$H$9</f>
        <v/>
      </c>
      <c r="BX9" s="21">
        <f>Defaults!BX9*Obligors!$G$9*Obligors!$H$9</f>
        <v/>
      </c>
      <c r="BY9" s="21">
        <f>Defaults!BY9*Obligors!$G$9*Obligors!$H$9</f>
        <v/>
      </c>
      <c r="BZ9" s="21">
        <f>Defaults!BZ9*Obligors!$G$9*Obligors!$H$9</f>
        <v/>
      </c>
      <c r="CA9" s="21">
        <f>Defaults!CA9*Obligors!$G$9*Obligors!$H$9</f>
        <v/>
      </c>
      <c r="CB9" s="21">
        <f>Defaults!CB9*Obligors!$G$9*Obligors!$H$9</f>
        <v/>
      </c>
      <c r="CC9" s="21">
        <f>Defaults!CC9*Obligors!$G$9*Obligors!$H$9</f>
        <v/>
      </c>
      <c r="CD9" s="21">
        <f>Defaults!CD9*Obligors!$G$9*Obligors!$H$9</f>
        <v/>
      </c>
      <c r="CE9" s="21">
        <f>Defaults!CE9*Obligors!$G$9*Obligors!$H$9</f>
        <v/>
      </c>
      <c r="CF9" s="21">
        <f>Defaults!CF9*Obligors!$G$9*Obligors!$H$9</f>
        <v/>
      </c>
      <c r="CG9" s="21">
        <f>Defaults!CG9*Obligors!$G$9*Obligors!$H$9</f>
        <v/>
      </c>
      <c r="CH9" s="21">
        <f>Defaults!CH9*Obligors!$G$9*Obligors!$H$9</f>
        <v/>
      </c>
      <c r="CI9" s="21">
        <f>Defaults!CI9*Obligors!$G$9*Obligors!$H$9</f>
        <v/>
      </c>
      <c r="CJ9" s="21">
        <f>Defaults!CJ9*Obligors!$G$9*Obligors!$H$9</f>
        <v/>
      </c>
      <c r="CK9" s="21">
        <f>Defaults!CK9*Obligors!$G$9*Obligors!$H$9</f>
        <v/>
      </c>
      <c r="CL9" s="21">
        <f>Defaults!CL9*Obligors!$G$9*Obligors!$H$9</f>
        <v/>
      </c>
      <c r="CM9" s="21">
        <f>Defaults!CM9*Obligors!$G$9*Obligors!$H$9</f>
        <v/>
      </c>
      <c r="CN9" s="21">
        <f>Defaults!CN9*Obligors!$G$9*Obligors!$H$9</f>
        <v/>
      </c>
      <c r="CO9" s="21">
        <f>Defaults!CO9*Obligors!$G$9*Obligors!$H$9</f>
        <v/>
      </c>
      <c r="CP9" s="21">
        <f>Defaults!CP9*Obligors!$G$9*Obligors!$H$9</f>
        <v/>
      </c>
      <c r="CQ9" s="21">
        <f>Defaults!CQ9*Obligors!$G$9*Obligors!$H$9</f>
        <v/>
      </c>
      <c r="CR9" s="21">
        <f>Defaults!CR9*Obligors!$G$9*Obligors!$H$9</f>
        <v/>
      </c>
      <c r="CS9" s="21">
        <f>Defaults!CS9*Obligors!$G$9*Obligors!$H$9</f>
        <v/>
      </c>
      <c r="CT9" s="21">
        <f>Defaults!CT9*Obligors!$G$9*Obligors!$H$9</f>
        <v/>
      </c>
      <c r="CU9" s="21">
        <f>Defaults!CU9*Obligors!$G$9*Obligors!$H$9</f>
        <v/>
      </c>
      <c r="CV9" s="21">
        <f>Defaults!CV9*Obligors!$G$9*Obligors!$H$9</f>
        <v/>
      </c>
      <c r="CW9" s="21">
        <f>Defaults!CW9*Obligors!$G$9*Obligors!$H$9</f>
        <v/>
      </c>
      <c r="CX9" s="21">
        <f>Defaults!CX9*Obligors!$G$9*Obligors!$H$9</f>
        <v/>
      </c>
      <c r="CY9" s="21">
        <f>Defaults!CY9*Obligors!$G$9*Obligors!$H$9</f>
        <v/>
      </c>
      <c r="CZ9" s="21">
        <f>Defaults!CZ9*Obligors!$G$9*Obligors!$H$9</f>
        <v/>
      </c>
      <c r="DA9" s="21">
        <f>Defaults!DA9*Obligors!$G$9*Obligors!$H$9</f>
        <v/>
      </c>
      <c r="DB9" s="21">
        <f>Defaults!DB9*Obligors!$G$9*Obligors!$H$9</f>
        <v/>
      </c>
      <c r="DC9" s="21">
        <f>Defaults!DC9*Obligors!$G$9*Obligors!$H$9</f>
        <v/>
      </c>
      <c r="DD9" s="21">
        <f>Defaults!DD9*Obligors!$G$9*Obligors!$H$9</f>
        <v/>
      </c>
      <c r="DE9" s="21">
        <f>Defaults!DE9*Obligors!$G$9*Obligors!$H$9</f>
        <v/>
      </c>
      <c r="DF9" s="21">
        <f>Defaults!DF9*Obligors!$G$9*Obligors!$H$9</f>
        <v/>
      </c>
      <c r="DG9" s="21">
        <f>Defaults!DG9*Obligors!$G$9*Obligors!$H$9</f>
        <v/>
      </c>
      <c r="DH9" s="21">
        <f>Defaults!DH9*Obligors!$G$9*Obligors!$H$9</f>
        <v/>
      </c>
      <c r="DI9" s="21">
        <f>Defaults!DI9*Obligors!$G$9*Obligors!$H$9</f>
        <v/>
      </c>
      <c r="DJ9" s="21">
        <f>Defaults!DJ9*Obligors!$G$9*Obligors!$H$9</f>
        <v/>
      </c>
      <c r="DK9" s="21">
        <f>Defaults!DK9*Obligors!$G$9*Obligors!$H$9</f>
        <v/>
      </c>
      <c r="DL9" s="21">
        <f>Defaults!DL9*Obligors!$G$9*Obligors!$H$9</f>
        <v/>
      </c>
      <c r="DM9" s="21">
        <f>Defaults!DM9*Obligors!$G$9*Obligors!$H$9</f>
        <v/>
      </c>
      <c r="DN9" s="21">
        <f>Defaults!DN9*Obligors!$G$9*Obligors!$H$9</f>
        <v/>
      </c>
      <c r="DO9" s="21">
        <f>Defaults!DO9*Obligors!$G$9*Obligors!$H$9</f>
        <v/>
      </c>
      <c r="DP9" s="21">
        <f>Defaults!DP9*Obligors!$G$9*Obligors!$H$9</f>
        <v/>
      </c>
      <c r="DQ9" s="21">
        <f>Defaults!DQ9*Obligors!$G$9*Obligors!$H$9</f>
        <v/>
      </c>
      <c r="DR9" s="21">
        <f>Defaults!DR9*Obligors!$G$9*Obligors!$H$9</f>
        <v/>
      </c>
      <c r="DS9" s="21">
        <f>Defaults!DS9*Obligors!$G$9*Obligors!$H$9</f>
        <v/>
      </c>
      <c r="DT9" s="21">
        <f>Defaults!DT9*Obligors!$G$9*Obligors!$H$9</f>
        <v/>
      </c>
      <c r="DU9" s="21">
        <f>Defaults!DU9*Obligors!$G$9*Obligors!$H$9</f>
        <v/>
      </c>
      <c r="DV9" s="21">
        <f>Defaults!DV9*Obligors!$G$9*Obligors!$H$9</f>
        <v/>
      </c>
      <c r="DW9" s="21">
        <f>Defaults!DW9*Obligors!$G$9*Obligors!$H$9</f>
        <v/>
      </c>
      <c r="DX9" s="21">
        <f>Defaults!DX9*Obligors!$G$9*Obligors!$H$9</f>
        <v/>
      </c>
      <c r="DY9" s="21">
        <f>Defaults!DY9*Obligors!$G$9*Obligors!$H$9</f>
        <v/>
      </c>
      <c r="DZ9" s="21">
        <f>Defaults!DZ9*Obligors!$G$9*Obligors!$H$9</f>
        <v/>
      </c>
      <c r="EA9" s="21">
        <f>Defaults!EA9*Obligors!$G$9*Obligors!$H$9</f>
        <v/>
      </c>
      <c r="EB9" s="21">
        <f>Defaults!EB9*Obligors!$G$9*Obligors!$H$9</f>
        <v/>
      </c>
      <c r="EC9" s="21">
        <f>Defaults!EC9*Obligors!$G$9*Obligors!$H$9</f>
        <v/>
      </c>
      <c r="ED9" s="21">
        <f>Defaults!ED9*Obligors!$G$9*Obligors!$H$9</f>
        <v/>
      </c>
      <c r="EE9" s="21">
        <f>Defaults!EE9*Obligors!$G$9*Obligors!$H$9</f>
        <v/>
      </c>
      <c r="EF9" s="21">
        <f>Defaults!EF9*Obligors!$G$9*Obligors!$H$9</f>
        <v/>
      </c>
      <c r="EG9" s="21">
        <f>Defaults!EG9*Obligors!$G$9*Obligors!$H$9</f>
        <v/>
      </c>
      <c r="EH9" s="21">
        <f>Defaults!EH9*Obligors!$G$9*Obligors!$H$9</f>
        <v/>
      </c>
      <c r="EI9" s="21">
        <f>Defaults!EI9*Obligors!$G$9*Obligors!$H$9</f>
        <v/>
      </c>
      <c r="EJ9" s="21">
        <f>Defaults!EJ9*Obligors!$G$9*Obligors!$H$9</f>
        <v/>
      </c>
      <c r="EK9" s="21">
        <f>Defaults!EK9*Obligors!$G$9*Obligors!$H$9</f>
        <v/>
      </c>
      <c r="EL9" s="21">
        <f>Defaults!EL9*Obligors!$G$9*Obligors!$H$9</f>
        <v/>
      </c>
      <c r="EM9" s="21">
        <f>Defaults!EM9*Obligors!$G$9*Obligors!$H$9</f>
        <v/>
      </c>
      <c r="EN9" s="21">
        <f>Defaults!EN9*Obligors!$G$9*Obligors!$H$9</f>
        <v/>
      </c>
      <c r="EO9" s="21">
        <f>Defaults!EO9*Obligors!$G$9*Obligors!$H$9</f>
        <v/>
      </c>
      <c r="EP9" s="21">
        <f>Defaults!EP9*Obligors!$G$9*Obligors!$H$9</f>
        <v/>
      </c>
      <c r="EQ9" s="21">
        <f>Defaults!EQ9*Obligors!$G$9*Obligors!$H$9</f>
        <v/>
      </c>
      <c r="ER9" s="21">
        <f>Defaults!ER9*Obligors!$G$9*Obligors!$H$9</f>
        <v/>
      </c>
      <c r="ES9" s="21">
        <f>Defaults!ES9*Obligors!$G$9*Obligors!$H$9</f>
        <v/>
      </c>
      <c r="ET9" s="21">
        <f>Defaults!ET9*Obligors!$G$9*Obligors!$H$9</f>
        <v/>
      </c>
      <c r="EU9" s="21">
        <f>Defaults!EU9*Obligors!$G$9*Obligors!$H$9</f>
        <v/>
      </c>
      <c r="EV9" s="21">
        <f>Defaults!EV9*Obligors!$G$9*Obligors!$H$9</f>
        <v/>
      </c>
      <c r="EW9" s="21">
        <f>Defaults!EW9*Obligors!$G$9*Obligors!$H$9</f>
        <v/>
      </c>
      <c r="EX9" s="21">
        <f>Defaults!EX9*Obligors!$G$9*Obligors!$H$9</f>
        <v/>
      </c>
      <c r="EY9" s="21">
        <f>Defaults!EY9*Obligors!$G$9*Obligors!$H$9</f>
        <v/>
      </c>
      <c r="EZ9" s="21">
        <f>Defaults!EZ9*Obligors!$G$9*Obligors!$H$9</f>
        <v/>
      </c>
      <c r="FA9" s="21">
        <f>Defaults!FA9*Obligors!$G$9*Obligors!$H$9</f>
        <v/>
      </c>
      <c r="FB9" s="21">
        <f>Defaults!FB9*Obligors!$G$9*Obligors!$H$9</f>
        <v/>
      </c>
      <c r="FC9" s="21">
        <f>Defaults!FC9*Obligors!$G$9*Obligors!$H$9</f>
        <v/>
      </c>
      <c r="FD9" s="21">
        <f>Defaults!FD9*Obligors!$G$9*Obligors!$H$9</f>
        <v/>
      </c>
      <c r="FE9" s="21">
        <f>Defaults!FE9*Obligors!$G$9*Obligors!$H$9</f>
        <v/>
      </c>
      <c r="FF9" s="21">
        <f>Defaults!FF9*Obligors!$G$9*Obligors!$H$9</f>
        <v/>
      </c>
      <c r="FG9" s="21">
        <f>Defaults!FG9*Obligors!$G$9*Obligors!$H$9</f>
        <v/>
      </c>
      <c r="FH9" s="21">
        <f>Defaults!FH9*Obligors!$G$9*Obligors!$H$9</f>
        <v/>
      </c>
      <c r="FI9" s="21">
        <f>Defaults!FI9*Obligors!$G$9*Obligors!$H$9</f>
        <v/>
      </c>
      <c r="FJ9" s="21">
        <f>Defaults!FJ9*Obligors!$G$9*Obligors!$H$9</f>
        <v/>
      </c>
      <c r="FK9" s="21">
        <f>Defaults!FK9*Obligors!$G$9*Obligors!$H$9</f>
        <v/>
      </c>
      <c r="FL9" s="21">
        <f>Defaults!FL9*Obligors!$G$9*Obligors!$H$9</f>
        <v/>
      </c>
      <c r="FM9" s="21">
        <f>Defaults!FM9*Obligors!$G$9*Obligors!$H$9</f>
        <v/>
      </c>
      <c r="FN9" s="21">
        <f>Defaults!FN9*Obligors!$G$9*Obligors!$H$9</f>
        <v/>
      </c>
      <c r="FO9" s="21">
        <f>Defaults!FO9*Obligors!$G$9*Obligors!$H$9</f>
        <v/>
      </c>
      <c r="FP9" s="21">
        <f>Defaults!FP9*Obligors!$G$9*Obligors!$H$9</f>
        <v/>
      </c>
      <c r="FQ9" s="21">
        <f>Defaults!FQ9*Obligors!$G$9*Obligors!$H$9</f>
        <v/>
      </c>
      <c r="FR9" s="21">
        <f>Defaults!FR9*Obligors!$G$9*Obligors!$H$9</f>
        <v/>
      </c>
      <c r="FS9" s="21">
        <f>Defaults!FS9*Obligors!$G$9*Obligors!$H$9</f>
        <v/>
      </c>
      <c r="FT9" s="21">
        <f>Defaults!FT9*Obligors!$G$9*Obligors!$H$9</f>
        <v/>
      </c>
      <c r="FU9" s="21">
        <f>Defaults!FU9*Obligors!$G$9*Obligors!$H$9</f>
        <v/>
      </c>
      <c r="FV9" s="21">
        <f>Defaults!FV9*Obligors!$G$9*Obligors!$H$9</f>
        <v/>
      </c>
      <c r="FW9" s="21">
        <f>Defaults!FW9*Obligors!$G$9*Obligors!$H$9</f>
        <v/>
      </c>
      <c r="FX9" s="21">
        <f>Defaults!FX9*Obligors!$G$9*Obligors!$H$9</f>
        <v/>
      </c>
      <c r="FY9" s="21">
        <f>Defaults!FY9*Obligors!$G$9*Obligors!$H$9</f>
        <v/>
      </c>
      <c r="FZ9" s="21">
        <f>Defaults!FZ9*Obligors!$G$9*Obligors!$H$9</f>
        <v/>
      </c>
      <c r="GA9" s="21">
        <f>Defaults!GA9*Obligors!$G$9*Obligors!$H$9</f>
        <v/>
      </c>
      <c r="GB9" s="21">
        <f>Defaults!GB9*Obligors!$G$9*Obligors!$H$9</f>
        <v/>
      </c>
      <c r="GC9" s="21">
        <f>Defaults!GC9*Obligors!$G$9*Obligors!$H$9</f>
        <v/>
      </c>
      <c r="GD9" s="21">
        <f>Defaults!GD9*Obligors!$G$9*Obligors!$H$9</f>
        <v/>
      </c>
      <c r="GE9" s="21">
        <f>Defaults!GE9*Obligors!$G$9*Obligors!$H$9</f>
        <v/>
      </c>
      <c r="GF9" s="21">
        <f>Defaults!GF9*Obligors!$G$9*Obligors!$H$9</f>
        <v/>
      </c>
      <c r="GG9" s="21">
        <f>Defaults!GG9*Obligors!$G$9*Obligors!$H$9</f>
        <v/>
      </c>
      <c r="GH9" s="21">
        <f>Defaults!GH9*Obligors!$G$9*Obligors!$H$9</f>
        <v/>
      </c>
      <c r="GI9" s="21">
        <f>Defaults!GI9*Obligors!$G$9*Obligors!$H$9</f>
        <v/>
      </c>
      <c r="GJ9" s="21">
        <f>Defaults!GJ9*Obligors!$G$9*Obligors!$H$9</f>
        <v/>
      </c>
      <c r="GK9" s="21">
        <f>Defaults!GK9*Obligors!$G$9*Obligors!$H$9</f>
        <v/>
      </c>
      <c r="GL9" s="21">
        <f>Defaults!GL9*Obligors!$G$9*Obligors!$H$9</f>
        <v/>
      </c>
      <c r="GM9" s="21">
        <f>Defaults!GM9*Obligors!$G$9*Obligors!$H$9</f>
        <v/>
      </c>
      <c r="GN9" s="21">
        <f>Defaults!GN9*Obligors!$G$9*Obligors!$H$9</f>
        <v/>
      </c>
      <c r="GO9" s="21">
        <f>Defaults!GO9*Obligors!$G$9*Obligors!$H$9</f>
        <v/>
      </c>
      <c r="GP9" s="21">
        <f>Defaults!GP9*Obligors!$G$9*Obligors!$H$9</f>
        <v/>
      </c>
      <c r="GQ9" s="21">
        <f>Defaults!GQ9*Obligors!$G$9*Obligors!$H$9</f>
        <v/>
      </c>
      <c r="GR9" s="21">
        <f>Defaults!GR9*Obligors!$G$9*Obligors!$H$9</f>
        <v/>
      </c>
      <c r="GS9" s="21">
        <f>Defaults!GS9*Obligors!$G$9*Obligors!$H$9</f>
        <v/>
      </c>
      <c r="GT9" s="21">
        <f>Defaults!GT9*Obligors!$G$9*Obligors!$H$9</f>
        <v/>
      </c>
      <c r="GU9" s="21">
        <f>Defaults!GU9*Obligors!$G$9*Obligors!$H$9</f>
        <v/>
      </c>
      <c r="GV9" s="21">
        <f>Defaults!GV9*Obligors!$G$9*Obligors!$H$9</f>
        <v/>
      </c>
      <c r="GW9" s="21">
        <f>Defaults!GW9*Obligors!$G$9*Obligors!$H$9</f>
        <v/>
      </c>
      <c r="GX9" s="21">
        <f>Defaults!GX9*Obligors!$G$9*Obligors!$H$9</f>
        <v/>
      </c>
      <c r="GY9" s="21">
        <f>Defaults!GY9*Obligors!$G$9*Obligors!$H$9</f>
        <v/>
      </c>
      <c r="GZ9" s="21">
        <f>Defaults!GZ9*Obligors!$G$9*Obligors!$H$9</f>
        <v/>
      </c>
      <c r="HA9" s="21">
        <f>Defaults!HA9*Obligors!$G$9*Obligors!$H$9</f>
        <v/>
      </c>
      <c r="HB9" s="21">
        <f>Defaults!HB9*Obligors!$G$9*Obligors!$H$9</f>
        <v/>
      </c>
      <c r="HC9" s="21">
        <f>Defaults!HC9*Obligors!$G$9*Obligors!$H$9</f>
        <v/>
      </c>
      <c r="HD9" s="21">
        <f>Defaults!HD9*Obligors!$G$9*Obligors!$H$9</f>
        <v/>
      </c>
      <c r="HE9" s="21">
        <f>Defaults!HE9*Obligors!$G$9*Obligors!$H$9</f>
        <v/>
      </c>
      <c r="HF9" s="21">
        <f>Defaults!HF9*Obligors!$G$9*Obligors!$H$9</f>
        <v/>
      </c>
      <c r="HG9" s="21">
        <f>Defaults!HG9*Obligors!$G$9*Obligors!$H$9</f>
        <v/>
      </c>
      <c r="HH9" s="21">
        <f>Defaults!HH9*Obligors!$G$9*Obligors!$H$9</f>
        <v/>
      </c>
      <c r="HI9" s="21">
        <f>Defaults!HI9*Obligors!$G$9*Obligors!$H$9</f>
        <v/>
      </c>
      <c r="HJ9" s="21">
        <f>Defaults!HJ9*Obligors!$G$9*Obligors!$H$9</f>
        <v/>
      </c>
      <c r="HK9" s="21">
        <f>Defaults!HK9*Obligors!$G$9*Obligors!$H$9</f>
        <v/>
      </c>
      <c r="HL9" s="21">
        <f>Defaults!HL9*Obligors!$G$9*Obligors!$H$9</f>
        <v/>
      </c>
      <c r="HM9" s="21">
        <f>Defaults!HM9*Obligors!$G$9*Obligors!$H$9</f>
        <v/>
      </c>
      <c r="HN9" s="21">
        <f>Defaults!HN9*Obligors!$G$9*Obligors!$H$9</f>
        <v/>
      </c>
      <c r="HO9" s="21">
        <f>Defaults!HO9*Obligors!$G$9*Obligors!$H$9</f>
        <v/>
      </c>
      <c r="HP9" s="21">
        <f>Defaults!HP9*Obligors!$G$9*Obligors!$H$9</f>
        <v/>
      </c>
      <c r="HQ9" s="21">
        <f>Defaults!HQ9*Obligors!$G$9*Obligors!$H$9</f>
        <v/>
      </c>
      <c r="HR9" s="21">
        <f>Defaults!HR9*Obligors!$G$9*Obligors!$H$9</f>
        <v/>
      </c>
      <c r="HS9" s="21">
        <f>Defaults!HS9*Obligors!$G$9*Obligors!$H$9</f>
        <v/>
      </c>
      <c r="HT9" s="21">
        <f>Defaults!HT9*Obligors!$G$9*Obligors!$H$9</f>
        <v/>
      </c>
      <c r="HU9" s="21">
        <f>Defaults!HU9*Obligors!$G$9*Obligors!$H$9</f>
        <v/>
      </c>
      <c r="HV9" s="21">
        <f>Defaults!HV9*Obligors!$G$9*Obligors!$H$9</f>
        <v/>
      </c>
      <c r="HW9" s="21">
        <f>Defaults!HW9*Obligors!$G$9*Obligors!$H$9</f>
        <v/>
      </c>
      <c r="HX9" s="21">
        <f>Defaults!HX9*Obligors!$G$9*Obligors!$H$9</f>
        <v/>
      </c>
      <c r="HY9" s="21">
        <f>Defaults!HY9*Obligors!$G$9*Obligors!$H$9</f>
        <v/>
      </c>
      <c r="HZ9" s="21">
        <f>Defaults!HZ9*Obligors!$G$9*Obligors!$H$9</f>
        <v/>
      </c>
      <c r="IA9" s="21">
        <f>Defaults!IA9*Obligors!$G$9*Obligors!$H$9</f>
        <v/>
      </c>
      <c r="IB9" s="21">
        <f>Defaults!IB9*Obligors!$G$9*Obligors!$H$9</f>
        <v/>
      </c>
      <c r="IC9" s="21">
        <f>Defaults!IC9*Obligors!$G$9*Obligors!$H$9</f>
        <v/>
      </c>
      <c r="ID9" s="21">
        <f>Defaults!ID9*Obligors!$G$9*Obligors!$H$9</f>
        <v/>
      </c>
      <c r="IE9" s="21">
        <f>Defaults!IE9*Obligors!$G$9*Obligors!$H$9</f>
        <v/>
      </c>
      <c r="IF9" s="21">
        <f>Defaults!IF9*Obligors!$G$9*Obligors!$H$9</f>
        <v/>
      </c>
      <c r="IG9" s="21">
        <f>Defaults!IG9*Obligors!$G$9*Obligors!$H$9</f>
        <v/>
      </c>
      <c r="IH9" s="21">
        <f>Defaults!IH9*Obligors!$G$9*Obligors!$H$9</f>
        <v/>
      </c>
      <c r="II9" s="21">
        <f>Defaults!II9*Obligors!$G$9*Obligors!$H$9</f>
        <v/>
      </c>
      <c r="IJ9" s="21">
        <f>Defaults!IJ9*Obligors!$G$9*Obligors!$H$9</f>
        <v/>
      </c>
      <c r="IK9" s="21">
        <f>Defaults!IK9*Obligors!$G$9*Obligors!$H$9</f>
        <v/>
      </c>
      <c r="IL9" s="21">
        <f>Defaults!IL9*Obligors!$G$9*Obligors!$H$9</f>
        <v/>
      </c>
      <c r="IM9" s="21">
        <f>Defaults!IM9*Obligors!$G$9*Obligors!$H$9</f>
        <v/>
      </c>
      <c r="IN9" s="21">
        <f>Defaults!IN9*Obligors!$G$9*Obligors!$H$9</f>
        <v/>
      </c>
      <c r="IO9" s="21">
        <f>Defaults!IO9*Obligors!$G$9*Obligors!$H$9</f>
        <v/>
      </c>
      <c r="IP9" s="21">
        <f>Defaults!IP9*Obligors!$G$9*Obligors!$H$9</f>
        <v/>
      </c>
      <c r="IQ9" s="21">
        <f>Defaults!IQ9*Obligors!$G$9*Obligors!$H$9</f>
        <v/>
      </c>
      <c r="IR9" s="21">
        <f>Defaults!IR9*Obligors!$G$9*Obligors!$H$9</f>
        <v/>
      </c>
      <c r="IS9" s="21">
        <f>Defaults!IS9*Obligors!$G$9*Obligors!$H$9</f>
        <v/>
      </c>
      <c r="IT9" s="21">
        <f>Defaults!IT9*Obligors!$G$9*Obligors!$H$9</f>
        <v/>
      </c>
      <c r="IU9" s="21">
        <f>Defaults!IU9*Obligors!$G$9*Obligors!$H$9</f>
        <v/>
      </c>
      <c r="IV9" s="21">
        <f>Defaults!IV9*Obligors!$G$9*Obligors!$H$9</f>
        <v/>
      </c>
      <c r="IW9" s="21">
        <f>Defaults!IW9*Obligors!$G$9*Obligors!$H$9</f>
        <v/>
      </c>
      <c r="IX9" s="21">
        <f>Defaults!IX9*Obligors!$G$9*Obligors!$H$9</f>
        <v/>
      </c>
      <c r="IY9" s="21">
        <f>Defaults!IY9*Obligors!$G$9*Obligors!$H$9</f>
        <v/>
      </c>
      <c r="IZ9" s="21">
        <f>Defaults!IZ9*Obligors!$G$9*Obligors!$H$9</f>
        <v/>
      </c>
      <c r="JA9" s="21">
        <f>Defaults!JA9*Obligors!$G$9*Obligors!$H$9</f>
        <v/>
      </c>
      <c r="JB9" s="21">
        <f>Defaults!JB9*Obligors!$G$9*Obligors!$H$9</f>
        <v/>
      </c>
      <c r="JC9" s="21">
        <f>Defaults!JC9*Obligors!$G$9*Obligors!$H$9</f>
        <v/>
      </c>
      <c r="JD9" s="21">
        <f>Defaults!JD9*Obligors!$G$9*Obligors!$H$9</f>
        <v/>
      </c>
      <c r="JE9" s="21">
        <f>Defaults!JE9*Obligors!$G$9*Obligors!$H$9</f>
        <v/>
      </c>
      <c r="JF9" s="21">
        <f>Defaults!JF9*Obligors!$G$9*Obligors!$H$9</f>
        <v/>
      </c>
      <c r="JG9" s="21">
        <f>Defaults!JG9*Obligors!$G$9*Obligors!$H$9</f>
        <v/>
      </c>
      <c r="JH9" s="21">
        <f>Defaults!JH9*Obligors!$G$9*Obligors!$H$9</f>
        <v/>
      </c>
      <c r="JI9" s="21">
        <f>Defaults!JI9*Obligors!$G$9*Obligors!$H$9</f>
        <v/>
      </c>
      <c r="JJ9" s="21">
        <f>Defaults!JJ9*Obligors!$G$9*Obligors!$H$9</f>
        <v/>
      </c>
      <c r="JK9" s="21">
        <f>Defaults!JK9*Obligors!$G$9*Obligors!$H$9</f>
        <v/>
      </c>
      <c r="JL9" s="21">
        <f>Defaults!JL9*Obligors!$G$9*Obligors!$H$9</f>
        <v/>
      </c>
      <c r="JM9" s="21">
        <f>Defaults!JM9*Obligors!$G$9*Obligors!$H$9</f>
        <v/>
      </c>
      <c r="JN9" s="21">
        <f>Defaults!JN9*Obligors!$G$9*Obligors!$H$9</f>
        <v/>
      </c>
      <c r="JO9" s="21">
        <f>Defaults!JO9*Obligors!$G$9*Obligors!$H$9</f>
        <v/>
      </c>
      <c r="JP9" s="21">
        <f>Defaults!JP9*Obligors!$G$9*Obligors!$H$9</f>
        <v/>
      </c>
      <c r="JQ9" s="21">
        <f>Defaults!JQ9*Obligors!$G$9*Obligors!$H$9</f>
        <v/>
      </c>
      <c r="JR9" s="21">
        <f>Defaults!JR9*Obligors!$G$9*Obligors!$H$9</f>
        <v/>
      </c>
      <c r="JS9" s="21">
        <f>Defaults!JS9*Obligors!$G$9*Obligors!$H$9</f>
        <v/>
      </c>
      <c r="JT9" s="21">
        <f>Defaults!JT9*Obligors!$G$9*Obligors!$H$9</f>
        <v/>
      </c>
      <c r="JU9" s="21">
        <f>Defaults!JU9*Obligors!$G$9*Obligors!$H$9</f>
        <v/>
      </c>
      <c r="JV9" s="21">
        <f>Defaults!JV9*Obligors!$G$9*Obligors!$H$9</f>
        <v/>
      </c>
      <c r="JW9" s="21">
        <f>Defaults!JW9*Obligors!$G$9*Obligors!$H$9</f>
        <v/>
      </c>
      <c r="JX9" s="21">
        <f>Defaults!JX9*Obligors!$G$9*Obligors!$H$9</f>
        <v/>
      </c>
      <c r="JY9" s="21">
        <f>Defaults!JY9*Obligors!$G$9*Obligors!$H$9</f>
        <v/>
      </c>
      <c r="JZ9" s="21">
        <f>Defaults!JZ9*Obligors!$G$9*Obligors!$H$9</f>
        <v/>
      </c>
      <c r="KA9" s="21">
        <f>Defaults!KA9*Obligors!$G$9*Obligors!$H$9</f>
        <v/>
      </c>
      <c r="KB9" s="21">
        <f>Defaults!KB9*Obligors!$G$9*Obligors!$H$9</f>
        <v/>
      </c>
      <c r="KC9" s="21">
        <f>Defaults!KC9*Obligors!$G$9*Obligors!$H$9</f>
        <v/>
      </c>
      <c r="KD9" s="21">
        <f>Defaults!KD9*Obligors!$G$9*Obligors!$H$9</f>
        <v/>
      </c>
      <c r="KE9" s="21">
        <f>Defaults!KE9*Obligors!$G$9*Obligors!$H$9</f>
        <v/>
      </c>
      <c r="KF9" s="21">
        <f>Defaults!KF9*Obligors!$G$9*Obligors!$H$9</f>
        <v/>
      </c>
      <c r="KG9" s="21">
        <f>Defaults!KG9*Obligors!$G$9*Obligors!$H$9</f>
        <v/>
      </c>
      <c r="KH9" s="21">
        <f>Defaults!KH9*Obligors!$G$9*Obligors!$H$9</f>
        <v/>
      </c>
      <c r="KI9" s="21">
        <f>Defaults!KI9*Obligors!$G$9*Obligors!$H$9</f>
        <v/>
      </c>
      <c r="KJ9" s="21">
        <f>Defaults!KJ9*Obligors!$G$9*Obligors!$H$9</f>
        <v/>
      </c>
      <c r="KK9" s="21">
        <f>Defaults!KK9*Obligors!$G$9*Obligors!$H$9</f>
        <v/>
      </c>
      <c r="KL9" s="21">
        <f>Defaults!KL9*Obligors!$G$9*Obligors!$H$9</f>
        <v/>
      </c>
      <c r="KM9" s="21">
        <f>Defaults!KM9*Obligors!$G$9*Obligors!$H$9</f>
        <v/>
      </c>
      <c r="KN9" s="21">
        <f>Defaults!KN9*Obligors!$G$9*Obligors!$H$9</f>
        <v/>
      </c>
      <c r="KO9" s="21">
        <f>Defaults!KO9*Obligors!$G$9*Obligors!$H$9</f>
        <v/>
      </c>
      <c r="KP9" s="21">
        <f>Defaults!KP9*Obligors!$G$9*Obligors!$H$9</f>
        <v/>
      </c>
      <c r="KQ9" s="21">
        <f>Defaults!KQ9*Obligors!$G$9*Obligors!$H$9</f>
        <v/>
      </c>
      <c r="KR9" s="21">
        <f>Defaults!KR9*Obligors!$G$9*Obligors!$H$9</f>
        <v/>
      </c>
      <c r="KS9" s="21">
        <f>Defaults!KS9*Obligors!$G$9*Obligors!$H$9</f>
        <v/>
      </c>
      <c r="KT9" s="21">
        <f>Defaults!KT9*Obligors!$G$9*Obligors!$H$9</f>
        <v/>
      </c>
      <c r="KU9" s="21">
        <f>Defaults!KU9*Obligors!$G$9*Obligors!$H$9</f>
        <v/>
      </c>
      <c r="KV9" s="21">
        <f>Defaults!KV9*Obligors!$G$9*Obligors!$H$9</f>
        <v/>
      </c>
      <c r="KW9" s="21">
        <f>Defaults!KW9*Obligors!$G$9*Obligors!$H$9</f>
        <v/>
      </c>
      <c r="KX9" s="21">
        <f>Defaults!KX9*Obligors!$G$9*Obligors!$H$9</f>
        <v/>
      </c>
      <c r="KY9" s="21">
        <f>Defaults!KY9*Obligors!$G$9*Obligors!$H$9</f>
        <v/>
      </c>
      <c r="KZ9" s="21">
        <f>Defaults!KZ9*Obligors!$G$9*Obligors!$H$9</f>
        <v/>
      </c>
      <c r="LA9" s="21">
        <f>Defaults!LA9*Obligors!$G$9*Obligors!$H$9</f>
        <v/>
      </c>
      <c r="LB9" s="21">
        <f>Defaults!LB9*Obligors!$G$9*Obligors!$H$9</f>
        <v/>
      </c>
      <c r="LC9" s="21">
        <f>Defaults!LC9*Obligors!$G$9*Obligors!$H$9</f>
        <v/>
      </c>
      <c r="LD9" s="21">
        <f>Defaults!LD9*Obligors!$G$9*Obligors!$H$9</f>
        <v/>
      </c>
      <c r="LE9" s="21">
        <f>Defaults!LE9*Obligors!$G$9*Obligors!$H$9</f>
        <v/>
      </c>
      <c r="LF9" s="21">
        <f>Defaults!LF9*Obligors!$G$9*Obligors!$H$9</f>
        <v/>
      </c>
      <c r="LG9" s="21">
        <f>Defaults!LG9*Obligors!$G$9*Obligors!$H$9</f>
        <v/>
      </c>
      <c r="LH9" s="21">
        <f>Defaults!LH9*Obligors!$G$9*Obligors!$H$9</f>
        <v/>
      </c>
      <c r="LI9" s="21">
        <f>Defaults!LI9*Obligors!$G$9*Obligors!$H$9</f>
        <v/>
      </c>
      <c r="LJ9" s="21">
        <f>Defaults!LJ9*Obligors!$G$9*Obligors!$H$9</f>
        <v/>
      </c>
      <c r="LK9" s="21">
        <f>Defaults!LK9*Obligors!$G$9*Obligors!$H$9</f>
        <v/>
      </c>
      <c r="LL9" s="21">
        <f>Defaults!LL9*Obligors!$G$9*Obligors!$H$9</f>
        <v/>
      </c>
      <c r="LM9" s="21">
        <f>Defaults!LM9*Obligors!$G$9*Obligors!$H$9</f>
        <v/>
      </c>
      <c r="LN9" s="21">
        <f>Defaults!LN9*Obligors!$G$9*Obligors!$H$9</f>
        <v/>
      </c>
      <c r="LO9" s="21">
        <f>Defaults!LO9*Obligors!$G$9*Obligors!$H$9</f>
        <v/>
      </c>
      <c r="LP9" s="21">
        <f>Defaults!LP9*Obligors!$G$9*Obligors!$H$9</f>
        <v/>
      </c>
      <c r="LQ9" s="21">
        <f>Defaults!LQ9*Obligors!$G$9*Obligors!$H$9</f>
        <v/>
      </c>
      <c r="LR9" s="21">
        <f>Defaults!LR9*Obligors!$G$9*Obligors!$H$9</f>
        <v/>
      </c>
      <c r="LS9" s="21">
        <f>Defaults!LS9*Obligors!$G$9*Obligors!$H$9</f>
        <v/>
      </c>
      <c r="LT9" s="21">
        <f>Defaults!LT9*Obligors!$G$9*Obligors!$H$9</f>
        <v/>
      </c>
      <c r="LU9" s="21">
        <f>Defaults!LU9*Obligors!$G$9*Obligors!$H$9</f>
        <v/>
      </c>
      <c r="LV9" s="21">
        <f>Defaults!LV9*Obligors!$G$9*Obligors!$H$9</f>
        <v/>
      </c>
      <c r="LW9" s="21">
        <f>Defaults!LW9*Obligors!$G$9*Obligors!$H$9</f>
        <v/>
      </c>
      <c r="LX9" s="21">
        <f>Defaults!LX9*Obligors!$G$9*Obligors!$H$9</f>
        <v/>
      </c>
      <c r="LY9" s="21">
        <f>Defaults!LY9*Obligors!$G$9*Obligors!$H$9</f>
        <v/>
      </c>
      <c r="LZ9" s="21">
        <f>Defaults!LZ9*Obligors!$G$9*Obligors!$H$9</f>
        <v/>
      </c>
      <c r="MA9" s="21">
        <f>Defaults!MA9*Obligors!$G$9*Obligors!$H$9</f>
        <v/>
      </c>
      <c r="MB9" s="21">
        <f>Defaults!MB9*Obligors!$G$9*Obligors!$H$9</f>
        <v/>
      </c>
      <c r="MC9" s="21">
        <f>Defaults!MC9*Obligors!$G$9*Obligors!$H$9</f>
        <v/>
      </c>
      <c r="MD9" s="21">
        <f>Defaults!MD9*Obligors!$G$9*Obligors!$H$9</f>
        <v/>
      </c>
      <c r="ME9" s="21">
        <f>Defaults!ME9*Obligors!$G$9*Obligors!$H$9</f>
        <v/>
      </c>
      <c r="MF9" s="21">
        <f>Defaults!MF9*Obligors!$G$9*Obligors!$H$9</f>
        <v/>
      </c>
      <c r="MG9" s="21">
        <f>Defaults!MG9*Obligors!$G$9*Obligors!$H$9</f>
        <v/>
      </c>
      <c r="MH9" s="21">
        <f>Defaults!MH9*Obligors!$G$9*Obligors!$H$9</f>
        <v/>
      </c>
      <c r="MI9" s="21">
        <f>Defaults!MI9*Obligors!$G$9*Obligors!$H$9</f>
        <v/>
      </c>
      <c r="MJ9" s="21">
        <f>Defaults!MJ9*Obligors!$G$9*Obligors!$H$9</f>
        <v/>
      </c>
      <c r="MK9" s="21">
        <f>Defaults!MK9*Obligors!$G$9*Obligors!$H$9</f>
        <v/>
      </c>
      <c r="ML9" s="21">
        <f>Defaults!ML9*Obligors!$G$9*Obligors!$H$9</f>
        <v/>
      </c>
      <c r="MM9" s="21">
        <f>Defaults!MM9*Obligors!$G$9*Obligors!$H$9</f>
        <v/>
      </c>
      <c r="MN9" s="21">
        <f>Defaults!MN9*Obligors!$G$9*Obligors!$H$9</f>
        <v/>
      </c>
      <c r="MO9" s="21">
        <f>Defaults!MO9*Obligors!$G$9*Obligors!$H$9</f>
        <v/>
      </c>
      <c r="MP9" s="21">
        <f>Defaults!MP9*Obligors!$G$9*Obligors!$H$9</f>
        <v/>
      </c>
      <c r="MQ9" s="21">
        <f>Defaults!MQ9*Obligors!$G$9*Obligors!$H$9</f>
        <v/>
      </c>
      <c r="MR9" s="21">
        <f>Defaults!MR9*Obligors!$G$9*Obligors!$H$9</f>
        <v/>
      </c>
      <c r="MS9" s="21">
        <f>Defaults!MS9*Obligors!$G$9*Obligors!$H$9</f>
        <v/>
      </c>
      <c r="MT9" s="21">
        <f>Defaults!MT9*Obligors!$G$9*Obligors!$H$9</f>
        <v/>
      </c>
      <c r="MU9" s="21">
        <f>Defaults!MU9*Obligors!$G$9*Obligors!$H$9</f>
        <v/>
      </c>
      <c r="MV9" s="21">
        <f>Defaults!MV9*Obligors!$G$9*Obligors!$H$9</f>
        <v/>
      </c>
      <c r="MW9" s="21">
        <f>Defaults!MW9*Obligors!$G$9*Obligors!$H$9</f>
        <v/>
      </c>
      <c r="MX9" s="21">
        <f>Defaults!MX9*Obligors!$G$9*Obligors!$H$9</f>
        <v/>
      </c>
      <c r="MY9" s="21">
        <f>Defaults!MY9*Obligors!$G$9*Obligors!$H$9</f>
        <v/>
      </c>
      <c r="MZ9" s="21">
        <f>Defaults!MZ9*Obligors!$G$9*Obligors!$H$9</f>
        <v/>
      </c>
      <c r="NA9" s="21">
        <f>Defaults!NA9*Obligors!$G$9*Obligors!$H$9</f>
        <v/>
      </c>
      <c r="NB9" s="21">
        <f>Defaults!NB9*Obligors!$G$9*Obligors!$H$9</f>
        <v/>
      </c>
      <c r="NC9" s="21">
        <f>Defaults!NC9*Obligors!$G$9*Obligors!$H$9</f>
        <v/>
      </c>
      <c r="ND9" s="21">
        <f>Defaults!ND9*Obligors!$G$9*Obligors!$H$9</f>
        <v/>
      </c>
      <c r="NE9" s="21">
        <f>Defaults!NE9*Obligors!$G$9*Obligors!$H$9</f>
        <v/>
      </c>
      <c r="NF9" s="21">
        <f>Defaults!NF9*Obligors!$G$9*Obligors!$H$9</f>
        <v/>
      </c>
      <c r="NG9" s="21">
        <f>Defaults!NG9*Obligors!$G$9*Obligors!$H$9</f>
        <v/>
      </c>
      <c r="NH9" s="21">
        <f>Defaults!NH9*Obligors!$G$9*Obligors!$H$9</f>
        <v/>
      </c>
      <c r="NI9" s="21">
        <f>Defaults!NI9*Obligors!$G$9*Obligors!$H$9</f>
        <v/>
      </c>
      <c r="NJ9" s="21">
        <f>Defaults!NJ9*Obligors!$G$9*Obligors!$H$9</f>
        <v/>
      </c>
      <c r="NK9" s="21">
        <f>Defaults!NK9*Obligors!$G$9*Obligors!$H$9</f>
        <v/>
      </c>
      <c r="NL9" s="21">
        <f>Defaults!NL9*Obligors!$G$9*Obligors!$H$9</f>
        <v/>
      </c>
      <c r="NM9" s="21">
        <f>Defaults!NM9*Obligors!$G$9*Obligors!$H$9</f>
        <v/>
      </c>
      <c r="NN9" s="21">
        <f>Defaults!NN9*Obligors!$G$9*Obligors!$H$9</f>
        <v/>
      </c>
      <c r="NO9" s="21">
        <f>Defaults!NO9*Obligors!$G$9*Obligors!$H$9</f>
        <v/>
      </c>
      <c r="NP9" s="21">
        <f>Defaults!NP9*Obligors!$G$9*Obligors!$H$9</f>
        <v/>
      </c>
      <c r="NQ9" s="21">
        <f>Defaults!NQ9*Obligors!$G$9*Obligors!$H$9</f>
        <v/>
      </c>
      <c r="NR9" s="21">
        <f>Defaults!NR9*Obligors!$G$9*Obligors!$H$9</f>
        <v/>
      </c>
      <c r="NS9" s="21">
        <f>Defaults!NS9*Obligors!$G$9*Obligors!$H$9</f>
        <v/>
      </c>
      <c r="NT9" s="21">
        <f>Defaults!NT9*Obligors!$G$9*Obligors!$H$9</f>
        <v/>
      </c>
      <c r="NU9" s="21">
        <f>Defaults!NU9*Obligors!$G$9*Obligors!$H$9</f>
        <v/>
      </c>
      <c r="NV9" s="21">
        <f>Defaults!NV9*Obligors!$G$9*Obligors!$H$9</f>
        <v/>
      </c>
      <c r="NW9" s="21">
        <f>Defaults!NW9*Obligors!$G$9*Obligors!$H$9</f>
        <v/>
      </c>
      <c r="NX9" s="21">
        <f>Defaults!NX9*Obligors!$G$9*Obligors!$H$9</f>
        <v/>
      </c>
      <c r="NY9" s="21">
        <f>Defaults!NY9*Obligors!$G$9*Obligors!$H$9</f>
        <v/>
      </c>
      <c r="NZ9" s="21">
        <f>Defaults!NZ9*Obligors!$G$9*Obligors!$H$9</f>
        <v/>
      </c>
      <c r="OA9" s="21">
        <f>Defaults!OA9*Obligors!$G$9*Obligors!$H$9</f>
        <v/>
      </c>
      <c r="OB9" s="21">
        <f>Defaults!OB9*Obligors!$G$9*Obligors!$H$9</f>
        <v/>
      </c>
      <c r="OC9" s="21">
        <f>Defaults!OC9*Obligors!$G$9*Obligors!$H$9</f>
        <v/>
      </c>
      <c r="OD9" s="21">
        <f>Defaults!OD9*Obligors!$G$9*Obligors!$H$9</f>
        <v/>
      </c>
      <c r="OE9" s="21">
        <f>Defaults!OE9*Obligors!$G$9*Obligors!$H$9</f>
        <v/>
      </c>
      <c r="OF9" s="21">
        <f>Defaults!OF9*Obligors!$G$9*Obligors!$H$9</f>
        <v/>
      </c>
      <c r="OG9" s="21">
        <f>Defaults!OG9*Obligors!$G$9*Obligors!$H$9</f>
        <v/>
      </c>
      <c r="OH9" s="21">
        <f>Defaults!OH9*Obligors!$G$9*Obligors!$H$9</f>
        <v/>
      </c>
      <c r="OI9" s="21">
        <f>Defaults!OI9*Obligors!$G$9*Obligors!$H$9</f>
        <v/>
      </c>
      <c r="OJ9" s="21">
        <f>Defaults!OJ9*Obligors!$G$9*Obligors!$H$9</f>
        <v/>
      </c>
      <c r="OK9" s="21">
        <f>Defaults!OK9*Obligors!$G$9*Obligors!$H$9</f>
        <v/>
      </c>
      <c r="OL9" s="21">
        <f>Defaults!OL9*Obligors!$G$9*Obligors!$H$9</f>
        <v/>
      </c>
      <c r="OM9" s="21">
        <f>Defaults!OM9*Obligors!$G$9*Obligors!$H$9</f>
        <v/>
      </c>
      <c r="ON9" s="21">
        <f>Defaults!ON9*Obligors!$G$9*Obligors!$H$9</f>
        <v/>
      </c>
      <c r="OO9" s="21">
        <f>Defaults!OO9*Obligors!$G$9*Obligors!$H$9</f>
        <v/>
      </c>
      <c r="OP9" s="21">
        <f>Defaults!OP9*Obligors!$G$9*Obligors!$H$9</f>
        <v/>
      </c>
      <c r="OQ9" s="21">
        <f>Defaults!OQ9*Obligors!$G$9*Obligors!$H$9</f>
        <v/>
      </c>
      <c r="OR9" s="21">
        <f>Defaults!OR9*Obligors!$G$9*Obligors!$H$9</f>
        <v/>
      </c>
      <c r="OS9" s="21">
        <f>Defaults!OS9*Obligors!$G$9*Obligors!$H$9</f>
        <v/>
      </c>
      <c r="OT9" s="21">
        <f>Defaults!OT9*Obligors!$G$9*Obligors!$H$9</f>
        <v/>
      </c>
      <c r="OU9" s="21">
        <f>Defaults!OU9*Obligors!$G$9*Obligors!$H$9</f>
        <v/>
      </c>
      <c r="OV9" s="21">
        <f>Defaults!OV9*Obligors!$G$9*Obligors!$H$9</f>
        <v/>
      </c>
      <c r="OW9" s="21">
        <f>Defaults!OW9*Obligors!$G$9*Obligors!$H$9</f>
        <v/>
      </c>
      <c r="OX9" s="21">
        <f>Defaults!OX9*Obligors!$G$9*Obligors!$H$9</f>
        <v/>
      </c>
      <c r="OY9" s="21">
        <f>Defaults!OY9*Obligors!$G$9*Obligors!$H$9</f>
        <v/>
      </c>
      <c r="OZ9" s="21">
        <f>Defaults!OZ9*Obligors!$G$9*Obligors!$H$9</f>
        <v/>
      </c>
      <c r="PA9" s="21">
        <f>Defaults!PA9*Obligors!$G$9*Obligors!$H$9</f>
        <v/>
      </c>
      <c r="PB9" s="21">
        <f>Defaults!PB9*Obligors!$G$9*Obligors!$H$9</f>
        <v/>
      </c>
      <c r="PC9" s="21">
        <f>Defaults!PC9*Obligors!$G$9*Obligors!$H$9</f>
        <v/>
      </c>
      <c r="PD9" s="21">
        <f>Defaults!PD9*Obligors!$G$9*Obligors!$H$9</f>
        <v/>
      </c>
      <c r="PE9" s="21">
        <f>Defaults!PE9*Obligors!$G$9*Obligors!$H$9</f>
        <v/>
      </c>
      <c r="PF9" s="21">
        <f>Defaults!PF9*Obligors!$G$9*Obligors!$H$9</f>
        <v/>
      </c>
      <c r="PG9" s="21">
        <f>Defaults!PG9*Obligors!$G$9*Obligors!$H$9</f>
        <v/>
      </c>
      <c r="PH9" s="21">
        <f>Defaults!PH9*Obligors!$G$9*Obligors!$H$9</f>
        <v/>
      </c>
      <c r="PI9" s="21">
        <f>Defaults!PI9*Obligors!$G$9*Obligors!$H$9</f>
        <v/>
      </c>
      <c r="PJ9" s="21">
        <f>Defaults!PJ9*Obligors!$G$9*Obligors!$H$9</f>
        <v/>
      </c>
      <c r="PK9" s="21">
        <f>Defaults!PK9*Obligors!$G$9*Obligors!$H$9</f>
        <v/>
      </c>
      <c r="PL9" s="21">
        <f>Defaults!PL9*Obligors!$G$9*Obligors!$H$9</f>
        <v/>
      </c>
      <c r="PM9" s="21">
        <f>Defaults!PM9*Obligors!$G$9*Obligors!$H$9</f>
        <v/>
      </c>
      <c r="PN9" s="21">
        <f>Defaults!PN9*Obligors!$G$9*Obligors!$H$9</f>
        <v/>
      </c>
      <c r="PO9" s="21">
        <f>Defaults!PO9*Obligors!$G$9*Obligors!$H$9</f>
        <v/>
      </c>
      <c r="PP9" s="21">
        <f>Defaults!PP9*Obligors!$G$9*Obligors!$H$9</f>
        <v/>
      </c>
      <c r="PQ9" s="21">
        <f>Defaults!PQ9*Obligors!$G$9*Obligors!$H$9</f>
        <v/>
      </c>
      <c r="PR9" s="21">
        <f>Defaults!PR9*Obligors!$G$9*Obligors!$H$9</f>
        <v/>
      </c>
      <c r="PS9" s="21">
        <f>Defaults!PS9*Obligors!$G$9*Obligors!$H$9</f>
        <v/>
      </c>
      <c r="PT9" s="21">
        <f>Defaults!PT9*Obligors!$G$9*Obligors!$H$9</f>
        <v/>
      </c>
      <c r="PU9" s="21">
        <f>Defaults!PU9*Obligors!$G$9*Obligors!$H$9</f>
        <v/>
      </c>
      <c r="PV9" s="21">
        <f>Defaults!PV9*Obligors!$G$9*Obligors!$H$9</f>
        <v/>
      </c>
      <c r="PW9" s="21">
        <f>Defaults!PW9*Obligors!$G$9*Obligors!$H$9</f>
        <v/>
      </c>
      <c r="PX9" s="21">
        <f>Defaults!PX9*Obligors!$G$9*Obligors!$H$9</f>
        <v/>
      </c>
      <c r="PY9" s="21">
        <f>Defaults!PY9*Obligors!$G$9*Obligors!$H$9</f>
        <v/>
      </c>
      <c r="PZ9" s="21">
        <f>Defaults!PZ9*Obligors!$G$9*Obligors!$H$9</f>
        <v/>
      </c>
      <c r="QA9" s="21">
        <f>Defaults!QA9*Obligors!$G$9*Obligors!$H$9</f>
        <v/>
      </c>
      <c r="QB9" s="21">
        <f>Defaults!QB9*Obligors!$G$9*Obligors!$H$9</f>
        <v/>
      </c>
      <c r="QC9" s="21">
        <f>Defaults!QC9*Obligors!$G$9*Obligors!$H$9</f>
        <v/>
      </c>
      <c r="QD9" s="21">
        <f>Defaults!QD9*Obligors!$G$9*Obligors!$H$9</f>
        <v/>
      </c>
      <c r="QE9" s="21">
        <f>Defaults!QE9*Obligors!$G$9*Obligors!$H$9</f>
        <v/>
      </c>
      <c r="QF9" s="21">
        <f>Defaults!QF9*Obligors!$G$9*Obligors!$H$9</f>
        <v/>
      </c>
      <c r="QG9" s="21">
        <f>Defaults!QG9*Obligors!$G$9*Obligors!$H$9</f>
        <v/>
      </c>
      <c r="QH9" s="21">
        <f>Defaults!QH9*Obligors!$G$9*Obligors!$H$9</f>
        <v/>
      </c>
      <c r="QI9" s="21">
        <f>Defaults!QI9*Obligors!$G$9*Obligors!$H$9</f>
        <v/>
      </c>
      <c r="QJ9" s="21">
        <f>Defaults!QJ9*Obligors!$G$9*Obligors!$H$9</f>
        <v/>
      </c>
      <c r="QK9" s="21">
        <f>Defaults!QK9*Obligors!$G$9*Obligors!$H$9</f>
        <v/>
      </c>
      <c r="QL9" s="21">
        <f>Defaults!QL9*Obligors!$G$9*Obligors!$H$9</f>
        <v/>
      </c>
      <c r="QM9" s="21">
        <f>Defaults!QM9*Obligors!$G$9*Obligors!$H$9</f>
        <v/>
      </c>
      <c r="QN9" s="21">
        <f>Defaults!QN9*Obligors!$G$9*Obligors!$H$9</f>
        <v/>
      </c>
      <c r="QO9" s="21">
        <f>Defaults!QO9*Obligors!$G$9*Obligors!$H$9</f>
        <v/>
      </c>
      <c r="QP9" s="21">
        <f>Defaults!QP9*Obligors!$G$9*Obligors!$H$9</f>
        <v/>
      </c>
      <c r="QQ9" s="21">
        <f>Defaults!QQ9*Obligors!$G$9*Obligors!$H$9</f>
        <v/>
      </c>
      <c r="QR9" s="21">
        <f>Defaults!QR9*Obligors!$G$9*Obligors!$H$9</f>
        <v/>
      </c>
      <c r="QS9" s="21">
        <f>Defaults!QS9*Obligors!$G$9*Obligors!$H$9</f>
        <v/>
      </c>
      <c r="QT9" s="21">
        <f>Defaults!QT9*Obligors!$G$9*Obligors!$H$9</f>
        <v/>
      </c>
      <c r="QU9" s="21">
        <f>Defaults!QU9*Obligors!$G$9*Obligors!$H$9</f>
        <v/>
      </c>
      <c r="QV9" s="21">
        <f>Defaults!QV9*Obligors!$G$9*Obligors!$H$9</f>
        <v/>
      </c>
      <c r="QW9" s="21">
        <f>Defaults!QW9*Obligors!$G$9*Obligors!$H$9</f>
        <v/>
      </c>
      <c r="QX9" s="21">
        <f>Defaults!QX9*Obligors!$G$9*Obligors!$H$9</f>
        <v/>
      </c>
      <c r="QY9" s="21">
        <f>Defaults!QY9*Obligors!$G$9*Obligors!$H$9</f>
        <v/>
      </c>
      <c r="QZ9" s="21">
        <f>Defaults!QZ9*Obligors!$G$9*Obligors!$H$9</f>
        <v/>
      </c>
      <c r="RA9" s="21">
        <f>Defaults!RA9*Obligors!$G$9*Obligors!$H$9</f>
        <v/>
      </c>
      <c r="RB9" s="21">
        <f>Defaults!RB9*Obligors!$G$9*Obligors!$H$9</f>
        <v/>
      </c>
      <c r="RC9" s="21">
        <f>Defaults!RC9*Obligors!$G$9*Obligors!$H$9</f>
        <v/>
      </c>
      <c r="RD9" s="21">
        <f>Defaults!RD9*Obligors!$G$9*Obligors!$H$9</f>
        <v/>
      </c>
      <c r="RE9" s="21">
        <f>Defaults!RE9*Obligors!$G$9*Obligors!$H$9</f>
        <v/>
      </c>
      <c r="RF9" s="21">
        <f>Defaults!RF9*Obligors!$G$9*Obligors!$H$9</f>
        <v/>
      </c>
      <c r="RG9" s="21">
        <f>Defaults!RG9*Obligors!$G$9*Obligors!$H$9</f>
        <v/>
      </c>
      <c r="RH9" s="21">
        <f>Defaults!RH9*Obligors!$G$9*Obligors!$H$9</f>
        <v/>
      </c>
      <c r="RI9" s="21">
        <f>Defaults!RI9*Obligors!$G$9*Obligors!$H$9</f>
        <v/>
      </c>
      <c r="RJ9" s="21">
        <f>Defaults!RJ9*Obligors!$G$9*Obligors!$H$9</f>
        <v/>
      </c>
      <c r="RK9" s="21">
        <f>Defaults!RK9*Obligors!$G$9*Obligors!$H$9</f>
        <v/>
      </c>
      <c r="RL9" s="21">
        <f>Defaults!RL9*Obligors!$G$9*Obligors!$H$9</f>
        <v/>
      </c>
      <c r="RM9" s="21">
        <f>Defaults!RM9*Obligors!$G$9*Obligors!$H$9</f>
        <v/>
      </c>
      <c r="RN9" s="21">
        <f>Defaults!RN9*Obligors!$G$9*Obligors!$H$9</f>
        <v/>
      </c>
      <c r="RO9" s="21">
        <f>Defaults!RO9*Obligors!$G$9*Obligors!$H$9</f>
        <v/>
      </c>
      <c r="RP9" s="21">
        <f>Defaults!RP9*Obligors!$G$9*Obligors!$H$9</f>
        <v/>
      </c>
      <c r="RQ9" s="21">
        <f>Defaults!RQ9*Obligors!$G$9*Obligors!$H$9</f>
        <v/>
      </c>
      <c r="RR9" s="21">
        <f>Defaults!RR9*Obligors!$G$9*Obligors!$H$9</f>
        <v/>
      </c>
      <c r="RS9" s="21">
        <f>Defaults!RS9*Obligors!$G$9*Obligors!$H$9</f>
        <v/>
      </c>
      <c r="RT9" s="21">
        <f>Defaults!RT9*Obligors!$G$9*Obligors!$H$9</f>
        <v/>
      </c>
      <c r="RU9" s="21">
        <f>Defaults!RU9*Obligors!$G$9*Obligors!$H$9</f>
        <v/>
      </c>
      <c r="RV9" s="21">
        <f>Defaults!RV9*Obligors!$G$9*Obligors!$H$9</f>
        <v/>
      </c>
      <c r="RW9" s="21">
        <f>Defaults!RW9*Obligors!$G$9*Obligors!$H$9</f>
        <v/>
      </c>
      <c r="RX9" s="21">
        <f>Defaults!RX9*Obligors!$G$9*Obligors!$H$9</f>
        <v/>
      </c>
      <c r="RY9" s="21">
        <f>Defaults!RY9*Obligors!$G$9*Obligors!$H$9</f>
        <v/>
      </c>
      <c r="RZ9" s="21">
        <f>Defaults!RZ9*Obligors!$G$9*Obligors!$H$9</f>
        <v/>
      </c>
      <c r="SA9" s="21">
        <f>Defaults!SA9*Obligors!$G$9*Obligors!$H$9</f>
        <v/>
      </c>
      <c r="SB9" s="21">
        <f>Defaults!SB9*Obligors!$G$9*Obligors!$H$9</f>
        <v/>
      </c>
      <c r="SC9" s="21">
        <f>Defaults!SC9*Obligors!$G$9*Obligors!$H$9</f>
        <v/>
      </c>
      <c r="SD9" s="21">
        <f>Defaults!SD9*Obligors!$G$9*Obligors!$H$9</f>
        <v/>
      </c>
      <c r="SE9" s="21">
        <f>Defaults!SE9*Obligors!$G$9*Obligors!$H$9</f>
        <v/>
      </c>
      <c r="SF9" s="21">
        <f>Defaults!SF9*Obligors!$G$9*Obligors!$H$9</f>
        <v/>
      </c>
      <c r="SG9" s="21">
        <f>Defaults!SG9*Obligors!$G$9*Obligors!$H$9</f>
        <v/>
      </c>
    </row>
    <row r="10">
      <c r="A10" s="17" t="inlineStr">
        <is>
          <t>OBL-009</t>
        </is>
      </c>
      <c r="B10" s="21">
        <f>Defaults!B10*Obligors!$G$10*Obligors!$H$10</f>
        <v/>
      </c>
      <c r="C10" s="21">
        <f>Defaults!C10*Obligors!$G$10*Obligors!$H$10</f>
        <v/>
      </c>
      <c r="D10" s="21">
        <f>Defaults!D10*Obligors!$G$10*Obligors!$H$10</f>
        <v/>
      </c>
      <c r="E10" s="21">
        <f>Defaults!E10*Obligors!$G$10*Obligors!$H$10</f>
        <v/>
      </c>
      <c r="F10" s="21">
        <f>Defaults!F10*Obligors!$G$10*Obligors!$H$10</f>
        <v/>
      </c>
      <c r="G10" s="21">
        <f>Defaults!G10*Obligors!$G$10*Obligors!$H$10</f>
        <v/>
      </c>
      <c r="H10" s="21">
        <f>Defaults!H10*Obligors!$G$10*Obligors!$H$10</f>
        <v/>
      </c>
      <c r="I10" s="21">
        <f>Defaults!I10*Obligors!$G$10*Obligors!$H$10</f>
        <v/>
      </c>
      <c r="J10" s="21">
        <f>Defaults!J10*Obligors!$G$10*Obligors!$H$10</f>
        <v/>
      </c>
      <c r="K10" s="21">
        <f>Defaults!K10*Obligors!$G$10*Obligors!$H$10</f>
        <v/>
      </c>
      <c r="L10" s="21">
        <f>Defaults!L10*Obligors!$G$10*Obligors!$H$10</f>
        <v/>
      </c>
      <c r="M10" s="21">
        <f>Defaults!M10*Obligors!$G$10*Obligors!$H$10</f>
        <v/>
      </c>
      <c r="N10" s="21">
        <f>Defaults!N10*Obligors!$G$10*Obligors!$H$10</f>
        <v/>
      </c>
      <c r="O10" s="21">
        <f>Defaults!O10*Obligors!$G$10*Obligors!$H$10</f>
        <v/>
      </c>
      <c r="P10" s="21">
        <f>Defaults!P10*Obligors!$G$10*Obligors!$H$10</f>
        <v/>
      </c>
      <c r="Q10" s="21">
        <f>Defaults!Q10*Obligors!$G$10*Obligors!$H$10</f>
        <v/>
      </c>
      <c r="R10" s="21">
        <f>Defaults!R10*Obligors!$G$10*Obligors!$H$10</f>
        <v/>
      </c>
      <c r="S10" s="21">
        <f>Defaults!S10*Obligors!$G$10*Obligors!$H$10</f>
        <v/>
      </c>
      <c r="T10" s="21">
        <f>Defaults!T10*Obligors!$G$10*Obligors!$H$10</f>
        <v/>
      </c>
      <c r="U10" s="21">
        <f>Defaults!U10*Obligors!$G$10*Obligors!$H$10</f>
        <v/>
      </c>
      <c r="V10" s="21">
        <f>Defaults!V10*Obligors!$G$10*Obligors!$H$10</f>
        <v/>
      </c>
      <c r="W10" s="21">
        <f>Defaults!W10*Obligors!$G$10*Obligors!$H$10</f>
        <v/>
      </c>
      <c r="X10" s="21">
        <f>Defaults!X10*Obligors!$G$10*Obligors!$H$10</f>
        <v/>
      </c>
      <c r="Y10" s="21">
        <f>Defaults!Y10*Obligors!$G$10*Obligors!$H$10</f>
        <v/>
      </c>
      <c r="Z10" s="21">
        <f>Defaults!Z10*Obligors!$G$10*Obligors!$H$10</f>
        <v/>
      </c>
      <c r="AA10" s="21">
        <f>Defaults!AA10*Obligors!$G$10*Obligors!$H$10</f>
        <v/>
      </c>
      <c r="AB10" s="21">
        <f>Defaults!AB10*Obligors!$G$10*Obligors!$H$10</f>
        <v/>
      </c>
      <c r="AC10" s="21">
        <f>Defaults!AC10*Obligors!$G$10*Obligors!$H$10</f>
        <v/>
      </c>
      <c r="AD10" s="21">
        <f>Defaults!AD10*Obligors!$G$10*Obligors!$H$10</f>
        <v/>
      </c>
      <c r="AE10" s="21">
        <f>Defaults!AE10*Obligors!$G$10*Obligors!$H$10</f>
        <v/>
      </c>
      <c r="AF10" s="21">
        <f>Defaults!AF10*Obligors!$G$10*Obligors!$H$10</f>
        <v/>
      </c>
      <c r="AG10" s="21">
        <f>Defaults!AG10*Obligors!$G$10*Obligors!$H$10</f>
        <v/>
      </c>
      <c r="AH10" s="21">
        <f>Defaults!AH10*Obligors!$G$10*Obligors!$H$10</f>
        <v/>
      </c>
      <c r="AI10" s="21">
        <f>Defaults!AI10*Obligors!$G$10*Obligors!$H$10</f>
        <v/>
      </c>
      <c r="AJ10" s="21">
        <f>Defaults!AJ10*Obligors!$G$10*Obligors!$H$10</f>
        <v/>
      </c>
      <c r="AK10" s="21">
        <f>Defaults!AK10*Obligors!$G$10*Obligors!$H$10</f>
        <v/>
      </c>
      <c r="AL10" s="21">
        <f>Defaults!AL10*Obligors!$G$10*Obligors!$H$10</f>
        <v/>
      </c>
      <c r="AM10" s="21">
        <f>Defaults!AM10*Obligors!$G$10*Obligors!$H$10</f>
        <v/>
      </c>
      <c r="AN10" s="21">
        <f>Defaults!AN10*Obligors!$G$10*Obligors!$H$10</f>
        <v/>
      </c>
      <c r="AO10" s="21">
        <f>Defaults!AO10*Obligors!$G$10*Obligors!$H$10</f>
        <v/>
      </c>
      <c r="AP10" s="21">
        <f>Defaults!AP10*Obligors!$G$10*Obligors!$H$10</f>
        <v/>
      </c>
      <c r="AQ10" s="21">
        <f>Defaults!AQ10*Obligors!$G$10*Obligors!$H$10</f>
        <v/>
      </c>
      <c r="AR10" s="21">
        <f>Defaults!AR10*Obligors!$G$10*Obligors!$H$10</f>
        <v/>
      </c>
      <c r="AS10" s="21">
        <f>Defaults!AS10*Obligors!$G$10*Obligors!$H$10</f>
        <v/>
      </c>
      <c r="AT10" s="21">
        <f>Defaults!AT10*Obligors!$G$10*Obligors!$H$10</f>
        <v/>
      </c>
      <c r="AU10" s="21">
        <f>Defaults!AU10*Obligors!$G$10*Obligors!$H$10</f>
        <v/>
      </c>
      <c r="AV10" s="21">
        <f>Defaults!AV10*Obligors!$G$10*Obligors!$H$10</f>
        <v/>
      </c>
      <c r="AW10" s="21">
        <f>Defaults!AW10*Obligors!$G$10*Obligors!$H$10</f>
        <v/>
      </c>
      <c r="AX10" s="21">
        <f>Defaults!AX10*Obligors!$G$10*Obligors!$H$10</f>
        <v/>
      </c>
      <c r="AY10" s="21">
        <f>Defaults!AY10*Obligors!$G$10*Obligors!$H$10</f>
        <v/>
      </c>
      <c r="AZ10" s="21">
        <f>Defaults!AZ10*Obligors!$G$10*Obligors!$H$10</f>
        <v/>
      </c>
      <c r="BA10" s="21">
        <f>Defaults!BA10*Obligors!$G$10*Obligors!$H$10</f>
        <v/>
      </c>
      <c r="BB10" s="21">
        <f>Defaults!BB10*Obligors!$G$10*Obligors!$H$10</f>
        <v/>
      </c>
      <c r="BC10" s="21">
        <f>Defaults!BC10*Obligors!$G$10*Obligors!$H$10</f>
        <v/>
      </c>
      <c r="BD10" s="21">
        <f>Defaults!BD10*Obligors!$G$10*Obligors!$H$10</f>
        <v/>
      </c>
      <c r="BE10" s="21">
        <f>Defaults!BE10*Obligors!$G$10*Obligors!$H$10</f>
        <v/>
      </c>
      <c r="BF10" s="21">
        <f>Defaults!BF10*Obligors!$G$10*Obligors!$H$10</f>
        <v/>
      </c>
      <c r="BG10" s="21">
        <f>Defaults!BG10*Obligors!$G$10*Obligors!$H$10</f>
        <v/>
      </c>
      <c r="BH10" s="21">
        <f>Defaults!BH10*Obligors!$G$10*Obligors!$H$10</f>
        <v/>
      </c>
      <c r="BI10" s="21">
        <f>Defaults!BI10*Obligors!$G$10*Obligors!$H$10</f>
        <v/>
      </c>
      <c r="BJ10" s="21">
        <f>Defaults!BJ10*Obligors!$G$10*Obligors!$H$10</f>
        <v/>
      </c>
      <c r="BK10" s="21">
        <f>Defaults!BK10*Obligors!$G$10*Obligors!$H$10</f>
        <v/>
      </c>
      <c r="BL10" s="21">
        <f>Defaults!BL10*Obligors!$G$10*Obligors!$H$10</f>
        <v/>
      </c>
      <c r="BM10" s="21">
        <f>Defaults!BM10*Obligors!$G$10*Obligors!$H$10</f>
        <v/>
      </c>
      <c r="BN10" s="21">
        <f>Defaults!BN10*Obligors!$G$10*Obligors!$H$10</f>
        <v/>
      </c>
      <c r="BO10" s="21">
        <f>Defaults!BO10*Obligors!$G$10*Obligors!$H$10</f>
        <v/>
      </c>
      <c r="BP10" s="21">
        <f>Defaults!BP10*Obligors!$G$10*Obligors!$H$10</f>
        <v/>
      </c>
      <c r="BQ10" s="21">
        <f>Defaults!BQ10*Obligors!$G$10*Obligors!$H$10</f>
        <v/>
      </c>
      <c r="BR10" s="21">
        <f>Defaults!BR10*Obligors!$G$10*Obligors!$H$10</f>
        <v/>
      </c>
      <c r="BS10" s="21">
        <f>Defaults!BS10*Obligors!$G$10*Obligors!$H$10</f>
        <v/>
      </c>
      <c r="BT10" s="21">
        <f>Defaults!BT10*Obligors!$G$10*Obligors!$H$10</f>
        <v/>
      </c>
      <c r="BU10" s="21">
        <f>Defaults!BU10*Obligors!$G$10*Obligors!$H$10</f>
        <v/>
      </c>
      <c r="BV10" s="21">
        <f>Defaults!BV10*Obligors!$G$10*Obligors!$H$10</f>
        <v/>
      </c>
      <c r="BW10" s="21">
        <f>Defaults!BW10*Obligors!$G$10*Obligors!$H$10</f>
        <v/>
      </c>
      <c r="BX10" s="21">
        <f>Defaults!BX10*Obligors!$G$10*Obligors!$H$10</f>
        <v/>
      </c>
      <c r="BY10" s="21">
        <f>Defaults!BY10*Obligors!$G$10*Obligors!$H$10</f>
        <v/>
      </c>
      <c r="BZ10" s="21">
        <f>Defaults!BZ10*Obligors!$G$10*Obligors!$H$10</f>
        <v/>
      </c>
      <c r="CA10" s="21">
        <f>Defaults!CA10*Obligors!$G$10*Obligors!$H$10</f>
        <v/>
      </c>
      <c r="CB10" s="21">
        <f>Defaults!CB10*Obligors!$G$10*Obligors!$H$10</f>
        <v/>
      </c>
      <c r="CC10" s="21">
        <f>Defaults!CC10*Obligors!$G$10*Obligors!$H$10</f>
        <v/>
      </c>
      <c r="CD10" s="21">
        <f>Defaults!CD10*Obligors!$G$10*Obligors!$H$10</f>
        <v/>
      </c>
      <c r="CE10" s="21">
        <f>Defaults!CE10*Obligors!$G$10*Obligors!$H$10</f>
        <v/>
      </c>
      <c r="CF10" s="21">
        <f>Defaults!CF10*Obligors!$G$10*Obligors!$H$10</f>
        <v/>
      </c>
      <c r="CG10" s="21">
        <f>Defaults!CG10*Obligors!$G$10*Obligors!$H$10</f>
        <v/>
      </c>
      <c r="CH10" s="21">
        <f>Defaults!CH10*Obligors!$G$10*Obligors!$H$10</f>
        <v/>
      </c>
      <c r="CI10" s="21">
        <f>Defaults!CI10*Obligors!$G$10*Obligors!$H$10</f>
        <v/>
      </c>
      <c r="CJ10" s="21">
        <f>Defaults!CJ10*Obligors!$G$10*Obligors!$H$10</f>
        <v/>
      </c>
      <c r="CK10" s="21">
        <f>Defaults!CK10*Obligors!$G$10*Obligors!$H$10</f>
        <v/>
      </c>
      <c r="CL10" s="21">
        <f>Defaults!CL10*Obligors!$G$10*Obligors!$H$10</f>
        <v/>
      </c>
      <c r="CM10" s="21">
        <f>Defaults!CM10*Obligors!$G$10*Obligors!$H$10</f>
        <v/>
      </c>
      <c r="CN10" s="21">
        <f>Defaults!CN10*Obligors!$G$10*Obligors!$H$10</f>
        <v/>
      </c>
      <c r="CO10" s="21">
        <f>Defaults!CO10*Obligors!$G$10*Obligors!$H$10</f>
        <v/>
      </c>
      <c r="CP10" s="21">
        <f>Defaults!CP10*Obligors!$G$10*Obligors!$H$10</f>
        <v/>
      </c>
      <c r="CQ10" s="21">
        <f>Defaults!CQ10*Obligors!$G$10*Obligors!$H$10</f>
        <v/>
      </c>
      <c r="CR10" s="21">
        <f>Defaults!CR10*Obligors!$G$10*Obligors!$H$10</f>
        <v/>
      </c>
      <c r="CS10" s="21">
        <f>Defaults!CS10*Obligors!$G$10*Obligors!$H$10</f>
        <v/>
      </c>
      <c r="CT10" s="21">
        <f>Defaults!CT10*Obligors!$G$10*Obligors!$H$10</f>
        <v/>
      </c>
      <c r="CU10" s="21">
        <f>Defaults!CU10*Obligors!$G$10*Obligors!$H$10</f>
        <v/>
      </c>
      <c r="CV10" s="21">
        <f>Defaults!CV10*Obligors!$G$10*Obligors!$H$10</f>
        <v/>
      </c>
      <c r="CW10" s="21">
        <f>Defaults!CW10*Obligors!$G$10*Obligors!$H$10</f>
        <v/>
      </c>
      <c r="CX10" s="21">
        <f>Defaults!CX10*Obligors!$G$10*Obligors!$H$10</f>
        <v/>
      </c>
      <c r="CY10" s="21">
        <f>Defaults!CY10*Obligors!$G$10*Obligors!$H$10</f>
        <v/>
      </c>
      <c r="CZ10" s="21">
        <f>Defaults!CZ10*Obligors!$G$10*Obligors!$H$10</f>
        <v/>
      </c>
      <c r="DA10" s="21">
        <f>Defaults!DA10*Obligors!$G$10*Obligors!$H$10</f>
        <v/>
      </c>
      <c r="DB10" s="21">
        <f>Defaults!DB10*Obligors!$G$10*Obligors!$H$10</f>
        <v/>
      </c>
      <c r="DC10" s="21">
        <f>Defaults!DC10*Obligors!$G$10*Obligors!$H$10</f>
        <v/>
      </c>
      <c r="DD10" s="21">
        <f>Defaults!DD10*Obligors!$G$10*Obligors!$H$10</f>
        <v/>
      </c>
      <c r="DE10" s="21">
        <f>Defaults!DE10*Obligors!$G$10*Obligors!$H$10</f>
        <v/>
      </c>
      <c r="DF10" s="21">
        <f>Defaults!DF10*Obligors!$G$10*Obligors!$H$10</f>
        <v/>
      </c>
      <c r="DG10" s="21">
        <f>Defaults!DG10*Obligors!$G$10*Obligors!$H$10</f>
        <v/>
      </c>
      <c r="DH10" s="21">
        <f>Defaults!DH10*Obligors!$G$10*Obligors!$H$10</f>
        <v/>
      </c>
      <c r="DI10" s="21">
        <f>Defaults!DI10*Obligors!$G$10*Obligors!$H$10</f>
        <v/>
      </c>
      <c r="DJ10" s="21">
        <f>Defaults!DJ10*Obligors!$G$10*Obligors!$H$10</f>
        <v/>
      </c>
      <c r="DK10" s="21">
        <f>Defaults!DK10*Obligors!$G$10*Obligors!$H$10</f>
        <v/>
      </c>
      <c r="DL10" s="21">
        <f>Defaults!DL10*Obligors!$G$10*Obligors!$H$10</f>
        <v/>
      </c>
      <c r="DM10" s="21">
        <f>Defaults!DM10*Obligors!$G$10*Obligors!$H$10</f>
        <v/>
      </c>
      <c r="DN10" s="21">
        <f>Defaults!DN10*Obligors!$G$10*Obligors!$H$10</f>
        <v/>
      </c>
      <c r="DO10" s="21">
        <f>Defaults!DO10*Obligors!$G$10*Obligors!$H$10</f>
        <v/>
      </c>
      <c r="DP10" s="21">
        <f>Defaults!DP10*Obligors!$G$10*Obligors!$H$10</f>
        <v/>
      </c>
      <c r="DQ10" s="21">
        <f>Defaults!DQ10*Obligors!$G$10*Obligors!$H$10</f>
        <v/>
      </c>
      <c r="DR10" s="21">
        <f>Defaults!DR10*Obligors!$G$10*Obligors!$H$10</f>
        <v/>
      </c>
      <c r="DS10" s="21">
        <f>Defaults!DS10*Obligors!$G$10*Obligors!$H$10</f>
        <v/>
      </c>
      <c r="DT10" s="21">
        <f>Defaults!DT10*Obligors!$G$10*Obligors!$H$10</f>
        <v/>
      </c>
      <c r="DU10" s="21">
        <f>Defaults!DU10*Obligors!$G$10*Obligors!$H$10</f>
        <v/>
      </c>
      <c r="DV10" s="21">
        <f>Defaults!DV10*Obligors!$G$10*Obligors!$H$10</f>
        <v/>
      </c>
      <c r="DW10" s="21">
        <f>Defaults!DW10*Obligors!$G$10*Obligors!$H$10</f>
        <v/>
      </c>
      <c r="DX10" s="21">
        <f>Defaults!DX10*Obligors!$G$10*Obligors!$H$10</f>
        <v/>
      </c>
      <c r="DY10" s="21">
        <f>Defaults!DY10*Obligors!$G$10*Obligors!$H$10</f>
        <v/>
      </c>
      <c r="DZ10" s="21">
        <f>Defaults!DZ10*Obligors!$G$10*Obligors!$H$10</f>
        <v/>
      </c>
      <c r="EA10" s="21">
        <f>Defaults!EA10*Obligors!$G$10*Obligors!$H$10</f>
        <v/>
      </c>
      <c r="EB10" s="21">
        <f>Defaults!EB10*Obligors!$G$10*Obligors!$H$10</f>
        <v/>
      </c>
      <c r="EC10" s="21">
        <f>Defaults!EC10*Obligors!$G$10*Obligors!$H$10</f>
        <v/>
      </c>
      <c r="ED10" s="21">
        <f>Defaults!ED10*Obligors!$G$10*Obligors!$H$10</f>
        <v/>
      </c>
      <c r="EE10" s="21">
        <f>Defaults!EE10*Obligors!$G$10*Obligors!$H$10</f>
        <v/>
      </c>
      <c r="EF10" s="21">
        <f>Defaults!EF10*Obligors!$G$10*Obligors!$H$10</f>
        <v/>
      </c>
      <c r="EG10" s="21">
        <f>Defaults!EG10*Obligors!$G$10*Obligors!$H$10</f>
        <v/>
      </c>
      <c r="EH10" s="21">
        <f>Defaults!EH10*Obligors!$G$10*Obligors!$H$10</f>
        <v/>
      </c>
      <c r="EI10" s="21">
        <f>Defaults!EI10*Obligors!$G$10*Obligors!$H$10</f>
        <v/>
      </c>
      <c r="EJ10" s="21">
        <f>Defaults!EJ10*Obligors!$G$10*Obligors!$H$10</f>
        <v/>
      </c>
      <c r="EK10" s="21">
        <f>Defaults!EK10*Obligors!$G$10*Obligors!$H$10</f>
        <v/>
      </c>
      <c r="EL10" s="21">
        <f>Defaults!EL10*Obligors!$G$10*Obligors!$H$10</f>
        <v/>
      </c>
      <c r="EM10" s="21">
        <f>Defaults!EM10*Obligors!$G$10*Obligors!$H$10</f>
        <v/>
      </c>
      <c r="EN10" s="21">
        <f>Defaults!EN10*Obligors!$G$10*Obligors!$H$10</f>
        <v/>
      </c>
      <c r="EO10" s="21">
        <f>Defaults!EO10*Obligors!$G$10*Obligors!$H$10</f>
        <v/>
      </c>
      <c r="EP10" s="21">
        <f>Defaults!EP10*Obligors!$G$10*Obligors!$H$10</f>
        <v/>
      </c>
      <c r="EQ10" s="21">
        <f>Defaults!EQ10*Obligors!$G$10*Obligors!$H$10</f>
        <v/>
      </c>
      <c r="ER10" s="21">
        <f>Defaults!ER10*Obligors!$G$10*Obligors!$H$10</f>
        <v/>
      </c>
      <c r="ES10" s="21">
        <f>Defaults!ES10*Obligors!$G$10*Obligors!$H$10</f>
        <v/>
      </c>
      <c r="ET10" s="21">
        <f>Defaults!ET10*Obligors!$G$10*Obligors!$H$10</f>
        <v/>
      </c>
      <c r="EU10" s="21">
        <f>Defaults!EU10*Obligors!$G$10*Obligors!$H$10</f>
        <v/>
      </c>
      <c r="EV10" s="21">
        <f>Defaults!EV10*Obligors!$G$10*Obligors!$H$10</f>
        <v/>
      </c>
      <c r="EW10" s="21">
        <f>Defaults!EW10*Obligors!$G$10*Obligors!$H$10</f>
        <v/>
      </c>
      <c r="EX10" s="21">
        <f>Defaults!EX10*Obligors!$G$10*Obligors!$H$10</f>
        <v/>
      </c>
      <c r="EY10" s="21">
        <f>Defaults!EY10*Obligors!$G$10*Obligors!$H$10</f>
        <v/>
      </c>
      <c r="EZ10" s="21">
        <f>Defaults!EZ10*Obligors!$G$10*Obligors!$H$10</f>
        <v/>
      </c>
      <c r="FA10" s="21">
        <f>Defaults!FA10*Obligors!$G$10*Obligors!$H$10</f>
        <v/>
      </c>
      <c r="FB10" s="21">
        <f>Defaults!FB10*Obligors!$G$10*Obligors!$H$10</f>
        <v/>
      </c>
      <c r="FC10" s="21">
        <f>Defaults!FC10*Obligors!$G$10*Obligors!$H$10</f>
        <v/>
      </c>
      <c r="FD10" s="21">
        <f>Defaults!FD10*Obligors!$G$10*Obligors!$H$10</f>
        <v/>
      </c>
      <c r="FE10" s="21">
        <f>Defaults!FE10*Obligors!$G$10*Obligors!$H$10</f>
        <v/>
      </c>
      <c r="FF10" s="21">
        <f>Defaults!FF10*Obligors!$G$10*Obligors!$H$10</f>
        <v/>
      </c>
      <c r="FG10" s="21">
        <f>Defaults!FG10*Obligors!$G$10*Obligors!$H$10</f>
        <v/>
      </c>
      <c r="FH10" s="21">
        <f>Defaults!FH10*Obligors!$G$10*Obligors!$H$10</f>
        <v/>
      </c>
      <c r="FI10" s="21">
        <f>Defaults!FI10*Obligors!$G$10*Obligors!$H$10</f>
        <v/>
      </c>
      <c r="FJ10" s="21">
        <f>Defaults!FJ10*Obligors!$G$10*Obligors!$H$10</f>
        <v/>
      </c>
      <c r="FK10" s="21">
        <f>Defaults!FK10*Obligors!$G$10*Obligors!$H$10</f>
        <v/>
      </c>
      <c r="FL10" s="21">
        <f>Defaults!FL10*Obligors!$G$10*Obligors!$H$10</f>
        <v/>
      </c>
      <c r="FM10" s="21">
        <f>Defaults!FM10*Obligors!$G$10*Obligors!$H$10</f>
        <v/>
      </c>
      <c r="FN10" s="21">
        <f>Defaults!FN10*Obligors!$G$10*Obligors!$H$10</f>
        <v/>
      </c>
      <c r="FO10" s="21">
        <f>Defaults!FO10*Obligors!$G$10*Obligors!$H$10</f>
        <v/>
      </c>
      <c r="FP10" s="21">
        <f>Defaults!FP10*Obligors!$G$10*Obligors!$H$10</f>
        <v/>
      </c>
      <c r="FQ10" s="21">
        <f>Defaults!FQ10*Obligors!$G$10*Obligors!$H$10</f>
        <v/>
      </c>
      <c r="FR10" s="21">
        <f>Defaults!FR10*Obligors!$G$10*Obligors!$H$10</f>
        <v/>
      </c>
      <c r="FS10" s="21">
        <f>Defaults!FS10*Obligors!$G$10*Obligors!$H$10</f>
        <v/>
      </c>
      <c r="FT10" s="21">
        <f>Defaults!FT10*Obligors!$G$10*Obligors!$H$10</f>
        <v/>
      </c>
      <c r="FU10" s="21">
        <f>Defaults!FU10*Obligors!$G$10*Obligors!$H$10</f>
        <v/>
      </c>
      <c r="FV10" s="21">
        <f>Defaults!FV10*Obligors!$G$10*Obligors!$H$10</f>
        <v/>
      </c>
      <c r="FW10" s="21">
        <f>Defaults!FW10*Obligors!$G$10*Obligors!$H$10</f>
        <v/>
      </c>
      <c r="FX10" s="21">
        <f>Defaults!FX10*Obligors!$G$10*Obligors!$H$10</f>
        <v/>
      </c>
      <c r="FY10" s="21">
        <f>Defaults!FY10*Obligors!$G$10*Obligors!$H$10</f>
        <v/>
      </c>
      <c r="FZ10" s="21">
        <f>Defaults!FZ10*Obligors!$G$10*Obligors!$H$10</f>
        <v/>
      </c>
      <c r="GA10" s="21">
        <f>Defaults!GA10*Obligors!$G$10*Obligors!$H$10</f>
        <v/>
      </c>
      <c r="GB10" s="21">
        <f>Defaults!GB10*Obligors!$G$10*Obligors!$H$10</f>
        <v/>
      </c>
      <c r="GC10" s="21">
        <f>Defaults!GC10*Obligors!$G$10*Obligors!$H$10</f>
        <v/>
      </c>
      <c r="GD10" s="21">
        <f>Defaults!GD10*Obligors!$G$10*Obligors!$H$10</f>
        <v/>
      </c>
      <c r="GE10" s="21">
        <f>Defaults!GE10*Obligors!$G$10*Obligors!$H$10</f>
        <v/>
      </c>
      <c r="GF10" s="21">
        <f>Defaults!GF10*Obligors!$G$10*Obligors!$H$10</f>
        <v/>
      </c>
      <c r="GG10" s="21">
        <f>Defaults!GG10*Obligors!$G$10*Obligors!$H$10</f>
        <v/>
      </c>
      <c r="GH10" s="21">
        <f>Defaults!GH10*Obligors!$G$10*Obligors!$H$10</f>
        <v/>
      </c>
      <c r="GI10" s="21">
        <f>Defaults!GI10*Obligors!$G$10*Obligors!$H$10</f>
        <v/>
      </c>
      <c r="GJ10" s="21">
        <f>Defaults!GJ10*Obligors!$G$10*Obligors!$H$10</f>
        <v/>
      </c>
      <c r="GK10" s="21">
        <f>Defaults!GK10*Obligors!$G$10*Obligors!$H$10</f>
        <v/>
      </c>
      <c r="GL10" s="21">
        <f>Defaults!GL10*Obligors!$G$10*Obligors!$H$10</f>
        <v/>
      </c>
      <c r="GM10" s="21">
        <f>Defaults!GM10*Obligors!$G$10*Obligors!$H$10</f>
        <v/>
      </c>
      <c r="GN10" s="21">
        <f>Defaults!GN10*Obligors!$G$10*Obligors!$H$10</f>
        <v/>
      </c>
      <c r="GO10" s="21">
        <f>Defaults!GO10*Obligors!$G$10*Obligors!$H$10</f>
        <v/>
      </c>
      <c r="GP10" s="21">
        <f>Defaults!GP10*Obligors!$G$10*Obligors!$H$10</f>
        <v/>
      </c>
      <c r="GQ10" s="21">
        <f>Defaults!GQ10*Obligors!$G$10*Obligors!$H$10</f>
        <v/>
      </c>
      <c r="GR10" s="21">
        <f>Defaults!GR10*Obligors!$G$10*Obligors!$H$10</f>
        <v/>
      </c>
      <c r="GS10" s="21">
        <f>Defaults!GS10*Obligors!$G$10*Obligors!$H$10</f>
        <v/>
      </c>
      <c r="GT10" s="21">
        <f>Defaults!GT10*Obligors!$G$10*Obligors!$H$10</f>
        <v/>
      </c>
      <c r="GU10" s="21">
        <f>Defaults!GU10*Obligors!$G$10*Obligors!$H$10</f>
        <v/>
      </c>
      <c r="GV10" s="21">
        <f>Defaults!GV10*Obligors!$G$10*Obligors!$H$10</f>
        <v/>
      </c>
      <c r="GW10" s="21">
        <f>Defaults!GW10*Obligors!$G$10*Obligors!$H$10</f>
        <v/>
      </c>
      <c r="GX10" s="21">
        <f>Defaults!GX10*Obligors!$G$10*Obligors!$H$10</f>
        <v/>
      </c>
      <c r="GY10" s="21">
        <f>Defaults!GY10*Obligors!$G$10*Obligors!$H$10</f>
        <v/>
      </c>
      <c r="GZ10" s="21">
        <f>Defaults!GZ10*Obligors!$G$10*Obligors!$H$10</f>
        <v/>
      </c>
      <c r="HA10" s="21">
        <f>Defaults!HA10*Obligors!$G$10*Obligors!$H$10</f>
        <v/>
      </c>
      <c r="HB10" s="21">
        <f>Defaults!HB10*Obligors!$G$10*Obligors!$H$10</f>
        <v/>
      </c>
      <c r="HC10" s="21">
        <f>Defaults!HC10*Obligors!$G$10*Obligors!$H$10</f>
        <v/>
      </c>
      <c r="HD10" s="21">
        <f>Defaults!HD10*Obligors!$G$10*Obligors!$H$10</f>
        <v/>
      </c>
      <c r="HE10" s="21">
        <f>Defaults!HE10*Obligors!$G$10*Obligors!$H$10</f>
        <v/>
      </c>
      <c r="HF10" s="21">
        <f>Defaults!HF10*Obligors!$G$10*Obligors!$H$10</f>
        <v/>
      </c>
      <c r="HG10" s="21">
        <f>Defaults!HG10*Obligors!$G$10*Obligors!$H$10</f>
        <v/>
      </c>
      <c r="HH10" s="21">
        <f>Defaults!HH10*Obligors!$G$10*Obligors!$H$10</f>
        <v/>
      </c>
      <c r="HI10" s="21">
        <f>Defaults!HI10*Obligors!$G$10*Obligors!$H$10</f>
        <v/>
      </c>
      <c r="HJ10" s="21">
        <f>Defaults!HJ10*Obligors!$G$10*Obligors!$H$10</f>
        <v/>
      </c>
      <c r="HK10" s="21">
        <f>Defaults!HK10*Obligors!$G$10*Obligors!$H$10</f>
        <v/>
      </c>
      <c r="HL10" s="21">
        <f>Defaults!HL10*Obligors!$G$10*Obligors!$H$10</f>
        <v/>
      </c>
      <c r="HM10" s="21">
        <f>Defaults!HM10*Obligors!$G$10*Obligors!$H$10</f>
        <v/>
      </c>
      <c r="HN10" s="21">
        <f>Defaults!HN10*Obligors!$G$10*Obligors!$H$10</f>
        <v/>
      </c>
      <c r="HO10" s="21">
        <f>Defaults!HO10*Obligors!$G$10*Obligors!$H$10</f>
        <v/>
      </c>
      <c r="HP10" s="21">
        <f>Defaults!HP10*Obligors!$G$10*Obligors!$H$10</f>
        <v/>
      </c>
      <c r="HQ10" s="21">
        <f>Defaults!HQ10*Obligors!$G$10*Obligors!$H$10</f>
        <v/>
      </c>
      <c r="HR10" s="21">
        <f>Defaults!HR10*Obligors!$G$10*Obligors!$H$10</f>
        <v/>
      </c>
      <c r="HS10" s="21">
        <f>Defaults!HS10*Obligors!$G$10*Obligors!$H$10</f>
        <v/>
      </c>
      <c r="HT10" s="21">
        <f>Defaults!HT10*Obligors!$G$10*Obligors!$H$10</f>
        <v/>
      </c>
      <c r="HU10" s="21">
        <f>Defaults!HU10*Obligors!$G$10*Obligors!$H$10</f>
        <v/>
      </c>
      <c r="HV10" s="21">
        <f>Defaults!HV10*Obligors!$G$10*Obligors!$H$10</f>
        <v/>
      </c>
      <c r="HW10" s="21">
        <f>Defaults!HW10*Obligors!$G$10*Obligors!$H$10</f>
        <v/>
      </c>
      <c r="HX10" s="21">
        <f>Defaults!HX10*Obligors!$G$10*Obligors!$H$10</f>
        <v/>
      </c>
      <c r="HY10" s="21">
        <f>Defaults!HY10*Obligors!$G$10*Obligors!$H$10</f>
        <v/>
      </c>
      <c r="HZ10" s="21">
        <f>Defaults!HZ10*Obligors!$G$10*Obligors!$H$10</f>
        <v/>
      </c>
      <c r="IA10" s="21">
        <f>Defaults!IA10*Obligors!$G$10*Obligors!$H$10</f>
        <v/>
      </c>
      <c r="IB10" s="21">
        <f>Defaults!IB10*Obligors!$G$10*Obligors!$H$10</f>
        <v/>
      </c>
      <c r="IC10" s="21">
        <f>Defaults!IC10*Obligors!$G$10*Obligors!$H$10</f>
        <v/>
      </c>
      <c r="ID10" s="21">
        <f>Defaults!ID10*Obligors!$G$10*Obligors!$H$10</f>
        <v/>
      </c>
      <c r="IE10" s="21">
        <f>Defaults!IE10*Obligors!$G$10*Obligors!$H$10</f>
        <v/>
      </c>
      <c r="IF10" s="21">
        <f>Defaults!IF10*Obligors!$G$10*Obligors!$H$10</f>
        <v/>
      </c>
      <c r="IG10" s="21">
        <f>Defaults!IG10*Obligors!$G$10*Obligors!$H$10</f>
        <v/>
      </c>
      <c r="IH10" s="21">
        <f>Defaults!IH10*Obligors!$G$10*Obligors!$H$10</f>
        <v/>
      </c>
      <c r="II10" s="21">
        <f>Defaults!II10*Obligors!$G$10*Obligors!$H$10</f>
        <v/>
      </c>
      <c r="IJ10" s="21">
        <f>Defaults!IJ10*Obligors!$G$10*Obligors!$H$10</f>
        <v/>
      </c>
      <c r="IK10" s="21">
        <f>Defaults!IK10*Obligors!$G$10*Obligors!$H$10</f>
        <v/>
      </c>
      <c r="IL10" s="21">
        <f>Defaults!IL10*Obligors!$G$10*Obligors!$H$10</f>
        <v/>
      </c>
      <c r="IM10" s="21">
        <f>Defaults!IM10*Obligors!$G$10*Obligors!$H$10</f>
        <v/>
      </c>
      <c r="IN10" s="21">
        <f>Defaults!IN10*Obligors!$G$10*Obligors!$H$10</f>
        <v/>
      </c>
      <c r="IO10" s="21">
        <f>Defaults!IO10*Obligors!$G$10*Obligors!$H$10</f>
        <v/>
      </c>
      <c r="IP10" s="21">
        <f>Defaults!IP10*Obligors!$G$10*Obligors!$H$10</f>
        <v/>
      </c>
      <c r="IQ10" s="21">
        <f>Defaults!IQ10*Obligors!$G$10*Obligors!$H$10</f>
        <v/>
      </c>
      <c r="IR10" s="21">
        <f>Defaults!IR10*Obligors!$G$10*Obligors!$H$10</f>
        <v/>
      </c>
      <c r="IS10" s="21">
        <f>Defaults!IS10*Obligors!$G$10*Obligors!$H$10</f>
        <v/>
      </c>
      <c r="IT10" s="21">
        <f>Defaults!IT10*Obligors!$G$10*Obligors!$H$10</f>
        <v/>
      </c>
      <c r="IU10" s="21">
        <f>Defaults!IU10*Obligors!$G$10*Obligors!$H$10</f>
        <v/>
      </c>
      <c r="IV10" s="21">
        <f>Defaults!IV10*Obligors!$G$10*Obligors!$H$10</f>
        <v/>
      </c>
      <c r="IW10" s="21">
        <f>Defaults!IW10*Obligors!$G$10*Obligors!$H$10</f>
        <v/>
      </c>
      <c r="IX10" s="21">
        <f>Defaults!IX10*Obligors!$G$10*Obligors!$H$10</f>
        <v/>
      </c>
      <c r="IY10" s="21">
        <f>Defaults!IY10*Obligors!$G$10*Obligors!$H$10</f>
        <v/>
      </c>
      <c r="IZ10" s="21">
        <f>Defaults!IZ10*Obligors!$G$10*Obligors!$H$10</f>
        <v/>
      </c>
      <c r="JA10" s="21">
        <f>Defaults!JA10*Obligors!$G$10*Obligors!$H$10</f>
        <v/>
      </c>
      <c r="JB10" s="21">
        <f>Defaults!JB10*Obligors!$G$10*Obligors!$H$10</f>
        <v/>
      </c>
      <c r="JC10" s="21">
        <f>Defaults!JC10*Obligors!$G$10*Obligors!$H$10</f>
        <v/>
      </c>
      <c r="JD10" s="21">
        <f>Defaults!JD10*Obligors!$G$10*Obligors!$H$10</f>
        <v/>
      </c>
      <c r="JE10" s="21">
        <f>Defaults!JE10*Obligors!$G$10*Obligors!$H$10</f>
        <v/>
      </c>
      <c r="JF10" s="21">
        <f>Defaults!JF10*Obligors!$G$10*Obligors!$H$10</f>
        <v/>
      </c>
      <c r="JG10" s="21">
        <f>Defaults!JG10*Obligors!$G$10*Obligors!$H$10</f>
        <v/>
      </c>
      <c r="JH10" s="21">
        <f>Defaults!JH10*Obligors!$G$10*Obligors!$H$10</f>
        <v/>
      </c>
      <c r="JI10" s="21">
        <f>Defaults!JI10*Obligors!$G$10*Obligors!$H$10</f>
        <v/>
      </c>
      <c r="JJ10" s="21">
        <f>Defaults!JJ10*Obligors!$G$10*Obligors!$H$10</f>
        <v/>
      </c>
      <c r="JK10" s="21">
        <f>Defaults!JK10*Obligors!$G$10*Obligors!$H$10</f>
        <v/>
      </c>
      <c r="JL10" s="21">
        <f>Defaults!JL10*Obligors!$G$10*Obligors!$H$10</f>
        <v/>
      </c>
      <c r="JM10" s="21">
        <f>Defaults!JM10*Obligors!$G$10*Obligors!$H$10</f>
        <v/>
      </c>
      <c r="JN10" s="21">
        <f>Defaults!JN10*Obligors!$G$10*Obligors!$H$10</f>
        <v/>
      </c>
      <c r="JO10" s="21">
        <f>Defaults!JO10*Obligors!$G$10*Obligors!$H$10</f>
        <v/>
      </c>
      <c r="JP10" s="21">
        <f>Defaults!JP10*Obligors!$G$10*Obligors!$H$10</f>
        <v/>
      </c>
      <c r="JQ10" s="21">
        <f>Defaults!JQ10*Obligors!$G$10*Obligors!$H$10</f>
        <v/>
      </c>
      <c r="JR10" s="21">
        <f>Defaults!JR10*Obligors!$G$10*Obligors!$H$10</f>
        <v/>
      </c>
      <c r="JS10" s="21">
        <f>Defaults!JS10*Obligors!$G$10*Obligors!$H$10</f>
        <v/>
      </c>
      <c r="JT10" s="21">
        <f>Defaults!JT10*Obligors!$G$10*Obligors!$H$10</f>
        <v/>
      </c>
      <c r="JU10" s="21">
        <f>Defaults!JU10*Obligors!$G$10*Obligors!$H$10</f>
        <v/>
      </c>
      <c r="JV10" s="21">
        <f>Defaults!JV10*Obligors!$G$10*Obligors!$H$10</f>
        <v/>
      </c>
      <c r="JW10" s="21">
        <f>Defaults!JW10*Obligors!$G$10*Obligors!$H$10</f>
        <v/>
      </c>
      <c r="JX10" s="21">
        <f>Defaults!JX10*Obligors!$G$10*Obligors!$H$10</f>
        <v/>
      </c>
      <c r="JY10" s="21">
        <f>Defaults!JY10*Obligors!$G$10*Obligors!$H$10</f>
        <v/>
      </c>
      <c r="JZ10" s="21">
        <f>Defaults!JZ10*Obligors!$G$10*Obligors!$H$10</f>
        <v/>
      </c>
      <c r="KA10" s="21">
        <f>Defaults!KA10*Obligors!$G$10*Obligors!$H$10</f>
        <v/>
      </c>
      <c r="KB10" s="21">
        <f>Defaults!KB10*Obligors!$G$10*Obligors!$H$10</f>
        <v/>
      </c>
      <c r="KC10" s="21">
        <f>Defaults!KC10*Obligors!$G$10*Obligors!$H$10</f>
        <v/>
      </c>
      <c r="KD10" s="21">
        <f>Defaults!KD10*Obligors!$G$10*Obligors!$H$10</f>
        <v/>
      </c>
      <c r="KE10" s="21">
        <f>Defaults!KE10*Obligors!$G$10*Obligors!$H$10</f>
        <v/>
      </c>
      <c r="KF10" s="21">
        <f>Defaults!KF10*Obligors!$G$10*Obligors!$H$10</f>
        <v/>
      </c>
      <c r="KG10" s="21">
        <f>Defaults!KG10*Obligors!$G$10*Obligors!$H$10</f>
        <v/>
      </c>
      <c r="KH10" s="21">
        <f>Defaults!KH10*Obligors!$G$10*Obligors!$H$10</f>
        <v/>
      </c>
      <c r="KI10" s="21">
        <f>Defaults!KI10*Obligors!$G$10*Obligors!$H$10</f>
        <v/>
      </c>
      <c r="KJ10" s="21">
        <f>Defaults!KJ10*Obligors!$G$10*Obligors!$H$10</f>
        <v/>
      </c>
      <c r="KK10" s="21">
        <f>Defaults!KK10*Obligors!$G$10*Obligors!$H$10</f>
        <v/>
      </c>
      <c r="KL10" s="21">
        <f>Defaults!KL10*Obligors!$G$10*Obligors!$H$10</f>
        <v/>
      </c>
      <c r="KM10" s="21">
        <f>Defaults!KM10*Obligors!$G$10*Obligors!$H$10</f>
        <v/>
      </c>
      <c r="KN10" s="21">
        <f>Defaults!KN10*Obligors!$G$10*Obligors!$H$10</f>
        <v/>
      </c>
      <c r="KO10" s="21">
        <f>Defaults!KO10*Obligors!$G$10*Obligors!$H$10</f>
        <v/>
      </c>
      <c r="KP10" s="21">
        <f>Defaults!KP10*Obligors!$G$10*Obligors!$H$10</f>
        <v/>
      </c>
      <c r="KQ10" s="21">
        <f>Defaults!KQ10*Obligors!$G$10*Obligors!$H$10</f>
        <v/>
      </c>
      <c r="KR10" s="21">
        <f>Defaults!KR10*Obligors!$G$10*Obligors!$H$10</f>
        <v/>
      </c>
      <c r="KS10" s="21">
        <f>Defaults!KS10*Obligors!$G$10*Obligors!$H$10</f>
        <v/>
      </c>
      <c r="KT10" s="21">
        <f>Defaults!KT10*Obligors!$G$10*Obligors!$H$10</f>
        <v/>
      </c>
      <c r="KU10" s="21">
        <f>Defaults!KU10*Obligors!$G$10*Obligors!$H$10</f>
        <v/>
      </c>
      <c r="KV10" s="21">
        <f>Defaults!KV10*Obligors!$G$10*Obligors!$H$10</f>
        <v/>
      </c>
      <c r="KW10" s="21">
        <f>Defaults!KW10*Obligors!$G$10*Obligors!$H$10</f>
        <v/>
      </c>
      <c r="KX10" s="21">
        <f>Defaults!KX10*Obligors!$G$10*Obligors!$H$10</f>
        <v/>
      </c>
      <c r="KY10" s="21">
        <f>Defaults!KY10*Obligors!$G$10*Obligors!$H$10</f>
        <v/>
      </c>
      <c r="KZ10" s="21">
        <f>Defaults!KZ10*Obligors!$G$10*Obligors!$H$10</f>
        <v/>
      </c>
      <c r="LA10" s="21">
        <f>Defaults!LA10*Obligors!$G$10*Obligors!$H$10</f>
        <v/>
      </c>
      <c r="LB10" s="21">
        <f>Defaults!LB10*Obligors!$G$10*Obligors!$H$10</f>
        <v/>
      </c>
      <c r="LC10" s="21">
        <f>Defaults!LC10*Obligors!$G$10*Obligors!$H$10</f>
        <v/>
      </c>
      <c r="LD10" s="21">
        <f>Defaults!LD10*Obligors!$G$10*Obligors!$H$10</f>
        <v/>
      </c>
      <c r="LE10" s="21">
        <f>Defaults!LE10*Obligors!$G$10*Obligors!$H$10</f>
        <v/>
      </c>
      <c r="LF10" s="21">
        <f>Defaults!LF10*Obligors!$G$10*Obligors!$H$10</f>
        <v/>
      </c>
      <c r="LG10" s="21">
        <f>Defaults!LG10*Obligors!$G$10*Obligors!$H$10</f>
        <v/>
      </c>
      <c r="LH10" s="21">
        <f>Defaults!LH10*Obligors!$G$10*Obligors!$H$10</f>
        <v/>
      </c>
      <c r="LI10" s="21">
        <f>Defaults!LI10*Obligors!$G$10*Obligors!$H$10</f>
        <v/>
      </c>
      <c r="LJ10" s="21">
        <f>Defaults!LJ10*Obligors!$G$10*Obligors!$H$10</f>
        <v/>
      </c>
      <c r="LK10" s="21">
        <f>Defaults!LK10*Obligors!$G$10*Obligors!$H$10</f>
        <v/>
      </c>
      <c r="LL10" s="21">
        <f>Defaults!LL10*Obligors!$G$10*Obligors!$H$10</f>
        <v/>
      </c>
      <c r="LM10" s="21">
        <f>Defaults!LM10*Obligors!$G$10*Obligors!$H$10</f>
        <v/>
      </c>
      <c r="LN10" s="21">
        <f>Defaults!LN10*Obligors!$G$10*Obligors!$H$10</f>
        <v/>
      </c>
      <c r="LO10" s="21">
        <f>Defaults!LO10*Obligors!$G$10*Obligors!$H$10</f>
        <v/>
      </c>
      <c r="LP10" s="21">
        <f>Defaults!LP10*Obligors!$G$10*Obligors!$H$10</f>
        <v/>
      </c>
      <c r="LQ10" s="21">
        <f>Defaults!LQ10*Obligors!$G$10*Obligors!$H$10</f>
        <v/>
      </c>
      <c r="LR10" s="21">
        <f>Defaults!LR10*Obligors!$G$10*Obligors!$H$10</f>
        <v/>
      </c>
      <c r="LS10" s="21">
        <f>Defaults!LS10*Obligors!$G$10*Obligors!$H$10</f>
        <v/>
      </c>
      <c r="LT10" s="21">
        <f>Defaults!LT10*Obligors!$G$10*Obligors!$H$10</f>
        <v/>
      </c>
      <c r="LU10" s="21">
        <f>Defaults!LU10*Obligors!$G$10*Obligors!$H$10</f>
        <v/>
      </c>
      <c r="LV10" s="21">
        <f>Defaults!LV10*Obligors!$G$10*Obligors!$H$10</f>
        <v/>
      </c>
      <c r="LW10" s="21">
        <f>Defaults!LW10*Obligors!$G$10*Obligors!$H$10</f>
        <v/>
      </c>
      <c r="LX10" s="21">
        <f>Defaults!LX10*Obligors!$G$10*Obligors!$H$10</f>
        <v/>
      </c>
      <c r="LY10" s="21">
        <f>Defaults!LY10*Obligors!$G$10*Obligors!$H$10</f>
        <v/>
      </c>
      <c r="LZ10" s="21">
        <f>Defaults!LZ10*Obligors!$G$10*Obligors!$H$10</f>
        <v/>
      </c>
      <c r="MA10" s="21">
        <f>Defaults!MA10*Obligors!$G$10*Obligors!$H$10</f>
        <v/>
      </c>
      <c r="MB10" s="21">
        <f>Defaults!MB10*Obligors!$G$10*Obligors!$H$10</f>
        <v/>
      </c>
      <c r="MC10" s="21">
        <f>Defaults!MC10*Obligors!$G$10*Obligors!$H$10</f>
        <v/>
      </c>
      <c r="MD10" s="21">
        <f>Defaults!MD10*Obligors!$G$10*Obligors!$H$10</f>
        <v/>
      </c>
      <c r="ME10" s="21">
        <f>Defaults!ME10*Obligors!$G$10*Obligors!$H$10</f>
        <v/>
      </c>
      <c r="MF10" s="21">
        <f>Defaults!MF10*Obligors!$G$10*Obligors!$H$10</f>
        <v/>
      </c>
      <c r="MG10" s="21">
        <f>Defaults!MG10*Obligors!$G$10*Obligors!$H$10</f>
        <v/>
      </c>
      <c r="MH10" s="21">
        <f>Defaults!MH10*Obligors!$G$10*Obligors!$H$10</f>
        <v/>
      </c>
      <c r="MI10" s="21">
        <f>Defaults!MI10*Obligors!$G$10*Obligors!$H$10</f>
        <v/>
      </c>
      <c r="MJ10" s="21">
        <f>Defaults!MJ10*Obligors!$G$10*Obligors!$H$10</f>
        <v/>
      </c>
      <c r="MK10" s="21">
        <f>Defaults!MK10*Obligors!$G$10*Obligors!$H$10</f>
        <v/>
      </c>
      <c r="ML10" s="21">
        <f>Defaults!ML10*Obligors!$G$10*Obligors!$H$10</f>
        <v/>
      </c>
      <c r="MM10" s="21">
        <f>Defaults!MM10*Obligors!$G$10*Obligors!$H$10</f>
        <v/>
      </c>
      <c r="MN10" s="21">
        <f>Defaults!MN10*Obligors!$G$10*Obligors!$H$10</f>
        <v/>
      </c>
      <c r="MO10" s="21">
        <f>Defaults!MO10*Obligors!$G$10*Obligors!$H$10</f>
        <v/>
      </c>
      <c r="MP10" s="21">
        <f>Defaults!MP10*Obligors!$G$10*Obligors!$H$10</f>
        <v/>
      </c>
      <c r="MQ10" s="21">
        <f>Defaults!MQ10*Obligors!$G$10*Obligors!$H$10</f>
        <v/>
      </c>
      <c r="MR10" s="21">
        <f>Defaults!MR10*Obligors!$G$10*Obligors!$H$10</f>
        <v/>
      </c>
      <c r="MS10" s="21">
        <f>Defaults!MS10*Obligors!$G$10*Obligors!$H$10</f>
        <v/>
      </c>
      <c r="MT10" s="21">
        <f>Defaults!MT10*Obligors!$G$10*Obligors!$H$10</f>
        <v/>
      </c>
      <c r="MU10" s="21">
        <f>Defaults!MU10*Obligors!$G$10*Obligors!$H$10</f>
        <v/>
      </c>
      <c r="MV10" s="21">
        <f>Defaults!MV10*Obligors!$G$10*Obligors!$H$10</f>
        <v/>
      </c>
      <c r="MW10" s="21">
        <f>Defaults!MW10*Obligors!$G$10*Obligors!$H$10</f>
        <v/>
      </c>
      <c r="MX10" s="21">
        <f>Defaults!MX10*Obligors!$G$10*Obligors!$H$10</f>
        <v/>
      </c>
      <c r="MY10" s="21">
        <f>Defaults!MY10*Obligors!$G$10*Obligors!$H$10</f>
        <v/>
      </c>
      <c r="MZ10" s="21">
        <f>Defaults!MZ10*Obligors!$G$10*Obligors!$H$10</f>
        <v/>
      </c>
      <c r="NA10" s="21">
        <f>Defaults!NA10*Obligors!$G$10*Obligors!$H$10</f>
        <v/>
      </c>
      <c r="NB10" s="21">
        <f>Defaults!NB10*Obligors!$G$10*Obligors!$H$10</f>
        <v/>
      </c>
      <c r="NC10" s="21">
        <f>Defaults!NC10*Obligors!$G$10*Obligors!$H$10</f>
        <v/>
      </c>
      <c r="ND10" s="21">
        <f>Defaults!ND10*Obligors!$G$10*Obligors!$H$10</f>
        <v/>
      </c>
      <c r="NE10" s="21">
        <f>Defaults!NE10*Obligors!$G$10*Obligors!$H$10</f>
        <v/>
      </c>
      <c r="NF10" s="21">
        <f>Defaults!NF10*Obligors!$G$10*Obligors!$H$10</f>
        <v/>
      </c>
      <c r="NG10" s="21">
        <f>Defaults!NG10*Obligors!$G$10*Obligors!$H$10</f>
        <v/>
      </c>
      <c r="NH10" s="21">
        <f>Defaults!NH10*Obligors!$G$10*Obligors!$H$10</f>
        <v/>
      </c>
      <c r="NI10" s="21">
        <f>Defaults!NI10*Obligors!$G$10*Obligors!$H$10</f>
        <v/>
      </c>
      <c r="NJ10" s="21">
        <f>Defaults!NJ10*Obligors!$G$10*Obligors!$H$10</f>
        <v/>
      </c>
      <c r="NK10" s="21">
        <f>Defaults!NK10*Obligors!$G$10*Obligors!$H$10</f>
        <v/>
      </c>
      <c r="NL10" s="21">
        <f>Defaults!NL10*Obligors!$G$10*Obligors!$H$10</f>
        <v/>
      </c>
      <c r="NM10" s="21">
        <f>Defaults!NM10*Obligors!$G$10*Obligors!$H$10</f>
        <v/>
      </c>
      <c r="NN10" s="21">
        <f>Defaults!NN10*Obligors!$G$10*Obligors!$H$10</f>
        <v/>
      </c>
      <c r="NO10" s="21">
        <f>Defaults!NO10*Obligors!$G$10*Obligors!$H$10</f>
        <v/>
      </c>
      <c r="NP10" s="21">
        <f>Defaults!NP10*Obligors!$G$10*Obligors!$H$10</f>
        <v/>
      </c>
      <c r="NQ10" s="21">
        <f>Defaults!NQ10*Obligors!$G$10*Obligors!$H$10</f>
        <v/>
      </c>
      <c r="NR10" s="21">
        <f>Defaults!NR10*Obligors!$G$10*Obligors!$H$10</f>
        <v/>
      </c>
      <c r="NS10" s="21">
        <f>Defaults!NS10*Obligors!$G$10*Obligors!$H$10</f>
        <v/>
      </c>
      <c r="NT10" s="21">
        <f>Defaults!NT10*Obligors!$G$10*Obligors!$H$10</f>
        <v/>
      </c>
      <c r="NU10" s="21">
        <f>Defaults!NU10*Obligors!$G$10*Obligors!$H$10</f>
        <v/>
      </c>
      <c r="NV10" s="21">
        <f>Defaults!NV10*Obligors!$G$10*Obligors!$H$10</f>
        <v/>
      </c>
      <c r="NW10" s="21">
        <f>Defaults!NW10*Obligors!$G$10*Obligors!$H$10</f>
        <v/>
      </c>
      <c r="NX10" s="21">
        <f>Defaults!NX10*Obligors!$G$10*Obligors!$H$10</f>
        <v/>
      </c>
      <c r="NY10" s="21">
        <f>Defaults!NY10*Obligors!$G$10*Obligors!$H$10</f>
        <v/>
      </c>
      <c r="NZ10" s="21">
        <f>Defaults!NZ10*Obligors!$G$10*Obligors!$H$10</f>
        <v/>
      </c>
      <c r="OA10" s="21">
        <f>Defaults!OA10*Obligors!$G$10*Obligors!$H$10</f>
        <v/>
      </c>
      <c r="OB10" s="21">
        <f>Defaults!OB10*Obligors!$G$10*Obligors!$H$10</f>
        <v/>
      </c>
      <c r="OC10" s="21">
        <f>Defaults!OC10*Obligors!$G$10*Obligors!$H$10</f>
        <v/>
      </c>
      <c r="OD10" s="21">
        <f>Defaults!OD10*Obligors!$G$10*Obligors!$H$10</f>
        <v/>
      </c>
      <c r="OE10" s="21">
        <f>Defaults!OE10*Obligors!$G$10*Obligors!$H$10</f>
        <v/>
      </c>
      <c r="OF10" s="21">
        <f>Defaults!OF10*Obligors!$G$10*Obligors!$H$10</f>
        <v/>
      </c>
      <c r="OG10" s="21">
        <f>Defaults!OG10*Obligors!$G$10*Obligors!$H$10</f>
        <v/>
      </c>
      <c r="OH10" s="21">
        <f>Defaults!OH10*Obligors!$G$10*Obligors!$H$10</f>
        <v/>
      </c>
      <c r="OI10" s="21">
        <f>Defaults!OI10*Obligors!$G$10*Obligors!$H$10</f>
        <v/>
      </c>
      <c r="OJ10" s="21">
        <f>Defaults!OJ10*Obligors!$G$10*Obligors!$H$10</f>
        <v/>
      </c>
      <c r="OK10" s="21">
        <f>Defaults!OK10*Obligors!$G$10*Obligors!$H$10</f>
        <v/>
      </c>
      <c r="OL10" s="21">
        <f>Defaults!OL10*Obligors!$G$10*Obligors!$H$10</f>
        <v/>
      </c>
      <c r="OM10" s="21">
        <f>Defaults!OM10*Obligors!$G$10*Obligors!$H$10</f>
        <v/>
      </c>
      <c r="ON10" s="21">
        <f>Defaults!ON10*Obligors!$G$10*Obligors!$H$10</f>
        <v/>
      </c>
      <c r="OO10" s="21">
        <f>Defaults!OO10*Obligors!$G$10*Obligors!$H$10</f>
        <v/>
      </c>
      <c r="OP10" s="21">
        <f>Defaults!OP10*Obligors!$G$10*Obligors!$H$10</f>
        <v/>
      </c>
      <c r="OQ10" s="21">
        <f>Defaults!OQ10*Obligors!$G$10*Obligors!$H$10</f>
        <v/>
      </c>
      <c r="OR10" s="21">
        <f>Defaults!OR10*Obligors!$G$10*Obligors!$H$10</f>
        <v/>
      </c>
      <c r="OS10" s="21">
        <f>Defaults!OS10*Obligors!$G$10*Obligors!$H$10</f>
        <v/>
      </c>
      <c r="OT10" s="21">
        <f>Defaults!OT10*Obligors!$G$10*Obligors!$H$10</f>
        <v/>
      </c>
      <c r="OU10" s="21">
        <f>Defaults!OU10*Obligors!$G$10*Obligors!$H$10</f>
        <v/>
      </c>
      <c r="OV10" s="21">
        <f>Defaults!OV10*Obligors!$G$10*Obligors!$H$10</f>
        <v/>
      </c>
      <c r="OW10" s="21">
        <f>Defaults!OW10*Obligors!$G$10*Obligors!$H$10</f>
        <v/>
      </c>
      <c r="OX10" s="21">
        <f>Defaults!OX10*Obligors!$G$10*Obligors!$H$10</f>
        <v/>
      </c>
      <c r="OY10" s="21">
        <f>Defaults!OY10*Obligors!$G$10*Obligors!$H$10</f>
        <v/>
      </c>
      <c r="OZ10" s="21">
        <f>Defaults!OZ10*Obligors!$G$10*Obligors!$H$10</f>
        <v/>
      </c>
      <c r="PA10" s="21">
        <f>Defaults!PA10*Obligors!$G$10*Obligors!$H$10</f>
        <v/>
      </c>
      <c r="PB10" s="21">
        <f>Defaults!PB10*Obligors!$G$10*Obligors!$H$10</f>
        <v/>
      </c>
      <c r="PC10" s="21">
        <f>Defaults!PC10*Obligors!$G$10*Obligors!$H$10</f>
        <v/>
      </c>
      <c r="PD10" s="21">
        <f>Defaults!PD10*Obligors!$G$10*Obligors!$H$10</f>
        <v/>
      </c>
      <c r="PE10" s="21">
        <f>Defaults!PE10*Obligors!$G$10*Obligors!$H$10</f>
        <v/>
      </c>
      <c r="PF10" s="21">
        <f>Defaults!PF10*Obligors!$G$10*Obligors!$H$10</f>
        <v/>
      </c>
      <c r="PG10" s="21">
        <f>Defaults!PG10*Obligors!$G$10*Obligors!$H$10</f>
        <v/>
      </c>
      <c r="PH10" s="21">
        <f>Defaults!PH10*Obligors!$G$10*Obligors!$H$10</f>
        <v/>
      </c>
      <c r="PI10" s="21">
        <f>Defaults!PI10*Obligors!$G$10*Obligors!$H$10</f>
        <v/>
      </c>
      <c r="PJ10" s="21">
        <f>Defaults!PJ10*Obligors!$G$10*Obligors!$H$10</f>
        <v/>
      </c>
      <c r="PK10" s="21">
        <f>Defaults!PK10*Obligors!$G$10*Obligors!$H$10</f>
        <v/>
      </c>
      <c r="PL10" s="21">
        <f>Defaults!PL10*Obligors!$G$10*Obligors!$H$10</f>
        <v/>
      </c>
      <c r="PM10" s="21">
        <f>Defaults!PM10*Obligors!$G$10*Obligors!$H$10</f>
        <v/>
      </c>
      <c r="PN10" s="21">
        <f>Defaults!PN10*Obligors!$G$10*Obligors!$H$10</f>
        <v/>
      </c>
      <c r="PO10" s="21">
        <f>Defaults!PO10*Obligors!$G$10*Obligors!$H$10</f>
        <v/>
      </c>
      <c r="PP10" s="21">
        <f>Defaults!PP10*Obligors!$G$10*Obligors!$H$10</f>
        <v/>
      </c>
      <c r="PQ10" s="21">
        <f>Defaults!PQ10*Obligors!$G$10*Obligors!$H$10</f>
        <v/>
      </c>
      <c r="PR10" s="21">
        <f>Defaults!PR10*Obligors!$G$10*Obligors!$H$10</f>
        <v/>
      </c>
      <c r="PS10" s="21">
        <f>Defaults!PS10*Obligors!$G$10*Obligors!$H$10</f>
        <v/>
      </c>
      <c r="PT10" s="21">
        <f>Defaults!PT10*Obligors!$G$10*Obligors!$H$10</f>
        <v/>
      </c>
      <c r="PU10" s="21">
        <f>Defaults!PU10*Obligors!$G$10*Obligors!$H$10</f>
        <v/>
      </c>
      <c r="PV10" s="21">
        <f>Defaults!PV10*Obligors!$G$10*Obligors!$H$10</f>
        <v/>
      </c>
      <c r="PW10" s="21">
        <f>Defaults!PW10*Obligors!$G$10*Obligors!$H$10</f>
        <v/>
      </c>
      <c r="PX10" s="21">
        <f>Defaults!PX10*Obligors!$G$10*Obligors!$H$10</f>
        <v/>
      </c>
      <c r="PY10" s="21">
        <f>Defaults!PY10*Obligors!$G$10*Obligors!$H$10</f>
        <v/>
      </c>
      <c r="PZ10" s="21">
        <f>Defaults!PZ10*Obligors!$G$10*Obligors!$H$10</f>
        <v/>
      </c>
      <c r="QA10" s="21">
        <f>Defaults!QA10*Obligors!$G$10*Obligors!$H$10</f>
        <v/>
      </c>
      <c r="QB10" s="21">
        <f>Defaults!QB10*Obligors!$G$10*Obligors!$H$10</f>
        <v/>
      </c>
      <c r="QC10" s="21">
        <f>Defaults!QC10*Obligors!$G$10*Obligors!$H$10</f>
        <v/>
      </c>
      <c r="QD10" s="21">
        <f>Defaults!QD10*Obligors!$G$10*Obligors!$H$10</f>
        <v/>
      </c>
      <c r="QE10" s="21">
        <f>Defaults!QE10*Obligors!$G$10*Obligors!$H$10</f>
        <v/>
      </c>
      <c r="QF10" s="21">
        <f>Defaults!QF10*Obligors!$G$10*Obligors!$H$10</f>
        <v/>
      </c>
      <c r="QG10" s="21">
        <f>Defaults!QG10*Obligors!$G$10*Obligors!$H$10</f>
        <v/>
      </c>
      <c r="QH10" s="21">
        <f>Defaults!QH10*Obligors!$G$10*Obligors!$H$10</f>
        <v/>
      </c>
      <c r="QI10" s="21">
        <f>Defaults!QI10*Obligors!$G$10*Obligors!$H$10</f>
        <v/>
      </c>
      <c r="QJ10" s="21">
        <f>Defaults!QJ10*Obligors!$G$10*Obligors!$H$10</f>
        <v/>
      </c>
      <c r="QK10" s="21">
        <f>Defaults!QK10*Obligors!$G$10*Obligors!$H$10</f>
        <v/>
      </c>
      <c r="QL10" s="21">
        <f>Defaults!QL10*Obligors!$G$10*Obligors!$H$10</f>
        <v/>
      </c>
      <c r="QM10" s="21">
        <f>Defaults!QM10*Obligors!$G$10*Obligors!$H$10</f>
        <v/>
      </c>
      <c r="QN10" s="21">
        <f>Defaults!QN10*Obligors!$G$10*Obligors!$H$10</f>
        <v/>
      </c>
      <c r="QO10" s="21">
        <f>Defaults!QO10*Obligors!$G$10*Obligors!$H$10</f>
        <v/>
      </c>
      <c r="QP10" s="21">
        <f>Defaults!QP10*Obligors!$G$10*Obligors!$H$10</f>
        <v/>
      </c>
      <c r="QQ10" s="21">
        <f>Defaults!QQ10*Obligors!$G$10*Obligors!$H$10</f>
        <v/>
      </c>
      <c r="QR10" s="21">
        <f>Defaults!QR10*Obligors!$G$10*Obligors!$H$10</f>
        <v/>
      </c>
      <c r="QS10" s="21">
        <f>Defaults!QS10*Obligors!$G$10*Obligors!$H$10</f>
        <v/>
      </c>
      <c r="QT10" s="21">
        <f>Defaults!QT10*Obligors!$G$10*Obligors!$H$10</f>
        <v/>
      </c>
      <c r="QU10" s="21">
        <f>Defaults!QU10*Obligors!$G$10*Obligors!$H$10</f>
        <v/>
      </c>
      <c r="QV10" s="21">
        <f>Defaults!QV10*Obligors!$G$10*Obligors!$H$10</f>
        <v/>
      </c>
      <c r="QW10" s="21">
        <f>Defaults!QW10*Obligors!$G$10*Obligors!$H$10</f>
        <v/>
      </c>
      <c r="QX10" s="21">
        <f>Defaults!QX10*Obligors!$G$10*Obligors!$H$10</f>
        <v/>
      </c>
      <c r="QY10" s="21">
        <f>Defaults!QY10*Obligors!$G$10*Obligors!$H$10</f>
        <v/>
      </c>
      <c r="QZ10" s="21">
        <f>Defaults!QZ10*Obligors!$G$10*Obligors!$H$10</f>
        <v/>
      </c>
      <c r="RA10" s="21">
        <f>Defaults!RA10*Obligors!$G$10*Obligors!$H$10</f>
        <v/>
      </c>
      <c r="RB10" s="21">
        <f>Defaults!RB10*Obligors!$G$10*Obligors!$H$10</f>
        <v/>
      </c>
      <c r="RC10" s="21">
        <f>Defaults!RC10*Obligors!$G$10*Obligors!$H$10</f>
        <v/>
      </c>
      <c r="RD10" s="21">
        <f>Defaults!RD10*Obligors!$G$10*Obligors!$H$10</f>
        <v/>
      </c>
      <c r="RE10" s="21">
        <f>Defaults!RE10*Obligors!$G$10*Obligors!$H$10</f>
        <v/>
      </c>
      <c r="RF10" s="21">
        <f>Defaults!RF10*Obligors!$G$10*Obligors!$H$10</f>
        <v/>
      </c>
      <c r="RG10" s="21">
        <f>Defaults!RG10*Obligors!$G$10*Obligors!$H$10</f>
        <v/>
      </c>
      <c r="RH10" s="21">
        <f>Defaults!RH10*Obligors!$G$10*Obligors!$H$10</f>
        <v/>
      </c>
      <c r="RI10" s="21">
        <f>Defaults!RI10*Obligors!$G$10*Obligors!$H$10</f>
        <v/>
      </c>
      <c r="RJ10" s="21">
        <f>Defaults!RJ10*Obligors!$G$10*Obligors!$H$10</f>
        <v/>
      </c>
      <c r="RK10" s="21">
        <f>Defaults!RK10*Obligors!$G$10*Obligors!$H$10</f>
        <v/>
      </c>
      <c r="RL10" s="21">
        <f>Defaults!RL10*Obligors!$G$10*Obligors!$H$10</f>
        <v/>
      </c>
      <c r="RM10" s="21">
        <f>Defaults!RM10*Obligors!$G$10*Obligors!$H$10</f>
        <v/>
      </c>
      <c r="RN10" s="21">
        <f>Defaults!RN10*Obligors!$G$10*Obligors!$H$10</f>
        <v/>
      </c>
      <c r="RO10" s="21">
        <f>Defaults!RO10*Obligors!$G$10*Obligors!$H$10</f>
        <v/>
      </c>
      <c r="RP10" s="21">
        <f>Defaults!RP10*Obligors!$G$10*Obligors!$H$10</f>
        <v/>
      </c>
      <c r="RQ10" s="21">
        <f>Defaults!RQ10*Obligors!$G$10*Obligors!$H$10</f>
        <v/>
      </c>
      <c r="RR10" s="21">
        <f>Defaults!RR10*Obligors!$G$10*Obligors!$H$10</f>
        <v/>
      </c>
      <c r="RS10" s="21">
        <f>Defaults!RS10*Obligors!$G$10*Obligors!$H$10</f>
        <v/>
      </c>
      <c r="RT10" s="21">
        <f>Defaults!RT10*Obligors!$G$10*Obligors!$H$10</f>
        <v/>
      </c>
      <c r="RU10" s="21">
        <f>Defaults!RU10*Obligors!$G$10*Obligors!$H$10</f>
        <v/>
      </c>
      <c r="RV10" s="21">
        <f>Defaults!RV10*Obligors!$G$10*Obligors!$H$10</f>
        <v/>
      </c>
      <c r="RW10" s="21">
        <f>Defaults!RW10*Obligors!$G$10*Obligors!$H$10</f>
        <v/>
      </c>
      <c r="RX10" s="21">
        <f>Defaults!RX10*Obligors!$G$10*Obligors!$H$10</f>
        <v/>
      </c>
      <c r="RY10" s="21">
        <f>Defaults!RY10*Obligors!$G$10*Obligors!$H$10</f>
        <v/>
      </c>
      <c r="RZ10" s="21">
        <f>Defaults!RZ10*Obligors!$G$10*Obligors!$H$10</f>
        <v/>
      </c>
      <c r="SA10" s="21">
        <f>Defaults!SA10*Obligors!$G$10*Obligors!$H$10</f>
        <v/>
      </c>
      <c r="SB10" s="21">
        <f>Defaults!SB10*Obligors!$G$10*Obligors!$H$10</f>
        <v/>
      </c>
      <c r="SC10" s="21">
        <f>Defaults!SC10*Obligors!$G$10*Obligors!$H$10</f>
        <v/>
      </c>
      <c r="SD10" s="21">
        <f>Defaults!SD10*Obligors!$G$10*Obligors!$H$10</f>
        <v/>
      </c>
      <c r="SE10" s="21">
        <f>Defaults!SE10*Obligors!$G$10*Obligors!$H$10</f>
        <v/>
      </c>
      <c r="SF10" s="21">
        <f>Defaults!SF10*Obligors!$G$10*Obligors!$H$10</f>
        <v/>
      </c>
      <c r="SG10" s="21">
        <f>Defaults!SG10*Obligors!$G$10*Obligors!$H$10</f>
        <v/>
      </c>
    </row>
    <row r="11">
      <c r="A11" s="17" t="inlineStr">
        <is>
          <t>OBL-010</t>
        </is>
      </c>
      <c r="B11" s="21">
        <f>Defaults!B11*Obligors!$G$11*Obligors!$H$11</f>
        <v/>
      </c>
      <c r="C11" s="21">
        <f>Defaults!C11*Obligors!$G$11*Obligors!$H$11</f>
        <v/>
      </c>
      <c r="D11" s="21">
        <f>Defaults!D11*Obligors!$G$11*Obligors!$H$11</f>
        <v/>
      </c>
      <c r="E11" s="21">
        <f>Defaults!E11*Obligors!$G$11*Obligors!$H$11</f>
        <v/>
      </c>
      <c r="F11" s="21">
        <f>Defaults!F11*Obligors!$G$11*Obligors!$H$11</f>
        <v/>
      </c>
      <c r="G11" s="21">
        <f>Defaults!G11*Obligors!$G$11*Obligors!$H$11</f>
        <v/>
      </c>
      <c r="H11" s="21">
        <f>Defaults!H11*Obligors!$G$11*Obligors!$H$11</f>
        <v/>
      </c>
      <c r="I11" s="21">
        <f>Defaults!I11*Obligors!$G$11*Obligors!$H$11</f>
        <v/>
      </c>
      <c r="J11" s="21">
        <f>Defaults!J11*Obligors!$G$11*Obligors!$H$11</f>
        <v/>
      </c>
      <c r="K11" s="21">
        <f>Defaults!K11*Obligors!$G$11*Obligors!$H$11</f>
        <v/>
      </c>
      <c r="L11" s="21">
        <f>Defaults!L11*Obligors!$G$11*Obligors!$H$11</f>
        <v/>
      </c>
      <c r="M11" s="21">
        <f>Defaults!M11*Obligors!$G$11*Obligors!$H$11</f>
        <v/>
      </c>
      <c r="N11" s="21">
        <f>Defaults!N11*Obligors!$G$11*Obligors!$H$11</f>
        <v/>
      </c>
      <c r="O11" s="21">
        <f>Defaults!O11*Obligors!$G$11*Obligors!$H$11</f>
        <v/>
      </c>
      <c r="P11" s="21">
        <f>Defaults!P11*Obligors!$G$11*Obligors!$H$11</f>
        <v/>
      </c>
      <c r="Q11" s="21">
        <f>Defaults!Q11*Obligors!$G$11*Obligors!$H$11</f>
        <v/>
      </c>
      <c r="R11" s="21">
        <f>Defaults!R11*Obligors!$G$11*Obligors!$H$11</f>
        <v/>
      </c>
      <c r="S11" s="21">
        <f>Defaults!S11*Obligors!$G$11*Obligors!$H$11</f>
        <v/>
      </c>
      <c r="T11" s="21">
        <f>Defaults!T11*Obligors!$G$11*Obligors!$H$11</f>
        <v/>
      </c>
      <c r="U11" s="21">
        <f>Defaults!U11*Obligors!$G$11*Obligors!$H$11</f>
        <v/>
      </c>
      <c r="V11" s="21">
        <f>Defaults!V11*Obligors!$G$11*Obligors!$H$11</f>
        <v/>
      </c>
      <c r="W11" s="21">
        <f>Defaults!W11*Obligors!$G$11*Obligors!$H$11</f>
        <v/>
      </c>
      <c r="X11" s="21">
        <f>Defaults!X11*Obligors!$G$11*Obligors!$H$11</f>
        <v/>
      </c>
      <c r="Y11" s="21">
        <f>Defaults!Y11*Obligors!$G$11*Obligors!$H$11</f>
        <v/>
      </c>
      <c r="Z11" s="21">
        <f>Defaults!Z11*Obligors!$G$11*Obligors!$H$11</f>
        <v/>
      </c>
      <c r="AA11" s="21">
        <f>Defaults!AA11*Obligors!$G$11*Obligors!$H$11</f>
        <v/>
      </c>
      <c r="AB11" s="21">
        <f>Defaults!AB11*Obligors!$G$11*Obligors!$H$11</f>
        <v/>
      </c>
      <c r="AC11" s="21">
        <f>Defaults!AC11*Obligors!$G$11*Obligors!$H$11</f>
        <v/>
      </c>
      <c r="AD11" s="21">
        <f>Defaults!AD11*Obligors!$G$11*Obligors!$H$11</f>
        <v/>
      </c>
      <c r="AE11" s="21">
        <f>Defaults!AE11*Obligors!$G$11*Obligors!$H$11</f>
        <v/>
      </c>
      <c r="AF11" s="21">
        <f>Defaults!AF11*Obligors!$G$11*Obligors!$H$11</f>
        <v/>
      </c>
      <c r="AG11" s="21">
        <f>Defaults!AG11*Obligors!$G$11*Obligors!$H$11</f>
        <v/>
      </c>
      <c r="AH11" s="21">
        <f>Defaults!AH11*Obligors!$G$11*Obligors!$H$11</f>
        <v/>
      </c>
      <c r="AI11" s="21">
        <f>Defaults!AI11*Obligors!$G$11*Obligors!$H$11</f>
        <v/>
      </c>
      <c r="AJ11" s="21">
        <f>Defaults!AJ11*Obligors!$G$11*Obligors!$H$11</f>
        <v/>
      </c>
      <c r="AK11" s="21">
        <f>Defaults!AK11*Obligors!$G$11*Obligors!$H$11</f>
        <v/>
      </c>
      <c r="AL11" s="21">
        <f>Defaults!AL11*Obligors!$G$11*Obligors!$H$11</f>
        <v/>
      </c>
      <c r="AM11" s="21">
        <f>Defaults!AM11*Obligors!$G$11*Obligors!$H$11</f>
        <v/>
      </c>
      <c r="AN11" s="21">
        <f>Defaults!AN11*Obligors!$G$11*Obligors!$H$11</f>
        <v/>
      </c>
      <c r="AO11" s="21">
        <f>Defaults!AO11*Obligors!$G$11*Obligors!$H$11</f>
        <v/>
      </c>
      <c r="AP11" s="21">
        <f>Defaults!AP11*Obligors!$G$11*Obligors!$H$11</f>
        <v/>
      </c>
      <c r="AQ11" s="21">
        <f>Defaults!AQ11*Obligors!$G$11*Obligors!$H$11</f>
        <v/>
      </c>
      <c r="AR11" s="21">
        <f>Defaults!AR11*Obligors!$G$11*Obligors!$H$11</f>
        <v/>
      </c>
      <c r="AS11" s="21">
        <f>Defaults!AS11*Obligors!$G$11*Obligors!$H$11</f>
        <v/>
      </c>
      <c r="AT11" s="21">
        <f>Defaults!AT11*Obligors!$G$11*Obligors!$H$11</f>
        <v/>
      </c>
      <c r="AU11" s="21">
        <f>Defaults!AU11*Obligors!$G$11*Obligors!$H$11</f>
        <v/>
      </c>
      <c r="AV11" s="21">
        <f>Defaults!AV11*Obligors!$G$11*Obligors!$H$11</f>
        <v/>
      </c>
      <c r="AW11" s="21">
        <f>Defaults!AW11*Obligors!$G$11*Obligors!$H$11</f>
        <v/>
      </c>
      <c r="AX11" s="21">
        <f>Defaults!AX11*Obligors!$G$11*Obligors!$H$11</f>
        <v/>
      </c>
      <c r="AY11" s="21">
        <f>Defaults!AY11*Obligors!$G$11*Obligors!$H$11</f>
        <v/>
      </c>
      <c r="AZ11" s="21">
        <f>Defaults!AZ11*Obligors!$G$11*Obligors!$H$11</f>
        <v/>
      </c>
      <c r="BA11" s="21">
        <f>Defaults!BA11*Obligors!$G$11*Obligors!$H$11</f>
        <v/>
      </c>
      <c r="BB11" s="21">
        <f>Defaults!BB11*Obligors!$G$11*Obligors!$H$11</f>
        <v/>
      </c>
      <c r="BC11" s="21">
        <f>Defaults!BC11*Obligors!$G$11*Obligors!$H$11</f>
        <v/>
      </c>
      <c r="BD11" s="21">
        <f>Defaults!BD11*Obligors!$G$11*Obligors!$H$11</f>
        <v/>
      </c>
      <c r="BE11" s="21">
        <f>Defaults!BE11*Obligors!$G$11*Obligors!$H$11</f>
        <v/>
      </c>
      <c r="BF11" s="21">
        <f>Defaults!BF11*Obligors!$G$11*Obligors!$H$11</f>
        <v/>
      </c>
      <c r="BG11" s="21">
        <f>Defaults!BG11*Obligors!$G$11*Obligors!$H$11</f>
        <v/>
      </c>
      <c r="BH11" s="21">
        <f>Defaults!BH11*Obligors!$G$11*Obligors!$H$11</f>
        <v/>
      </c>
      <c r="BI11" s="21">
        <f>Defaults!BI11*Obligors!$G$11*Obligors!$H$11</f>
        <v/>
      </c>
      <c r="BJ11" s="21">
        <f>Defaults!BJ11*Obligors!$G$11*Obligors!$H$11</f>
        <v/>
      </c>
      <c r="BK11" s="21">
        <f>Defaults!BK11*Obligors!$G$11*Obligors!$H$11</f>
        <v/>
      </c>
      <c r="BL11" s="21">
        <f>Defaults!BL11*Obligors!$G$11*Obligors!$H$11</f>
        <v/>
      </c>
      <c r="BM11" s="21">
        <f>Defaults!BM11*Obligors!$G$11*Obligors!$H$11</f>
        <v/>
      </c>
      <c r="BN11" s="21">
        <f>Defaults!BN11*Obligors!$G$11*Obligors!$H$11</f>
        <v/>
      </c>
      <c r="BO11" s="21">
        <f>Defaults!BO11*Obligors!$G$11*Obligors!$H$11</f>
        <v/>
      </c>
      <c r="BP11" s="21">
        <f>Defaults!BP11*Obligors!$G$11*Obligors!$H$11</f>
        <v/>
      </c>
      <c r="BQ11" s="21">
        <f>Defaults!BQ11*Obligors!$G$11*Obligors!$H$11</f>
        <v/>
      </c>
      <c r="BR11" s="21">
        <f>Defaults!BR11*Obligors!$G$11*Obligors!$H$11</f>
        <v/>
      </c>
      <c r="BS11" s="21">
        <f>Defaults!BS11*Obligors!$G$11*Obligors!$H$11</f>
        <v/>
      </c>
      <c r="BT11" s="21">
        <f>Defaults!BT11*Obligors!$G$11*Obligors!$H$11</f>
        <v/>
      </c>
      <c r="BU11" s="21">
        <f>Defaults!BU11*Obligors!$G$11*Obligors!$H$11</f>
        <v/>
      </c>
      <c r="BV11" s="21">
        <f>Defaults!BV11*Obligors!$G$11*Obligors!$H$11</f>
        <v/>
      </c>
      <c r="BW11" s="21">
        <f>Defaults!BW11*Obligors!$G$11*Obligors!$H$11</f>
        <v/>
      </c>
      <c r="BX11" s="21">
        <f>Defaults!BX11*Obligors!$G$11*Obligors!$H$11</f>
        <v/>
      </c>
      <c r="BY11" s="21">
        <f>Defaults!BY11*Obligors!$G$11*Obligors!$H$11</f>
        <v/>
      </c>
      <c r="BZ11" s="21">
        <f>Defaults!BZ11*Obligors!$G$11*Obligors!$H$11</f>
        <v/>
      </c>
      <c r="CA11" s="21">
        <f>Defaults!CA11*Obligors!$G$11*Obligors!$H$11</f>
        <v/>
      </c>
      <c r="CB11" s="21">
        <f>Defaults!CB11*Obligors!$G$11*Obligors!$H$11</f>
        <v/>
      </c>
      <c r="CC11" s="21">
        <f>Defaults!CC11*Obligors!$G$11*Obligors!$H$11</f>
        <v/>
      </c>
      <c r="CD11" s="21">
        <f>Defaults!CD11*Obligors!$G$11*Obligors!$H$11</f>
        <v/>
      </c>
      <c r="CE11" s="21">
        <f>Defaults!CE11*Obligors!$G$11*Obligors!$H$11</f>
        <v/>
      </c>
      <c r="CF11" s="21">
        <f>Defaults!CF11*Obligors!$G$11*Obligors!$H$11</f>
        <v/>
      </c>
      <c r="CG11" s="21">
        <f>Defaults!CG11*Obligors!$G$11*Obligors!$H$11</f>
        <v/>
      </c>
      <c r="CH11" s="21">
        <f>Defaults!CH11*Obligors!$G$11*Obligors!$H$11</f>
        <v/>
      </c>
      <c r="CI11" s="21">
        <f>Defaults!CI11*Obligors!$G$11*Obligors!$H$11</f>
        <v/>
      </c>
      <c r="CJ11" s="21">
        <f>Defaults!CJ11*Obligors!$G$11*Obligors!$H$11</f>
        <v/>
      </c>
      <c r="CK11" s="21">
        <f>Defaults!CK11*Obligors!$G$11*Obligors!$H$11</f>
        <v/>
      </c>
      <c r="CL11" s="21">
        <f>Defaults!CL11*Obligors!$G$11*Obligors!$H$11</f>
        <v/>
      </c>
      <c r="CM11" s="21">
        <f>Defaults!CM11*Obligors!$G$11*Obligors!$H$11</f>
        <v/>
      </c>
      <c r="CN11" s="21">
        <f>Defaults!CN11*Obligors!$G$11*Obligors!$H$11</f>
        <v/>
      </c>
      <c r="CO11" s="21">
        <f>Defaults!CO11*Obligors!$G$11*Obligors!$H$11</f>
        <v/>
      </c>
      <c r="CP11" s="21">
        <f>Defaults!CP11*Obligors!$G$11*Obligors!$H$11</f>
        <v/>
      </c>
      <c r="CQ11" s="21">
        <f>Defaults!CQ11*Obligors!$G$11*Obligors!$H$11</f>
        <v/>
      </c>
      <c r="CR11" s="21">
        <f>Defaults!CR11*Obligors!$G$11*Obligors!$H$11</f>
        <v/>
      </c>
      <c r="CS11" s="21">
        <f>Defaults!CS11*Obligors!$G$11*Obligors!$H$11</f>
        <v/>
      </c>
      <c r="CT11" s="21">
        <f>Defaults!CT11*Obligors!$G$11*Obligors!$H$11</f>
        <v/>
      </c>
      <c r="CU11" s="21">
        <f>Defaults!CU11*Obligors!$G$11*Obligors!$H$11</f>
        <v/>
      </c>
      <c r="CV11" s="21">
        <f>Defaults!CV11*Obligors!$G$11*Obligors!$H$11</f>
        <v/>
      </c>
      <c r="CW11" s="21">
        <f>Defaults!CW11*Obligors!$G$11*Obligors!$H$11</f>
        <v/>
      </c>
      <c r="CX11" s="21">
        <f>Defaults!CX11*Obligors!$G$11*Obligors!$H$11</f>
        <v/>
      </c>
      <c r="CY11" s="21">
        <f>Defaults!CY11*Obligors!$G$11*Obligors!$H$11</f>
        <v/>
      </c>
      <c r="CZ11" s="21">
        <f>Defaults!CZ11*Obligors!$G$11*Obligors!$H$11</f>
        <v/>
      </c>
      <c r="DA11" s="21">
        <f>Defaults!DA11*Obligors!$G$11*Obligors!$H$11</f>
        <v/>
      </c>
      <c r="DB11" s="21">
        <f>Defaults!DB11*Obligors!$G$11*Obligors!$H$11</f>
        <v/>
      </c>
      <c r="DC11" s="21">
        <f>Defaults!DC11*Obligors!$G$11*Obligors!$H$11</f>
        <v/>
      </c>
      <c r="DD11" s="21">
        <f>Defaults!DD11*Obligors!$G$11*Obligors!$H$11</f>
        <v/>
      </c>
      <c r="DE11" s="21">
        <f>Defaults!DE11*Obligors!$G$11*Obligors!$H$11</f>
        <v/>
      </c>
      <c r="DF11" s="21">
        <f>Defaults!DF11*Obligors!$G$11*Obligors!$H$11</f>
        <v/>
      </c>
      <c r="DG11" s="21">
        <f>Defaults!DG11*Obligors!$G$11*Obligors!$H$11</f>
        <v/>
      </c>
      <c r="DH11" s="21">
        <f>Defaults!DH11*Obligors!$G$11*Obligors!$H$11</f>
        <v/>
      </c>
      <c r="DI11" s="21">
        <f>Defaults!DI11*Obligors!$G$11*Obligors!$H$11</f>
        <v/>
      </c>
      <c r="DJ11" s="21">
        <f>Defaults!DJ11*Obligors!$G$11*Obligors!$H$11</f>
        <v/>
      </c>
      <c r="DK11" s="21">
        <f>Defaults!DK11*Obligors!$G$11*Obligors!$H$11</f>
        <v/>
      </c>
      <c r="DL11" s="21">
        <f>Defaults!DL11*Obligors!$G$11*Obligors!$H$11</f>
        <v/>
      </c>
      <c r="DM11" s="21">
        <f>Defaults!DM11*Obligors!$G$11*Obligors!$H$11</f>
        <v/>
      </c>
      <c r="DN11" s="21">
        <f>Defaults!DN11*Obligors!$G$11*Obligors!$H$11</f>
        <v/>
      </c>
      <c r="DO11" s="21">
        <f>Defaults!DO11*Obligors!$G$11*Obligors!$H$11</f>
        <v/>
      </c>
      <c r="DP11" s="21">
        <f>Defaults!DP11*Obligors!$G$11*Obligors!$H$11</f>
        <v/>
      </c>
      <c r="DQ11" s="21">
        <f>Defaults!DQ11*Obligors!$G$11*Obligors!$H$11</f>
        <v/>
      </c>
      <c r="DR11" s="21">
        <f>Defaults!DR11*Obligors!$G$11*Obligors!$H$11</f>
        <v/>
      </c>
      <c r="DS11" s="21">
        <f>Defaults!DS11*Obligors!$G$11*Obligors!$H$11</f>
        <v/>
      </c>
      <c r="DT11" s="21">
        <f>Defaults!DT11*Obligors!$G$11*Obligors!$H$11</f>
        <v/>
      </c>
      <c r="DU11" s="21">
        <f>Defaults!DU11*Obligors!$G$11*Obligors!$H$11</f>
        <v/>
      </c>
      <c r="DV11" s="21">
        <f>Defaults!DV11*Obligors!$G$11*Obligors!$H$11</f>
        <v/>
      </c>
      <c r="DW11" s="21">
        <f>Defaults!DW11*Obligors!$G$11*Obligors!$H$11</f>
        <v/>
      </c>
      <c r="DX11" s="21">
        <f>Defaults!DX11*Obligors!$G$11*Obligors!$H$11</f>
        <v/>
      </c>
      <c r="DY11" s="21">
        <f>Defaults!DY11*Obligors!$G$11*Obligors!$H$11</f>
        <v/>
      </c>
      <c r="DZ11" s="21">
        <f>Defaults!DZ11*Obligors!$G$11*Obligors!$H$11</f>
        <v/>
      </c>
      <c r="EA11" s="21">
        <f>Defaults!EA11*Obligors!$G$11*Obligors!$H$11</f>
        <v/>
      </c>
      <c r="EB11" s="21">
        <f>Defaults!EB11*Obligors!$G$11*Obligors!$H$11</f>
        <v/>
      </c>
      <c r="EC11" s="21">
        <f>Defaults!EC11*Obligors!$G$11*Obligors!$H$11</f>
        <v/>
      </c>
      <c r="ED11" s="21">
        <f>Defaults!ED11*Obligors!$G$11*Obligors!$H$11</f>
        <v/>
      </c>
      <c r="EE11" s="21">
        <f>Defaults!EE11*Obligors!$G$11*Obligors!$H$11</f>
        <v/>
      </c>
      <c r="EF11" s="21">
        <f>Defaults!EF11*Obligors!$G$11*Obligors!$H$11</f>
        <v/>
      </c>
      <c r="EG11" s="21">
        <f>Defaults!EG11*Obligors!$G$11*Obligors!$H$11</f>
        <v/>
      </c>
      <c r="EH11" s="21">
        <f>Defaults!EH11*Obligors!$G$11*Obligors!$H$11</f>
        <v/>
      </c>
      <c r="EI11" s="21">
        <f>Defaults!EI11*Obligors!$G$11*Obligors!$H$11</f>
        <v/>
      </c>
      <c r="EJ11" s="21">
        <f>Defaults!EJ11*Obligors!$G$11*Obligors!$H$11</f>
        <v/>
      </c>
      <c r="EK11" s="21">
        <f>Defaults!EK11*Obligors!$G$11*Obligors!$H$11</f>
        <v/>
      </c>
      <c r="EL11" s="21">
        <f>Defaults!EL11*Obligors!$G$11*Obligors!$H$11</f>
        <v/>
      </c>
      <c r="EM11" s="21">
        <f>Defaults!EM11*Obligors!$G$11*Obligors!$H$11</f>
        <v/>
      </c>
      <c r="EN11" s="21">
        <f>Defaults!EN11*Obligors!$G$11*Obligors!$H$11</f>
        <v/>
      </c>
      <c r="EO11" s="21">
        <f>Defaults!EO11*Obligors!$G$11*Obligors!$H$11</f>
        <v/>
      </c>
      <c r="EP11" s="21">
        <f>Defaults!EP11*Obligors!$G$11*Obligors!$H$11</f>
        <v/>
      </c>
      <c r="EQ11" s="21">
        <f>Defaults!EQ11*Obligors!$G$11*Obligors!$H$11</f>
        <v/>
      </c>
      <c r="ER11" s="21">
        <f>Defaults!ER11*Obligors!$G$11*Obligors!$H$11</f>
        <v/>
      </c>
      <c r="ES11" s="21">
        <f>Defaults!ES11*Obligors!$G$11*Obligors!$H$11</f>
        <v/>
      </c>
      <c r="ET11" s="21">
        <f>Defaults!ET11*Obligors!$G$11*Obligors!$H$11</f>
        <v/>
      </c>
      <c r="EU11" s="21">
        <f>Defaults!EU11*Obligors!$G$11*Obligors!$H$11</f>
        <v/>
      </c>
      <c r="EV11" s="21">
        <f>Defaults!EV11*Obligors!$G$11*Obligors!$H$11</f>
        <v/>
      </c>
      <c r="EW11" s="21">
        <f>Defaults!EW11*Obligors!$G$11*Obligors!$H$11</f>
        <v/>
      </c>
      <c r="EX11" s="21">
        <f>Defaults!EX11*Obligors!$G$11*Obligors!$H$11</f>
        <v/>
      </c>
      <c r="EY11" s="21">
        <f>Defaults!EY11*Obligors!$G$11*Obligors!$H$11</f>
        <v/>
      </c>
      <c r="EZ11" s="21">
        <f>Defaults!EZ11*Obligors!$G$11*Obligors!$H$11</f>
        <v/>
      </c>
      <c r="FA11" s="21">
        <f>Defaults!FA11*Obligors!$G$11*Obligors!$H$11</f>
        <v/>
      </c>
      <c r="FB11" s="21">
        <f>Defaults!FB11*Obligors!$G$11*Obligors!$H$11</f>
        <v/>
      </c>
      <c r="FC11" s="21">
        <f>Defaults!FC11*Obligors!$G$11*Obligors!$H$11</f>
        <v/>
      </c>
      <c r="FD11" s="21">
        <f>Defaults!FD11*Obligors!$G$11*Obligors!$H$11</f>
        <v/>
      </c>
      <c r="FE11" s="21">
        <f>Defaults!FE11*Obligors!$G$11*Obligors!$H$11</f>
        <v/>
      </c>
      <c r="FF11" s="21">
        <f>Defaults!FF11*Obligors!$G$11*Obligors!$H$11</f>
        <v/>
      </c>
      <c r="FG11" s="21">
        <f>Defaults!FG11*Obligors!$G$11*Obligors!$H$11</f>
        <v/>
      </c>
      <c r="FH11" s="21">
        <f>Defaults!FH11*Obligors!$G$11*Obligors!$H$11</f>
        <v/>
      </c>
      <c r="FI11" s="21">
        <f>Defaults!FI11*Obligors!$G$11*Obligors!$H$11</f>
        <v/>
      </c>
      <c r="FJ11" s="21">
        <f>Defaults!FJ11*Obligors!$G$11*Obligors!$H$11</f>
        <v/>
      </c>
      <c r="FK11" s="21">
        <f>Defaults!FK11*Obligors!$G$11*Obligors!$H$11</f>
        <v/>
      </c>
      <c r="FL11" s="21">
        <f>Defaults!FL11*Obligors!$G$11*Obligors!$H$11</f>
        <v/>
      </c>
      <c r="FM11" s="21">
        <f>Defaults!FM11*Obligors!$G$11*Obligors!$H$11</f>
        <v/>
      </c>
      <c r="FN11" s="21">
        <f>Defaults!FN11*Obligors!$G$11*Obligors!$H$11</f>
        <v/>
      </c>
      <c r="FO11" s="21">
        <f>Defaults!FO11*Obligors!$G$11*Obligors!$H$11</f>
        <v/>
      </c>
      <c r="FP11" s="21">
        <f>Defaults!FP11*Obligors!$G$11*Obligors!$H$11</f>
        <v/>
      </c>
      <c r="FQ11" s="21">
        <f>Defaults!FQ11*Obligors!$G$11*Obligors!$H$11</f>
        <v/>
      </c>
      <c r="FR11" s="21">
        <f>Defaults!FR11*Obligors!$G$11*Obligors!$H$11</f>
        <v/>
      </c>
      <c r="FS11" s="21">
        <f>Defaults!FS11*Obligors!$G$11*Obligors!$H$11</f>
        <v/>
      </c>
      <c r="FT11" s="21">
        <f>Defaults!FT11*Obligors!$G$11*Obligors!$H$11</f>
        <v/>
      </c>
      <c r="FU11" s="21">
        <f>Defaults!FU11*Obligors!$G$11*Obligors!$H$11</f>
        <v/>
      </c>
      <c r="FV11" s="21">
        <f>Defaults!FV11*Obligors!$G$11*Obligors!$H$11</f>
        <v/>
      </c>
      <c r="FW11" s="21">
        <f>Defaults!FW11*Obligors!$G$11*Obligors!$H$11</f>
        <v/>
      </c>
      <c r="FX11" s="21">
        <f>Defaults!FX11*Obligors!$G$11*Obligors!$H$11</f>
        <v/>
      </c>
      <c r="FY11" s="21">
        <f>Defaults!FY11*Obligors!$G$11*Obligors!$H$11</f>
        <v/>
      </c>
      <c r="FZ11" s="21">
        <f>Defaults!FZ11*Obligors!$G$11*Obligors!$H$11</f>
        <v/>
      </c>
      <c r="GA11" s="21">
        <f>Defaults!GA11*Obligors!$G$11*Obligors!$H$11</f>
        <v/>
      </c>
      <c r="GB11" s="21">
        <f>Defaults!GB11*Obligors!$G$11*Obligors!$H$11</f>
        <v/>
      </c>
      <c r="GC11" s="21">
        <f>Defaults!GC11*Obligors!$G$11*Obligors!$H$11</f>
        <v/>
      </c>
      <c r="GD11" s="21">
        <f>Defaults!GD11*Obligors!$G$11*Obligors!$H$11</f>
        <v/>
      </c>
      <c r="GE11" s="21">
        <f>Defaults!GE11*Obligors!$G$11*Obligors!$H$11</f>
        <v/>
      </c>
      <c r="GF11" s="21">
        <f>Defaults!GF11*Obligors!$G$11*Obligors!$H$11</f>
        <v/>
      </c>
      <c r="GG11" s="21">
        <f>Defaults!GG11*Obligors!$G$11*Obligors!$H$11</f>
        <v/>
      </c>
      <c r="GH11" s="21">
        <f>Defaults!GH11*Obligors!$G$11*Obligors!$H$11</f>
        <v/>
      </c>
      <c r="GI11" s="21">
        <f>Defaults!GI11*Obligors!$G$11*Obligors!$H$11</f>
        <v/>
      </c>
      <c r="GJ11" s="21">
        <f>Defaults!GJ11*Obligors!$G$11*Obligors!$H$11</f>
        <v/>
      </c>
      <c r="GK11" s="21">
        <f>Defaults!GK11*Obligors!$G$11*Obligors!$H$11</f>
        <v/>
      </c>
      <c r="GL11" s="21">
        <f>Defaults!GL11*Obligors!$G$11*Obligors!$H$11</f>
        <v/>
      </c>
      <c r="GM11" s="21">
        <f>Defaults!GM11*Obligors!$G$11*Obligors!$H$11</f>
        <v/>
      </c>
      <c r="GN11" s="21">
        <f>Defaults!GN11*Obligors!$G$11*Obligors!$H$11</f>
        <v/>
      </c>
      <c r="GO11" s="21">
        <f>Defaults!GO11*Obligors!$G$11*Obligors!$H$11</f>
        <v/>
      </c>
      <c r="GP11" s="21">
        <f>Defaults!GP11*Obligors!$G$11*Obligors!$H$11</f>
        <v/>
      </c>
      <c r="GQ11" s="21">
        <f>Defaults!GQ11*Obligors!$G$11*Obligors!$H$11</f>
        <v/>
      </c>
      <c r="GR11" s="21">
        <f>Defaults!GR11*Obligors!$G$11*Obligors!$H$11</f>
        <v/>
      </c>
      <c r="GS11" s="21">
        <f>Defaults!GS11*Obligors!$G$11*Obligors!$H$11</f>
        <v/>
      </c>
      <c r="GT11" s="21">
        <f>Defaults!GT11*Obligors!$G$11*Obligors!$H$11</f>
        <v/>
      </c>
      <c r="GU11" s="21">
        <f>Defaults!GU11*Obligors!$G$11*Obligors!$H$11</f>
        <v/>
      </c>
      <c r="GV11" s="21">
        <f>Defaults!GV11*Obligors!$G$11*Obligors!$H$11</f>
        <v/>
      </c>
      <c r="GW11" s="21">
        <f>Defaults!GW11*Obligors!$G$11*Obligors!$H$11</f>
        <v/>
      </c>
      <c r="GX11" s="21">
        <f>Defaults!GX11*Obligors!$G$11*Obligors!$H$11</f>
        <v/>
      </c>
      <c r="GY11" s="21">
        <f>Defaults!GY11*Obligors!$G$11*Obligors!$H$11</f>
        <v/>
      </c>
      <c r="GZ11" s="21">
        <f>Defaults!GZ11*Obligors!$G$11*Obligors!$H$11</f>
        <v/>
      </c>
      <c r="HA11" s="21">
        <f>Defaults!HA11*Obligors!$G$11*Obligors!$H$11</f>
        <v/>
      </c>
      <c r="HB11" s="21">
        <f>Defaults!HB11*Obligors!$G$11*Obligors!$H$11</f>
        <v/>
      </c>
      <c r="HC11" s="21">
        <f>Defaults!HC11*Obligors!$G$11*Obligors!$H$11</f>
        <v/>
      </c>
      <c r="HD11" s="21">
        <f>Defaults!HD11*Obligors!$G$11*Obligors!$H$11</f>
        <v/>
      </c>
      <c r="HE11" s="21">
        <f>Defaults!HE11*Obligors!$G$11*Obligors!$H$11</f>
        <v/>
      </c>
      <c r="HF11" s="21">
        <f>Defaults!HF11*Obligors!$G$11*Obligors!$H$11</f>
        <v/>
      </c>
      <c r="HG11" s="21">
        <f>Defaults!HG11*Obligors!$G$11*Obligors!$H$11</f>
        <v/>
      </c>
      <c r="HH11" s="21">
        <f>Defaults!HH11*Obligors!$G$11*Obligors!$H$11</f>
        <v/>
      </c>
      <c r="HI11" s="21">
        <f>Defaults!HI11*Obligors!$G$11*Obligors!$H$11</f>
        <v/>
      </c>
      <c r="HJ11" s="21">
        <f>Defaults!HJ11*Obligors!$G$11*Obligors!$H$11</f>
        <v/>
      </c>
      <c r="HK11" s="21">
        <f>Defaults!HK11*Obligors!$G$11*Obligors!$H$11</f>
        <v/>
      </c>
      <c r="HL11" s="21">
        <f>Defaults!HL11*Obligors!$G$11*Obligors!$H$11</f>
        <v/>
      </c>
      <c r="HM11" s="21">
        <f>Defaults!HM11*Obligors!$G$11*Obligors!$H$11</f>
        <v/>
      </c>
      <c r="HN11" s="21">
        <f>Defaults!HN11*Obligors!$G$11*Obligors!$H$11</f>
        <v/>
      </c>
      <c r="HO11" s="21">
        <f>Defaults!HO11*Obligors!$G$11*Obligors!$H$11</f>
        <v/>
      </c>
      <c r="HP11" s="21">
        <f>Defaults!HP11*Obligors!$G$11*Obligors!$H$11</f>
        <v/>
      </c>
      <c r="HQ11" s="21">
        <f>Defaults!HQ11*Obligors!$G$11*Obligors!$H$11</f>
        <v/>
      </c>
      <c r="HR11" s="21">
        <f>Defaults!HR11*Obligors!$G$11*Obligors!$H$11</f>
        <v/>
      </c>
      <c r="HS11" s="21">
        <f>Defaults!HS11*Obligors!$G$11*Obligors!$H$11</f>
        <v/>
      </c>
      <c r="HT11" s="21">
        <f>Defaults!HT11*Obligors!$G$11*Obligors!$H$11</f>
        <v/>
      </c>
      <c r="HU11" s="21">
        <f>Defaults!HU11*Obligors!$G$11*Obligors!$H$11</f>
        <v/>
      </c>
      <c r="HV11" s="21">
        <f>Defaults!HV11*Obligors!$G$11*Obligors!$H$11</f>
        <v/>
      </c>
      <c r="HW11" s="21">
        <f>Defaults!HW11*Obligors!$G$11*Obligors!$H$11</f>
        <v/>
      </c>
      <c r="HX11" s="21">
        <f>Defaults!HX11*Obligors!$G$11*Obligors!$H$11</f>
        <v/>
      </c>
      <c r="HY11" s="21">
        <f>Defaults!HY11*Obligors!$G$11*Obligors!$H$11</f>
        <v/>
      </c>
      <c r="HZ11" s="21">
        <f>Defaults!HZ11*Obligors!$G$11*Obligors!$H$11</f>
        <v/>
      </c>
      <c r="IA11" s="21">
        <f>Defaults!IA11*Obligors!$G$11*Obligors!$H$11</f>
        <v/>
      </c>
      <c r="IB11" s="21">
        <f>Defaults!IB11*Obligors!$G$11*Obligors!$H$11</f>
        <v/>
      </c>
      <c r="IC11" s="21">
        <f>Defaults!IC11*Obligors!$G$11*Obligors!$H$11</f>
        <v/>
      </c>
      <c r="ID11" s="21">
        <f>Defaults!ID11*Obligors!$G$11*Obligors!$H$11</f>
        <v/>
      </c>
      <c r="IE11" s="21">
        <f>Defaults!IE11*Obligors!$G$11*Obligors!$H$11</f>
        <v/>
      </c>
      <c r="IF11" s="21">
        <f>Defaults!IF11*Obligors!$G$11*Obligors!$H$11</f>
        <v/>
      </c>
      <c r="IG11" s="21">
        <f>Defaults!IG11*Obligors!$G$11*Obligors!$H$11</f>
        <v/>
      </c>
      <c r="IH11" s="21">
        <f>Defaults!IH11*Obligors!$G$11*Obligors!$H$11</f>
        <v/>
      </c>
      <c r="II11" s="21">
        <f>Defaults!II11*Obligors!$G$11*Obligors!$H$11</f>
        <v/>
      </c>
      <c r="IJ11" s="21">
        <f>Defaults!IJ11*Obligors!$G$11*Obligors!$H$11</f>
        <v/>
      </c>
      <c r="IK11" s="21">
        <f>Defaults!IK11*Obligors!$G$11*Obligors!$H$11</f>
        <v/>
      </c>
      <c r="IL11" s="21">
        <f>Defaults!IL11*Obligors!$G$11*Obligors!$H$11</f>
        <v/>
      </c>
      <c r="IM11" s="21">
        <f>Defaults!IM11*Obligors!$G$11*Obligors!$H$11</f>
        <v/>
      </c>
      <c r="IN11" s="21">
        <f>Defaults!IN11*Obligors!$G$11*Obligors!$H$11</f>
        <v/>
      </c>
      <c r="IO11" s="21">
        <f>Defaults!IO11*Obligors!$G$11*Obligors!$H$11</f>
        <v/>
      </c>
      <c r="IP11" s="21">
        <f>Defaults!IP11*Obligors!$G$11*Obligors!$H$11</f>
        <v/>
      </c>
      <c r="IQ11" s="21">
        <f>Defaults!IQ11*Obligors!$G$11*Obligors!$H$11</f>
        <v/>
      </c>
      <c r="IR11" s="21">
        <f>Defaults!IR11*Obligors!$G$11*Obligors!$H$11</f>
        <v/>
      </c>
      <c r="IS11" s="21">
        <f>Defaults!IS11*Obligors!$G$11*Obligors!$H$11</f>
        <v/>
      </c>
      <c r="IT11" s="21">
        <f>Defaults!IT11*Obligors!$G$11*Obligors!$H$11</f>
        <v/>
      </c>
      <c r="IU11" s="21">
        <f>Defaults!IU11*Obligors!$G$11*Obligors!$H$11</f>
        <v/>
      </c>
      <c r="IV11" s="21">
        <f>Defaults!IV11*Obligors!$G$11*Obligors!$H$11</f>
        <v/>
      </c>
      <c r="IW11" s="21">
        <f>Defaults!IW11*Obligors!$G$11*Obligors!$H$11</f>
        <v/>
      </c>
      <c r="IX11" s="21">
        <f>Defaults!IX11*Obligors!$G$11*Obligors!$H$11</f>
        <v/>
      </c>
      <c r="IY11" s="21">
        <f>Defaults!IY11*Obligors!$G$11*Obligors!$H$11</f>
        <v/>
      </c>
      <c r="IZ11" s="21">
        <f>Defaults!IZ11*Obligors!$G$11*Obligors!$H$11</f>
        <v/>
      </c>
      <c r="JA11" s="21">
        <f>Defaults!JA11*Obligors!$G$11*Obligors!$H$11</f>
        <v/>
      </c>
      <c r="JB11" s="21">
        <f>Defaults!JB11*Obligors!$G$11*Obligors!$H$11</f>
        <v/>
      </c>
      <c r="JC11" s="21">
        <f>Defaults!JC11*Obligors!$G$11*Obligors!$H$11</f>
        <v/>
      </c>
      <c r="JD11" s="21">
        <f>Defaults!JD11*Obligors!$G$11*Obligors!$H$11</f>
        <v/>
      </c>
      <c r="JE11" s="21">
        <f>Defaults!JE11*Obligors!$G$11*Obligors!$H$11</f>
        <v/>
      </c>
      <c r="JF11" s="21">
        <f>Defaults!JF11*Obligors!$G$11*Obligors!$H$11</f>
        <v/>
      </c>
      <c r="JG11" s="21">
        <f>Defaults!JG11*Obligors!$G$11*Obligors!$H$11</f>
        <v/>
      </c>
      <c r="JH11" s="21">
        <f>Defaults!JH11*Obligors!$G$11*Obligors!$H$11</f>
        <v/>
      </c>
      <c r="JI11" s="21">
        <f>Defaults!JI11*Obligors!$G$11*Obligors!$H$11</f>
        <v/>
      </c>
      <c r="JJ11" s="21">
        <f>Defaults!JJ11*Obligors!$G$11*Obligors!$H$11</f>
        <v/>
      </c>
      <c r="JK11" s="21">
        <f>Defaults!JK11*Obligors!$G$11*Obligors!$H$11</f>
        <v/>
      </c>
      <c r="JL11" s="21">
        <f>Defaults!JL11*Obligors!$G$11*Obligors!$H$11</f>
        <v/>
      </c>
      <c r="JM11" s="21">
        <f>Defaults!JM11*Obligors!$G$11*Obligors!$H$11</f>
        <v/>
      </c>
      <c r="JN11" s="21">
        <f>Defaults!JN11*Obligors!$G$11*Obligors!$H$11</f>
        <v/>
      </c>
      <c r="JO11" s="21">
        <f>Defaults!JO11*Obligors!$G$11*Obligors!$H$11</f>
        <v/>
      </c>
      <c r="JP11" s="21">
        <f>Defaults!JP11*Obligors!$G$11*Obligors!$H$11</f>
        <v/>
      </c>
      <c r="JQ11" s="21">
        <f>Defaults!JQ11*Obligors!$G$11*Obligors!$H$11</f>
        <v/>
      </c>
      <c r="JR11" s="21">
        <f>Defaults!JR11*Obligors!$G$11*Obligors!$H$11</f>
        <v/>
      </c>
      <c r="JS11" s="21">
        <f>Defaults!JS11*Obligors!$G$11*Obligors!$H$11</f>
        <v/>
      </c>
      <c r="JT11" s="21">
        <f>Defaults!JT11*Obligors!$G$11*Obligors!$H$11</f>
        <v/>
      </c>
      <c r="JU11" s="21">
        <f>Defaults!JU11*Obligors!$G$11*Obligors!$H$11</f>
        <v/>
      </c>
      <c r="JV11" s="21">
        <f>Defaults!JV11*Obligors!$G$11*Obligors!$H$11</f>
        <v/>
      </c>
      <c r="JW11" s="21">
        <f>Defaults!JW11*Obligors!$G$11*Obligors!$H$11</f>
        <v/>
      </c>
      <c r="JX11" s="21">
        <f>Defaults!JX11*Obligors!$G$11*Obligors!$H$11</f>
        <v/>
      </c>
      <c r="JY11" s="21">
        <f>Defaults!JY11*Obligors!$G$11*Obligors!$H$11</f>
        <v/>
      </c>
      <c r="JZ11" s="21">
        <f>Defaults!JZ11*Obligors!$G$11*Obligors!$H$11</f>
        <v/>
      </c>
      <c r="KA11" s="21">
        <f>Defaults!KA11*Obligors!$G$11*Obligors!$H$11</f>
        <v/>
      </c>
      <c r="KB11" s="21">
        <f>Defaults!KB11*Obligors!$G$11*Obligors!$H$11</f>
        <v/>
      </c>
      <c r="KC11" s="21">
        <f>Defaults!KC11*Obligors!$G$11*Obligors!$H$11</f>
        <v/>
      </c>
      <c r="KD11" s="21">
        <f>Defaults!KD11*Obligors!$G$11*Obligors!$H$11</f>
        <v/>
      </c>
      <c r="KE11" s="21">
        <f>Defaults!KE11*Obligors!$G$11*Obligors!$H$11</f>
        <v/>
      </c>
      <c r="KF11" s="21">
        <f>Defaults!KF11*Obligors!$G$11*Obligors!$H$11</f>
        <v/>
      </c>
      <c r="KG11" s="21">
        <f>Defaults!KG11*Obligors!$G$11*Obligors!$H$11</f>
        <v/>
      </c>
      <c r="KH11" s="21">
        <f>Defaults!KH11*Obligors!$G$11*Obligors!$H$11</f>
        <v/>
      </c>
      <c r="KI11" s="21">
        <f>Defaults!KI11*Obligors!$G$11*Obligors!$H$11</f>
        <v/>
      </c>
      <c r="KJ11" s="21">
        <f>Defaults!KJ11*Obligors!$G$11*Obligors!$H$11</f>
        <v/>
      </c>
      <c r="KK11" s="21">
        <f>Defaults!KK11*Obligors!$G$11*Obligors!$H$11</f>
        <v/>
      </c>
      <c r="KL11" s="21">
        <f>Defaults!KL11*Obligors!$G$11*Obligors!$H$11</f>
        <v/>
      </c>
      <c r="KM11" s="21">
        <f>Defaults!KM11*Obligors!$G$11*Obligors!$H$11</f>
        <v/>
      </c>
      <c r="KN11" s="21">
        <f>Defaults!KN11*Obligors!$G$11*Obligors!$H$11</f>
        <v/>
      </c>
      <c r="KO11" s="21">
        <f>Defaults!KO11*Obligors!$G$11*Obligors!$H$11</f>
        <v/>
      </c>
      <c r="KP11" s="21">
        <f>Defaults!KP11*Obligors!$G$11*Obligors!$H$11</f>
        <v/>
      </c>
      <c r="KQ11" s="21">
        <f>Defaults!KQ11*Obligors!$G$11*Obligors!$H$11</f>
        <v/>
      </c>
      <c r="KR11" s="21">
        <f>Defaults!KR11*Obligors!$G$11*Obligors!$H$11</f>
        <v/>
      </c>
      <c r="KS11" s="21">
        <f>Defaults!KS11*Obligors!$G$11*Obligors!$H$11</f>
        <v/>
      </c>
      <c r="KT11" s="21">
        <f>Defaults!KT11*Obligors!$G$11*Obligors!$H$11</f>
        <v/>
      </c>
      <c r="KU11" s="21">
        <f>Defaults!KU11*Obligors!$G$11*Obligors!$H$11</f>
        <v/>
      </c>
      <c r="KV11" s="21">
        <f>Defaults!KV11*Obligors!$G$11*Obligors!$H$11</f>
        <v/>
      </c>
      <c r="KW11" s="21">
        <f>Defaults!KW11*Obligors!$G$11*Obligors!$H$11</f>
        <v/>
      </c>
      <c r="KX11" s="21">
        <f>Defaults!KX11*Obligors!$G$11*Obligors!$H$11</f>
        <v/>
      </c>
      <c r="KY11" s="21">
        <f>Defaults!KY11*Obligors!$G$11*Obligors!$H$11</f>
        <v/>
      </c>
      <c r="KZ11" s="21">
        <f>Defaults!KZ11*Obligors!$G$11*Obligors!$H$11</f>
        <v/>
      </c>
      <c r="LA11" s="21">
        <f>Defaults!LA11*Obligors!$G$11*Obligors!$H$11</f>
        <v/>
      </c>
      <c r="LB11" s="21">
        <f>Defaults!LB11*Obligors!$G$11*Obligors!$H$11</f>
        <v/>
      </c>
      <c r="LC11" s="21">
        <f>Defaults!LC11*Obligors!$G$11*Obligors!$H$11</f>
        <v/>
      </c>
      <c r="LD11" s="21">
        <f>Defaults!LD11*Obligors!$G$11*Obligors!$H$11</f>
        <v/>
      </c>
      <c r="LE11" s="21">
        <f>Defaults!LE11*Obligors!$G$11*Obligors!$H$11</f>
        <v/>
      </c>
      <c r="LF11" s="21">
        <f>Defaults!LF11*Obligors!$G$11*Obligors!$H$11</f>
        <v/>
      </c>
      <c r="LG11" s="21">
        <f>Defaults!LG11*Obligors!$G$11*Obligors!$H$11</f>
        <v/>
      </c>
      <c r="LH11" s="21">
        <f>Defaults!LH11*Obligors!$G$11*Obligors!$H$11</f>
        <v/>
      </c>
      <c r="LI11" s="21">
        <f>Defaults!LI11*Obligors!$G$11*Obligors!$H$11</f>
        <v/>
      </c>
      <c r="LJ11" s="21">
        <f>Defaults!LJ11*Obligors!$G$11*Obligors!$H$11</f>
        <v/>
      </c>
      <c r="LK11" s="21">
        <f>Defaults!LK11*Obligors!$G$11*Obligors!$H$11</f>
        <v/>
      </c>
      <c r="LL11" s="21">
        <f>Defaults!LL11*Obligors!$G$11*Obligors!$H$11</f>
        <v/>
      </c>
      <c r="LM11" s="21">
        <f>Defaults!LM11*Obligors!$G$11*Obligors!$H$11</f>
        <v/>
      </c>
      <c r="LN11" s="21">
        <f>Defaults!LN11*Obligors!$G$11*Obligors!$H$11</f>
        <v/>
      </c>
      <c r="LO11" s="21">
        <f>Defaults!LO11*Obligors!$G$11*Obligors!$H$11</f>
        <v/>
      </c>
      <c r="LP11" s="21">
        <f>Defaults!LP11*Obligors!$G$11*Obligors!$H$11</f>
        <v/>
      </c>
      <c r="LQ11" s="21">
        <f>Defaults!LQ11*Obligors!$G$11*Obligors!$H$11</f>
        <v/>
      </c>
      <c r="LR11" s="21">
        <f>Defaults!LR11*Obligors!$G$11*Obligors!$H$11</f>
        <v/>
      </c>
      <c r="LS11" s="21">
        <f>Defaults!LS11*Obligors!$G$11*Obligors!$H$11</f>
        <v/>
      </c>
      <c r="LT11" s="21">
        <f>Defaults!LT11*Obligors!$G$11*Obligors!$H$11</f>
        <v/>
      </c>
      <c r="LU11" s="21">
        <f>Defaults!LU11*Obligors!$G$11*Obligors!$H$11</f>
        <v/>
      </c>
      <c r="LV11" s="21">
        <f>Defaults!LV11*Obligors!$G$11*Obligors!$H$11</f>
        <v/>
      </c>
      <c r="LW11" s="21">
        <f>Defaults!LW11*Obligors!$G$11*Obligors!$H$11</f>
        <v/>
      </c>
      <c r="LX11" s="21">
        <f>Defaults!LX11*Obligors!$G$11*Obligors!$H$11</f>
        <v/>
      </c>
      <c r="LY11" s="21">
        <f>Defaults!LY11*Obligors!$G$11*Obligors!$H$11</f>
        <v/>
      </c>
      <c r="LZ11" s="21">
        <f>Defaults!LZ11*Obligors!$G$11*Obligors!$H$11</f>
        <v/>
      </c>
      <c r="MA11" s="21">
        <f>Defaults!MA11*Obligors!$G$11*Obligors!$H$11</f>
        <v/>
      </c>
      <c r="MB11" s="21">
        <f>Defaults!MB11*Obligors!$G$11*Obligors!$H$11</f>
        <v/>
      </c>
      <c r="MC11" s="21">
        <f>Defaults!MC11*Obligors!$G$11*Obligors!$H$11</f>
        <v/>
      </c>
      <c r="MD11" s="21">
        <f>Defaults!MD11*Obligors!$G$11*Obligors!$H$11</f>
        <v/>
      </c>
      <c r="ME11" s="21">
        <f>Defaults!ME11*Obligors!$G$11*Obligors!$H$11</f>
        <v/>
      </c>
      <c r="MF11" s="21">
        <f>Defaults!MF11*Obligors!$G$11*Obligors!$H$11</f>
        <v/>
      </c>
      <c r="MG11" s="21">
        <f>Defaults!MG11*Obligors!$G$11*Obligors!$H$11</f>
        <v/>
      </c>
      <c r="MH11" s="21">
        <f>Defaults!MH11*Obligors!$G$11*Obligors!$H$11</f>
        <v/>
      </c>
      <c r="MI11" s="21">
        <f>Defaults!MI11*Obligors!$G$11*Obligors!$H$11</f>
        <v/>
      </c>
      <c r="MJ11" s="21">
        <f>Defaults!MJ11*Obligors!$G$11*Obligors!$H$11</f>
        <v/>
      </c>
      <c r="MK11" s="21">
        <f>Defaults!MK11*Obligors!$G$11*Obligors!$H$11</f>
        <v/>
      </c>
      <c r="ML11" s="21">
        <f>Defaults!ML11*Obligors!$G$11*Obligors!$H$11</f>
        <v/>
      </c>
      <c r="MM11" s="21">
        <f>Defaults!MM11*Obligors!$G$11*Obligors!$H$11</f>
        <v/>
      </c>
      <c r="MN11" s="21">
        <f>Defaults!MN11*Obligors!$G$11*Obligors!$H$11</f>
        <v/>
      </c>
      <c r="MO11" s="21">
        <f>Defaults!MO11*Obligors!$G$11*Obligors!$H$11</f>
        <v/>
      </c>
      <c r="MP11" s="21">
        <f>Defaults!MP11*Obligors!$G$11*Obligors!$H$11</f>
        <v/>
      </c>
      <c r="MQ11" s="21">
        <f>Defaults!MQ11*Obligors!$G$11*Obligors!$H$11</f>
        <v/>
      </c>
      <c r="MR11" s="21">
        <f>Defaults!MR11*Obligors!$G$11*Obligors!$H$11</f>
        <v/>
      </c>
      <c r="MS11" s="21">
        <f>Defaults!MS11*Obligors!$G$11*Obligors!$H$11</f>
        <v/>
      </c>
      <c r="MT11" s="21">
        <f>Defaults!MT11*Obligors!$G$11*Obligors!$H$11</f>
        <v/>
      </c>
      <c r="MU11" s="21">
        <f>Defaults!MU11*Obligors!$G$11*Obligors!$H$11</f>
        <v/>
      </c>
      <c r="MV11" s="21">
        <f>Defaults!MV11*Obligors!$G$11*Obligors!$H$11</f>
        <v/>
      </c>
      <c r="MW11" s="21">
        <f>Defaults!MW11*Obligors!$G$11*Obligors!$H$11</f>
        <v/>
      </c>
      <c r="MX11" s="21">
        <f>Defaults!MX11*Obligors!$G$11*Obligors!$H$11</f>
        <v/>
      </c>
      <c r="MY11" s="21">
        <f>Defaults!MY11*Obligors!$G$11*Obligors!$H$11</f>
        <v/>
      </c>
      <c r="MZ11" s="21">
        <f>Defaults!MZ11*Obligors!$G$11*Obligors!$H$11</f>
        <v/>
      </c>
      <c r="NA11" s="21">
        <f>Defaults!NA11*Obligors!$G$11*Obligors!$H$11</f>
        <v/>
      </c>
      <c r="NB11" s="21">
        <f>Defaults!NB11*Obligors!$G$11*Obligors!$H$11</f>
        <v/>
      </c>
      <c r="NC11" s="21">
        <f>Defaults!NC11*Obligors!$G$11*Obligors!$H$11</f>
        <v/>
      </c>
      <c r="ND11" s="21">
        <f>Defaults!ND11*Obligors!$G$11*Obligors!$H$11</f>
        <v/>
      </c>
      <c r="NE11" s="21">
        <f>Defaults!NE11*Obligors!$G$11*Obligors!$H$11</f>
        <v/>
      </c>
      <c r="NF11" s="21">
        <f>Defaults!NF11*Obligors!$G$11*Obligors!$H$11</f>
        <v/>
      </c>
      <c r="NG11" s="21">
        <f>Defaults!NG11*Obligors!$G$11*Obligors!$H$11</f>
        <v/>
      </c>
      <c r="NH11" s="21">
        <f>Defaults!NH11*Obligors!$G$11*Obligors!$H$11</f>
        <v/>
      </c>
      <c r="NI11" s="21">
        <f>Defaults!NI11*Obligors!$G$11*Obligors!$H$11</f>
        <v/>
      </c>
      <c r="NJ11" s="21">
        <f>Defaults!NJ11*Obligors!$G$11*Obligors!$H$11</f>
        <v/>
      </c>
      <c r="NK11" s="21">
        <f>Defaults!NK11*Obligors!$G$11*Obligors!$H$11</f>
        <v/>
      </c>
      <c r="NL11" s="21">
        <f>Defaults!NL11*Obligors!$G$11*Obligors!$H$11</f>
        <v/>
      </c>
      <c r="NM11" s="21">
        <f>Defaults!NM11*Obligors!$G$11*Obligors!$H$11</f>
        <v/>
      </c>
      <c r="NN11" s="21">
        <f>Defaults!NN11*Obligors!$G$11*Obligors!$H$11</f>
        <v/>
      </c>
      <c r="NO11" s="21">
        <f>Defaults!NO11*Obligors!$G$11*Obligors!$H$11</f>
        <v/>
      </c>
      <c r="NP11" s="21">
        <f>Defaults!NP11*Obligors!$G$11*Obligors!$H$11</f>
        <v/>
      </c>
      <c r="NQ11" s="21">
        <f>Defaults!NQ11*Obligors!$G$11*Obligors!$H$11</f>
        <v/>
      </c>
      <c r="NR11" s="21">
        <f>Defaults!NR11*Obligors!$G$11*Obligors!$H$11</f>
        <v/>
      </c>
      <c r="NS11" s="21">
        <f>Defaults!NS11*Obligors!$G$11*Obligors!$H$11</f>
        <v/>
      </c>
      <c r="NT11" s="21">
        <f>Defaults!NT11*Obligors!$G$11*Obligors!$H$11</f>
        <v/>
      </c>
      <c r="NU11" s="21">
        <f>Defaults!NU11*Obligors!$G$11*Obligors!$H$11</f>
        <v/>
      </c>
      <c r="NV11" s="21">
        <f>Defaults!NV11*Obligors!$G$11*Obligors!$H$11</f>
        <v/>
      </c>
      <c r="NW11" s="21">
        <f>Defaults!NW11*Obligors!$G$11*Obligors!$H$11</f>
        <v/>
      </c>
      <c r="NX11" s="21">
        <f>Defaults!NX11*Obligors!$G$11*Obligors!$H$11</f>
        <v/>
      </c>
      <c r="NY11" s="21">
        <f>Defaults!NY11*Obligors!$G$11*Obligors!$H$11</f>
        <v/>
      </c>
      <c r="NZ11" s="21">
        <f>Defaults!NZ11*Obligors!$G$11*Obligors!$H$11</f>
        <v/>
      </c>
      <c r="OA11" s="21">
        <f>Defaults!OA11*Obligors!$G$11*Obligors!$H$11</f>
        <v/>
      </c>
      <c r="OB11" s="21">
        <f>Defaults!OB11*Obligors!$G$11*Obligors!$H$11</f>
        <v/>
      </c>
      <c r="OC11" s="21">
        <f>Defaults!OC11*Obligors!$G$11*Obligors!$H$11</f>
        <v/>
      </c>
      <c r="OD11" s="21">
        <f>Defaults!OD11*Obligors!$G$11*Obligors!$H$11</f>
        <v/>
      </c>
      <c r="OE11" s="21">
        <f>Defaults!OE11*Obligors!$G$11*Obligors!$H$11</f>
        <v/>
      </c>
      <c r="OF11" s="21">
        <f>Defaults!OF11*Obligors!$G$11*Obligors!$H$11</f>
        <v/>
      </c>
      <c r="OG11" s="21">
        <f>Defaults!OG11*Obligors!$G$11*Obligors!$H$11</f>
        <v/>
      </c>
      <c r="OH11" s="21">
        <f>Defaults!OH11*Obligors!$G$11*Obligors!$H$11</f>
        <v/>
      </c>
      <c r="OI11" s="21">
        <f>Defaults!OI11*Obligors!$G$11*Obligors!$H$11</f>
        <v/>
      </c>
      <c r="OJ11" s="21">
        <f>Defaults!OJ11*Obligors!$G$11*Obligors!$H$11</f>
        <v/>
      </c>
      <c r="OK11" s="21">
        <f>Defaults!OK11*Obligors!$G$11*Obligors!$H$11</f>
        <v/>
      </c>
      <c r="OL11" s="21">
        <f>Defaults!OL11*Obligors!$G$11*Obligors!$H$11</f>
        <v/>
      </c>
      <c r="OM11" s="21">
        <f>Defaults!OM11*Obligors!$G$11*Obligors!$H$11</f>
        <v/>
      </c>
      <c r="ON11" s="21">
        <f>Defaults!ON11*Obligors!$G$11*Obligors!$H$11</f>
        <v/>
      </c>
      <c r="OO11" s="21">
        <f>Defaults!OO11*Obligors!$G$11*Obligors!$H$11</f>
        <v/>
      </c>
      <c r="OP11" s="21">
        <f>Defaults!OP11*Obligors!$G$11*Obligors!$H$11</f>
        <v/>
      </c>
      <c r="OQ11" s="21">
        <f>Defaults!OQ11*Obligors!$G$11*Obligors!$H$11</f>
        <v/>
      </c>
      <c r="OR11" s="21">
        <f>Defaults!OR11*Obligors!$G$11*Obligors!$H$11</f>
        <v/>
      </c>
      <c r="OS11" s="21">
        <f>Defaults!OS11*Obligors!$G$11*Obligors!$H$11</f>
        <v/>
      </c>
      <c r="OT11" s="21">
        <f>Defaults!OT11*Obligors!$G$11*Obligors!$H$11</f>
        <v/>
      </c>
      <c r="OU11" s="21">
        <f>Defaults!OU11*Obligors!$G$11*Obligors!$H$11</f>
        <v/>
      </c>
      <c r="OV11" s="21">
        <f>Defaults!OV11*Obligors!$G$11*Obligors!$H$11</f>
        <v/>
      </c>
      <c r="OW11" s="21">
        <f>Defaults!OW11*Obligors!$G$11*Obligors!$H$11</f>
        <v/>
      </c>
      <c r="OX11" s="21">
        <f>Defaults!OX11*Obligors!$G$11*Obligors!$H$11</f>
        <v/>
      </c>
      <c r="OY11" s="21">
        <f>Defaults!OY11*Obligors!$G$11*Obligors!$H$11</f>
        <v/>
      </c>
      <c r="OZ11" s="21">
        <f>Defaults!OZ11*Obligors!$G$11*Obligors!$H$11</f>
        <v/>
      </c>
      <c r="PA11" s="21">
        <f>Defaults!PA11*Obligors!$G$11*Obligors!$H$11</f>
        <v/>
      </c>
      <c r="PB11" s="21">
        <f>Defaults!PB11*Obligors!$G$11*Obligors!$H$11</f>
        <v/>
      </c>
      <c r="PC11" s="21">
        <f>Defaults!PC11*Obligors!$G$11*Obligors!$H$11</f>
        <v/>
      </c>
      <c r="PD11" s="21">
        <f>Defaults!PD11*Obligors!$G$11*Obligors!$H$11</f>
        <v/>
      </c>
      <c r="PE11" s="21">
        <f>Defaults!PE11*Obligors!$G$11*Obligors!$H$11</f>
        <v/>
      </c>
      <c r="PF11" s="21">
        <f>Defaults!PF11*Obligors!$G$11*Obligors!$H$11</f>
        <v/>
      </c>
      <c r="PG11" s="21">
        <f>Defaults!PG11*Obligors!$G$11*Obligors!$H$11</f>
        <v/>
      </c>
      <c r="PH11" s="21">
        <f>Defaults!PH11*Obligors!$G$11*Obligors!$H$11</f>
        <v/>
      </c>
      <c r="PI11" s="21">
        <f>Defaults!PI11*Obligors!$G$11*Obligors!$H$11</f>
        <v/>
      </c>
      <c r="PJ11" s="21">
        <f>Defaults!PJ11*Obligors!$G$11*Obligors!$H$11</f>
        <v/>
      </c>
      <c r="PK11" s="21">
        <f>Defaults!PK11*Obligors!$G$11*Obligors!$H$11</f>
        <v/>
      </c>
      <c r="PL11" s="21">
        <f>Defaults!PL11*Obligors!$G$11*Obligors!$H$11</f>
        <v/>
      </c>
      <c r="PM11" s="21">
        <f>Defaults!PM11*Obligors!$G$11*Obligors!$H$11</f>
        <v/>
      </c>
      <c r="PN11" s="21">
        <f>Defaults!PN11*Obligors!$G$11*Obligors!$H$11</f>
        <v/>
      </c>
      <c r="PO11" s="21">
        <f>Defaults!PO11*Obligors!$G$11*Obligors!$H$11</f>
        <v/>
      </c>
      <c r="PP11" s="21">
        <f>Defaults!PP11*Obligors!$G$11*Obligors!$H$11</f>
        <v/>
      </c>
      <c r="PQ11" s="21">
        <f>Defaults!PQ11*Obligors!$G$11*Obligors!$H$11</f>
        <v/>
      </c>
      <c r="PR11" s="21">
        <f>Defaults!PR11*Obligors!$G$11*Obligors!$H$11</f>
        <v/>
      </c>
      <c r="PS11" s="21">
        <f>Defaults!PS11*Obligors!$G$11*Obligors!$H$11</f>
        <v/>
      </c>
      <c r="PT11" s="21">
        <f>Defaults!PT11*Obligors!$G$11*Obligors!$H$11</f>
        <v/>
      </c>
      <c r="PU11" s="21">
        <f>Defaults!PU11*Obligors!$G$11*Obligors!$H$11</f>
        <v/>
      </c>
      <c r="PV11" s="21">
        <f>Defaults!PV11*Obligors!$G$11*Obligors!$H$11</f>
        <v/>
      </c>
      <c r="PW11" s="21">
        <f>Defaults!PW11*Obligors!$G$11*Obligors!$H$11</f>
        <v/>
      </c>
      <c r="PX11" s="21">
        <f>Defaults!PX11*Obligors!$G$11*Obligors!$H$11</f>
        <v/>
      </c>
      <c r="PY11" s="21">
        <f>Defaults!PY11*Obligors!$G$11*Obligors!$H$11</f>
        <v/>
      </c>
      <c r="PZ11" s="21">
        <f>Defaults!PZ11*Obligors!$G$11*Obligors!$H$11</f>
        <v/>
      </c>
      <c r="QA11" s="21">
        <f>Defaults!QA11*Obligors!$G$11*Obligors!$H$11</f>
        <v/>
      </c>
      <c r="QB11" s="21">
        <f>Defaults!QB11*Obligors!$G$11*Obligors!$H$11</f>
        <v/>
      </c>
      <c r="QC11" s="21">
        <f>Defaults!QC11*Obligors!$G$11*Obligors!$H$11</f>
        <v/>
      </c>
      <c r="QD11" s="21">
        <f>Defaults!QD11*Obligors!$G$11*Obligors!$H$11</f>
        <v/>
      </c>
      <c r="QE11" s="21">
        <f>Defaults!QE11*Obligors!$G$11*Obligors!$H$11</f>
        <v/>
      </c>
      <c r="QF11" s="21">
        <f>Defaults!QF11*Obligors!$G$11*Obligors!$H$11</f>
        <v/>
      </c>
      <c r="QG11" s="21">
        <f>Defaults!QG11*Obligors!$G$11*Obligors!$H$11</f>
        <v/>
      </c>
      <c r="QH11" s="21">
        <f>Defaults!QH11*Obligors!$G$11*Obligors!$H$11</f>
        <v/>
      </c>
      <c r="QI11" s="21">
        <f>Defaults!QI11*Obligors!$G$11*Obligors!$H$11</f>
        <v/>
      </c>
      <c r="QJ11" s="21">
        <f>Defaults!QJ11*Obligors!$G$11*Obligors!$H$11</f>
        <v/>
      </c>
      <c r="QK11" s="21">
        <f>Defaults!QK11*Obligors!$G$11*Obligors!$H$11</f>
        <v/>
      </c>
      <c r="QL11" s="21">
        <f>Defaults!QL11*Obligors!$G$11*Obligors!$H$11</f>
        <v/>
      </c>
      <c r="QM11" s="21">
        <f>Defaults!QM11*Obligors!$G$11*Obligors!$H$11</f>
        <v/>
      </c>
      <c r="QN11" s="21">
        <f>Defaults!QN11*Obligors!$G$11*Obligors!$H$11</f>
        <v/>
      </c>
      <c r="QO11" s="21">
        <f>Defaults!QO11*Obligors!$G$11*Obligors!$H$11</f>
        <v/>
      </c>
      <c r="QP11" s="21">
        <f>Defaults!QP11*Obligors!$G$11*Obligors!$H$11</f>
        <v/>
      </c>
      <c r="QQ11" s="21">
        <f>Defaults!QQ11*Obligors!$G$11*Obligors!$H$11</f>
        <v/>
      </c>
      <c r="QR11" s="21">
        <f>Defaults!QR11*Obligors!$G$11*Obligors!$H$11</f>
        <v/>
      </c>
      <c r="QS11" s="21">
        <f>Defaults!QS11*Obligors!$G$11*Obligors!$H$11</f>
        <v/>
      </c>
      <c r="QT11" s="21">
        <f>Defaults!QT11*Obligors!$G$11*Obligors!$H$11</f>
        <v/>
      </c>
      <c r="QU11" s="21">
        <f>Defaults!QU11*Obligors!$G$11*Obligors!$H$11</f>
        <v/>
      </c>
      <c r="QV11" s="21">
        <f>Defaults!QV11*Obligors!$G$11*Obligors!$H$11</f>
        <v/>
      </c>
      <c r="QW11" s="21">
        <f>Defaults!QW11*Obligors!$G$11*Obligors!$H$11</f>
        <v/>
      </c>
      <c r="QX11" s="21">
        <f>Defaults!QX11*Obligors!$G$11*Obligors!$H$11</f>
        <v/>
      </c>
      <c r="QY11" s="21">
        <f>Defaults!QY11*Obligors!$G$11*Obligors!$H$11</f>
        <v/>
      </c>
      <c r="QZ11" s="21">
        <f>Defaults!QZ11*Obligors!$G$11*Obligors!$H$11</f>
        <v/>
      </c>
      <c r="RA11" s="21">
        <f>Defaults!RA11*Obligors!$G$11*Obligors!$H$11</f>
        <v/>
      </c>
      <c r="RB11" s="21">
        <f>Defaults!RB11*Obligors!$G$11*Obligors!$H$11</f>
        <v/>
      </c>
      <c r="RC11" s="21">
        <f>Defaults!RC11*Obligors!$G$11*Obligors!$H$11</f>
        <v/>
      </c>
      <c r="RD11" s="21">
        <f>Defaults!RD11*Obligors!$G$11*Obligors!$H$11</f>
        <v/>
      </c>
      <c r="RE11" s="21">
        <f>Defaults!RE11*Obligors!$G$11*Obligors!$H$11</f>
        <v/>
      </c>
      <c r="RF11" s="21">
        <f>Defaults!RF11*Obligors!$G$11*Obligors!$H$11</f>
        <v/>
      </c>
      <c r="RG11" s="21">
        <f>Defaults!RG11*Obligors!$G$11*Obligors!$H$11</f>
        <v/>
      </c>
      <c r="RH11" s="21">
        <f>Defaults!RH11*Obligors!$G$11*Obligors!$H$11</f>
        <v/>
      </c>
      <c r="RI11" s="21">
        <f>Defaults!RI11*Obligors!$G$11*Obligors!$H$11</f>
        <v/>
      </c>
      <c r="RJ11" s="21">
        <f>Defaults!RJ11*Obligors!$G$11*Obligors!$H$11</f>
        <v/>
      </c>
      <c r="RK11" s="21">
        <f>Defaults!RK11*Obligors!$G$11*Obligors!$H$11</f>
        <v/>
      </c>
      <c r="RL11" s="21">
        <f>Defaults!RL11*Obligors!$G$11*Obligors!$H$11</f>
        <v/>
      </c>
      <c r="RM11" s="21">
        <f>Defaults!RM11*Obligors!$G$11*Obligors!$H$11</f>
        <v/>
      </c>
      <c r="RN11" s="21">
        <f>Defaults!RN11*Obligors!$G$11*Obligors!$H$11</f>
        <v/>
      </c>
      <c r="RO11" s="21">
        <f>Defaults!RO11*Obligors!$G$11*Obligors!$H$11</f>
        <v/>
      </c>
      <c r="RP11" s="21">
        <f>Defaults!RP11*Obligors!$G$11*Obligors!$H$11</f>
        <v/>
      </c>
      <c r="RQ11" s="21">
        <f>Defaults!RQ11*Obligors!$G$11*Obligors!$H$11</f>
        <v/>
      </c>
      <c r="RR11" s="21">
        <f>Defaults!RR11*Obligors!$G$11*Obligors!$H$11</f>
        <v/>
      </c>
      <c r="RS11" s="21">
        <f>Defaults!RS11*Obligors!$G$11*Obligors!$H$11</f>
        <v/>
      </c>
      <c r="RT11" s="21">
        <f>Defaults!RT11*Obligors!$G$11*Obligors!$H$11</f>
        <v/>
      </c>
      <c r="RU11" s="21">
        <f>Defaults!RU11*Obligors!$G$11*Obligors!$H$11</f>
        <v/>
      </c>
      <c r="RV11" s="21">
        <f>Defaults!RV11*Obligors!$G$11*Obligors!$H$11</f>
        <v/>
      </c>
      <c r="RW11" s="21">
        <f>Defaults!RW11*Obligors!$G$11*Obligors!$H$11</f>
        <v/>
      </c>
      <c r="RX11" s="21">
        <f>Defaults!RX11*Obligors!$G$11*Obligors!$H$11</f>
        <v/>
      </c>
      <c r="RY11" s="21">
        <f>Defaults!RY11*Obligors!$G$11*Obligors!$H$11</f>
        <v/>
      </c>
      <c r="RZ11" s="21">
        <f>Defaults!RZ11*Obligors!$G$11*Obligors!$H$11</f>
        <v/>
      </c>
      <c r="SA11" s="21">
        <f>Defaults!SA11*Obligors!$G$11*Obligors!$H$11</f>
        <v/>
      </c>
      <c r="SB11" s="21">
        <f>Defaults!SB11*Obligors!$G$11*Obligors!$H$11</f>
        <v/>
      </c>
      <c r="SC11" s="21">
        <f>Defaults!SC11*Obligors!$G$11*Obligors!$H$11</f>
        <v/>
      </c>
      <c r="SD11" s="21">
        <f>Defaults!SD11*Obligors!$G$11*Obligors!$H$11</f>
        <v/>
      </c>
      <c r="SE11" s="21">
        <f>Defaults!SE11*Obligors!$G$11*Obligors!$H$11</f>
        <v/>
      </c>
      <c r="SF11" s="21">
        <f>Defaults!SF11*Obligors!$G$11*Obligors!$H$11</f>
        <v/>
      </c>
      <c r="SG11" s="21">
        <f>Defaults!SG11*Obligors!$G$11*Obligors!$H$11</f>
        <v/>
      </c>
    </row>
    <row r="12">
      <c r="A12" s="17" t="inlineStr">
        <is>
          <t>OBL-011</t>
        </is>
      </c>
      <c r="B12" s="21">
        <f>Defaults!B12*Obligors!$G$12*Obligors!$H$12</f>
        <v/>
      </c>
      <c r="C12" s="21">
        <f>Defaults!C12*Obligors!$G$12*Obligors!$H$12</f>
        <v/>
      </c>
      <c r="D12" s="21">
        <f>Defaults!D12*Obligors!$G$12*Obligors!$H$12</f>
        <v/>
      </c>
      <c r="E12" s="21">
        <f>Defaults!E12*Obligors!$G$12*Obligors!$H$12</f>
        <v/>
      </c>
      <c r="F12" s="21">
        <f>Defaults!F12*Obligors!$G$12*Obligors!$H$12</f>
        <v/>
      </c>
      <c r="G12" s="21">
        <f>Defaults!G12*Obligors!$G$12*Obligors!$H$12</f>
        <v/>
      </c>
      <c r="H12" s="21">
        <f>Defaults!H12*Obligors!$G$12*Obligors!$H$12</f>
        <v/>
      </c>
      <c r="I12" s="21">
        <f>Defaults!I12*Obligors!$G$12*Obligors!$H$12</f>
        <v/>
      </c>
      <c r="J12" s="21">
        <f>Defaults!J12*Obligors!$G$12*Obligors!$H$12</f>
        <v/>
      </c>
      <c r="K12" s="21">
        <f>Defaults!K12*Obligors!$G$12*Obligors!$H$12</f>
        <v/>
      </c>
      <c r="L12" s="21">
        <f>Defaults!L12*Obligors!$G$12*Obligors!$H$12</f>
        <v/>
      </c>
      <c r="M12" s="21">
        <f>Defaults!M12*Obligors!$G$12*Obligors!$H$12</f>
        <v/>
      </c>
      <c r="N12" s="21">
        <f>Defaults!N12*Obligors!$G$12*Obligors!$H$12</f>
        <v/>
      </c>
      <c r="O12" s="21">
        <f>Defaults!O12*Obligors!$G$12*Obligors!$H$12</f>
        <v/>
      </c>
      <c r="P12" s="21">
        <f>Defaults!P12*Obligors!$G$12*Obligors!$H$12</f>
        <v/>
      </c>
      <c r="Q12" s="21">
        <f>Defaults!Q12*Obligors!$G$12*Obligors!$H$12</f>
        <v/>
      </c>
      <c r="R12" s="21">
        <f>Defaults!R12*Obligors!$G$12*Obligors!$H$12</f>
        <v/>
      </c>
      <c r="S12" s="21">
        <f>Defaults!S12*Obligors!$G$12*Obligors!$H$12</f>
        <v/>
      </c>
      <c r="T12" s="21">
        <f>Defaults!T12*Obligors!$G$12*Obligors!$H$12</f>
        <v/>
      </c>
      <c r="U12" s="21">
        <f>Defaults!U12*Obligors!$G$12*Obligors!$H$12</f>
        <v/>
      </c>
      <c r="V12" s="21">
        <f>Defaults!V12*Obligors!$G$12*Obligors!$H$12</f>
        <v/>
      </c>
      <c r="W12" s="21">
        <f>Defaults!W12*Obligors!$G$12*Obligors!$H$12</f>
        <v/>
      </c>
      <c r="X12" s="21">
        <f>Defaults!X12*Obligors!$G$12*Obligors!$H$12</f>
        <v/>
      </c>
      <c r="Y12" s="21">
        <f>Defaults!Y12*Obligors!$G$12*Obligors!$H$12</f>
        <v/>
      </c>
      <c r="Z12" s="21">
        <f>Defaults!Z12*Obligors!$G$12*Obligors!$H$12</f>
        <v/>
      </c>
      <c r="AA12" s="21">
        <f>Defaults!AA12*Obligors!$G$12*Obligors!$H$12</f>
        <v/>
      </c>
      <c r="AB12" s="21">
        <f>Defaults!AB12*Obligors!$G$12*Obligors!$H$12</f>
        <v/>
      </c>
      <c r="AC12" s="21">
        <f>Defaults!AC12*Obligors!$G$12*Obligors!$H$12</f>
        <v/>
      </c>
      <c r="AD12" s="21">
        <f>Defaults!AD12*Obligors!$G$12*Obligors!$H$12</f>
        <v/>
      </c>
      <c r="AE12" s="21">
        <f>Defaults!AE12*Obligors!$G$12*Obligors!$H$12</f>
        <v/>
      </c>
      <c r="AF12" s="21">
        <f>Defaults!AF12*Obligors!$G$12*Obligors!$H$12</f>
        <v/>
      </c>
      <c r="AG12" s="21">
        <f>Defaults!AG12*Obligors!$G$12*Obligors!$H$12</f>
        <v/>
      </c>
      <c r="AH12" s="21">
        <f>Defaults!AH12*Obligors!$G$12*Obligors!$H$12</f>
        <v/>
      </c>
      <c r="AI12" s="21">
        <f>Defaults!AI12*Obligors!$G$12*Obligors!$H$12</f>
        <v/>
      </c>
      <c r="AJ12" s="21">
        <f>Defaults!AJ12*Obligors!$G$12*Obligors!$H$12</f>
        <v/>
      </c>
      <c r="AK12" s="21">
        <f>Defaults!AK12*Obligors!$G$12*Obligors!$H$12</f>
        <v/>
      </c>
      <c r="AL12" s="21">
        <f>Defaults!AL12*Obligors!$G$12*Obligors!$H$12</f>
        <v/>
      </c>
      <c r="AM12" s="21">
        <f>Defaults!AM12*Obligors!$G$12*Obligors!$H$12</f>
        <v/>
      </c>
      <c r="AN12" s="21">
        <f>Defaults!AN12*Obligors!$G$12*Obligors!$H$12</f>
        <v/>
      </c>
      <c r="AO12" s="21">
        <f>Defaults!AO12*Obligors!$G$12*Obligors!$H$12</f>
        <v/>
      </c>
      <c r="AP12" s="21">
        <f>Defaults!AP12*Obligors!$G$12*Obligors!$H$12</f>
        <v/>
      </c>
      <c r="AQ12" s="21">
        <f>Defaults!AQ12*Obligors!$G$12*Obligors!$H$12</f>
        <v/>
      </c>
      <c r="AR12" s="21">
        <f>Defaults!AR12*Obligors!$G$12*Obligors!$H$12</f>
        <v/>
      </c>
      <c r="AS12" s="21">
        <f>Defaults!AS12*Obligors!$G$12*Obligors!$H$12</f>
        <v/>
      </c>
      <c r="AT12" s="21">
        <f>Defaults!AT12*Obligors!$G$12*Obligors!$H$12</f>
        <v/>
      </c>
      <c r="AU12" s="21">
        <f>Defaults!AU12*Obligors!$G$12*Obligors!$H$12</f>
        <v/>
      </c>
      <c r="AV12" s="21">
        <f>Defaults!AV12*Obligors!$G$12*Obligors!$H$12</f>
        <v/>
      </c>
      <c r="AW12" s="21">
        <f>Defaults!AW12*Obligors!$G$12*Obligors!$H$12</f>
        <v/>
      </c>
      <c r="AX12" s="21">
        <f>Defaults!AX12*Obligors!$G$12*Obligors!$H$12</f>
        <v/>
      </c>
      <c r="AY12" s="21">
        <f>Defaults!AY12*Obligors!$G$12*Obligors!$H$12</f>
        <v/>
      </c>
      <c r="AZ12" s="21">
        <f>Defaults!AZ12*Obligors!$G$12*Obligors!$H$12</f>
        <v/>
      </c>
      <c r="BA12" s="21">
        <f>Defaults!BA12*Obligors!$G$12*Obligors!$H$12</f>
        <v/>
      </c>
      <c r="BB12" s="21">
        <f>Defaults!BB12*Obligors!$G$12*Obligors!$H$12</f>
        <v/>
      </c>
      <c r="BC12" s="21">
        <f>Defaults!BC12*Obligors!$G$12*Obligors!$H$12</f>
        <v/>
      </c>
      <c r="BD12" s="21">
        <f>Defaults!BD12*Obligors!$G$12*Obligors!$H$12</f>
        <v/>
      </c>
      <c r="BE12" s="21">
        <f>Defaults!BE12*Obligors!$G$12*Obligors!$H$12</f>
        <v/>
      </c>
      <c r="BF12" s="21">
        <f>Defaults!BF12*Obligors!$G$12*Obligors!$H$12</f>
        <v/>
      </c>
      <c r="BG12" s="21">
        <f>Defaults!BG12*Obligors!$G$12*Obligors!$H$12</f>
        <v/>
      </c>
      <c r="BH12" s="21">
        <f>Defaults!BH12*Obligors!$G$12*Obligors!$H$12</f>
        <v/>
      </c>
      <c r="BI12" s="21">
        <f>Defaults!BI12*Obligors!$G$12*Obligors!$H$12</f>
        <v/>
      </c>
      <c r="BJ12" s="21">
        <f>Defaults!BJ12*Obligors!$G$12*Obligors!$H$12</f>
        <v/>
      </c>
      <c r="BK12" s="21">
        <f>Defaults!BK12*Obligors!$G$12*Obligors!$H$12</f>
        <v/>
      </c>
      <c r="BL12" s="21">
        <f>Defaults!BL12*Obligors!$G$12*Obligors!$H$12</f>
        <v/>
      </c>
      <c r="BM12" s="21">
        <f>Defaults!BM12*Obligors!$G$12*Obligors!$H$12</f>
        <v/>
      </c>
      <c r="BN12" s="21">
        <f>Defaults!BN12*Obligors!$G$12*Obligors!$H$12</f>
        <v/>
      </c>
      <c r="BO12" s="21">
        <f>Defaults!BO12*Obligors!$G$12*Obligors!$H$12</f>
        <v/>
      </c>
      <c r="BP12" s="21">
        <f>Defaults!BP12*Obligors!$G$12*Obligors!$H$12</f>
        <v/>
      </c>
      <c r="BQ12" s="21">
        <f>Defaults!BQ12*Obligors!$G$12*Obligors!$H$12</f>
        <v/>
      </c>
      <c r="BR12" s="21">
        <f>Defaults!BR12*Obligors!$G$12*Obligors!$H$12</f>
        <v/>
      </c>
      <c r="BS12" s="21">
        <f>Defaults!BS12*Obligors!$G$12*Obligors!$H$12</f>
        <v/>
      </c>
      <c r="BT12" s="21">
        <f>Defaults!BT12*Obligors!$G$12*Obligors!$H$12</f>
        <v/>
      </c>
      <c r="BU12" s="21">
        <f>Defaults!BU12*Obligors!$G$12*Obligors!$H$12</f>
        <v/>
      </c>
      <c r="BV12" s="21">
        <f>Defaults!BV12*Obligors!$G$12*Obligors!$H$12</f>
        <v/>
      </c>
      <c r="BW12" s="21">
        <f>Defaults!BW12*Obligors!$G$12*Obligors!$H$12</f>
        <v/>
      </c>
      <c r="BX12" s="21">
        <f>Defaults!BX12*Obligors!$G$12*Obligors!$H$12</f>
        <v/>
      </c>
      <c r="BY12" s="21">
        <f>Defaults!BY12*Obligors!$G$12*Obligors!$H$12</f>
        <v/>
      </c>
      <c r="BZ12" s="21">
        <f>Defaults!BZ12*Obligors!$G$12*Obligors!$H$12</f>
        <v/>
      </c>
      <c r="CA12" s="21">
        <f>Defaults!CA12*Obligors!$G$12*Obligors!$H$12</f>
        <v/>
      </c>
      <c r="CB12" s="21">
        <f>Defaults!CB12*Obligors!$G$12*Obligors!$H$12</f>
        <v/>
      </c>
      <c r="CC12" s="21">
        <f>Defaults!CC12*Obligors!$G$12*Obligors!$H$12</f>
        <v/>
      </c>
      <c r="CD12" s="21">
        <f>Defaults!CD12*Obligors!$G$12*Obligors!$H$12</f>
        <v/>
      </c>
      <c r="CE12" s="21">
        <f>Defaults!CE12*Obligors!$G$12*Obligors!$H$12</f>
        <v/>
      </c>
      <c r="CF12" s="21">
        <f>Defaults!CF12*Obligors!$G$12*Obligors!$H$12</f>
        <v/>
      </c>
      <c r="CG12" s="21">
        <f>Defaults!CG12*Obligors!$G$12*Obligors!$H$12</f>
        <v/>
      </c>
      <c r="CH12" s="21">
        <f>Defaults!CH12*Obligors!$G$12*Obligors!$H$12</f>
        <v/>
      </c>
      <c r="CI12" s="21">
        <f>Defaults!CI12*Obligors!$G$12*Obligors!$H$12</f>
        <v/>
      </c>
      <c r="CJ12" s="21">
        <f>Defaults!CJ12*Obligors!$G$12*Obligors!$H$12</f>
        <v/>
      </c>
      <c r="CK12" s="21">
        <f>Defaults!CK12*Obligors!$G$12*Obligors!$H$12</f>
        <v/>
      </c>
      <c r="CL12" s="21">
        <f>Defaults!CL12*Obligors!$G$12*Obligors!$H$12</f>
        <v/>
      </c>
      <c r="CM12" s="21">
        <f>Defaults!CM12*Obligors!$G$12*Obligors!$H$12</f>
        <v/>
      </c>
      <c r="CN12" s="21">
        <f>Defaults!CN12*Obligors!$G$12*Obligors!$H$12</f>
        <v/>
      </c>
      <c r="CO12" s="21">
        <f>Defaults!CO12*Obligors!$G$12*Obligors!$H$12</f>
        <v/>
      </c>
      <c r="CP12" s="21">
        <f>Defaults!CP12*Obligors!$G$12*Obligors!$H$12</f>
        <v/>
      </c>
      <c r="CQ12" s="21">
        <f>Defaults!CQ12*Obligors!$G$12*Obligors!$H$12</f>
        <v/>
      </c>
      <c r="CR12" s="21">
        <f>Defaults!CR12*Obligors!$G$12*Obligors!$H$12</f>
        <v/>
      </c>
      <c r="CS12" s="21">
        <f>Defaults!CS12*Obligors!$G$12*Obligors!$H$12</f>
        <v/>
      </c>
      <c r="CT12" s="21">
        <f>Defaults!CT12*Obligors!$G$12*Obligors!$H$12</f>
        <v/>
      </c>
      <c r="CU12" s="21">
        <f>Defaults!CU12*Obligors!$G$12*Obligors!$H$12</f>
        <v/>
      </c>
      <c r="CV12" s="21">
        <f>Defaults!CV12*Obligors!$G$12*Obligors!$H$12</f>
        <v/>
      </c>
      <c r="CW12" s="21">
        <f>Defaults!CW12*Obligors!$G$12*Obligors!$H$12</f>
        <v/>
      </c>
      <c r="CX12" s="21">
        <f>Defaults!CX12*Obligors!$G$12*Obligors!$H$12</f>
        <v/>
      </c>
      <c r="CY12" s="21">
        <f>Defaults!CY12*Obligors!$G$12*Obligors!$H$12</f>
        <v/>
      </c>
      <c r="CZ12" s="21">
        <f>Defaults!CZ12*Obligors!$G$12*Obligors!$H$12</f>
        <v/>
      </c>
      <c r="DA12" s="21">
        <f>Defaults!DA12*Obligors!$G$12*Obligors!$H$12</f>
        <v/>
      </c>
      <c r="DB12" s="21">
        <f>Defaults!DB12*Obligors!$G$12*Obligors!$H$12</f>
        <v/>
      </c>
      <c r="DC12" s="21">
        <f>Defaults!DC12*Obligors!$G$12*Obligors!$H$12</f>
        <v/>
      </c>
      <c r="DD12" s="21">
        <f>Defaults!DD12*Obligors!$G$12*Obligors!$H$12</f>
        <v/>
      </c>
      <c r="DE12" s="21">
        <f>Defaults!DE12*Obligors!$G$12*Obligors!$H$12</f>
        <v/>
      </c>
      <c r="DF12" s="21">
        <f>Defaults!DF12*Obligors!$G$12*Obligors!$H$12</f>
        <v/>
      </c>
      <c r="DG12" s="21">
        <f>Defaults!DG12*Obligors!$G$12*Obligors!$H$12</f>
        <v/>
      </c>
      <c r="DH12" s="21">
        <f>Defaults!DH12*Obligors!$G$12*Obligors!$H$12</f>
        <v/>
      </c>
      <c r="DI12" s="21">
        <f>Defaults!DI12*Obligors!$G$12*Obligors!$H$12</f>
        <v/>
      </c>
      <c r="DJ12" s="21">
        <f>Defaults!DJ12*Obligors!$G$12*Obligors!$H$12</f>
        <v/>
      </c>
      <c r="DK12" s="21">
        <f>Defaults!DK12*Obligors!$G$12*Obligors!$H$12</f>
        <v/>
      </c>
      <c r="DL12" s="21">
        <f>Defaults!DL12*Obligors!$G$12*Obligors!$H$12</f>
        <v/>
      </c>
      <c r="DM12" s="21">
        <f>Defaults!DM12*Obligors!$G$12*Obligors!$H$12</f>
        <v/>
      </c>
      <c r="DN12" s="21">
        <f>Defaults!DN12*Obligors!$G$12*Obligors!$H$12</f>
        <v/>
      </c>
      <c r="DO12" s="21">
        <f>Defaults!DO12*Obligors!$G$12*Obligors!$H$12</f>
        <v/>
      </c>
      <c r="DP12" s="21">
        <f>Defaults!DP12*Obligors!$G$12*Obligors!$H$12</f>
        <v/>
      </c>
      <c r="DQ12" s="21">
        <f>Defaults!DQ12*Obligors!$G$12*Obligors!$H$12</f>
        <v/>
      </c>
      <c r="DR12" s="21">
        <f>Defaults!DR12*Obligors!$G$12*Obligors!$H$12</f>
        <v/>
      </c>
      <c r="DS12" s="21">
        <f>Defaults!DS12*Obligors!$G$12*Obligors!$H$12</f>
        <v/>
      </c>
      <c r="DT12" s="21">
        <f>Defaults!DT12*Obligors!$G$12*Obligors!$H$12</f>
        <v/>
      </c>
      <c r="DU12" s="21">
        <f>Defaults!DU12*Obligors!$G$12*Obligors!$H$12</f>
        <v/>
      </c>
      <c r="DV12" s="21">
        <f>Defaults!DV12*Obligors!$G$12*Obligors!$H$12</f>
        <v/>
      </c>
      <c r="DW12" s="21">
        <f>Defaults!DW12*Obligors!$G$12*Obligors!$H$12</f>
        <v/>
      </c>
      <c r="DX12" s="21">
        <f>Defaults!DX12*Obligors!$G$12*Obligors!$H$12</f>
        <v/>
      </c>
      <c r="DY12" s="21">
        <f>Defaults!DY12*Obligors!$G$12*Obligors!$H$12</f>
        <v/>
      </c>
      <c r="DZ12" s="21">
        <f>Defaults!DZ12*Obligors!$G$12*Obligors!$H$12</f>
        <v/>
      </c>
      <c r="EA12" s="21">
        <f>Defaults!EA12*Obligors!$G$12*Obligors!$H$12</f>
        <v/>
      </c>
      <c r="EB12" s="21">
        <f>Defaults!EB12*Obligors!$G$12*Obligors!$H$12</f>
        <v/>
      </c>
      <c r="EC12" s="21">
        <f>Defaults!EC12*Obligors!$G$12*Obligors!$H$12</f>
        <v/>
      </c>
      <c r="ED12" s="21">
        <f>Defaults!ED12*Obligors!$G$12*Obligors!$H$12</f>
        <v/>
      </c>
      <c r="EE12" s="21">
        <f>Defaults!EE12*Obligors!$G$12*Obligors!$H$12</f>
        <v/>
      </c>
      <c r="EF12" s="21">
        <f>Defaults!EF12*Obligors!$G$12*Obligors!$H$12</f>
        <v/>
      </c>
      <c r="EG12" s="21">
        <f>Defaults!EG12*Obligors!$G$12*Obligors!$H$12</f>
        <v/>
      </c>
      <c r="EH12" s="21">
        <f>Defaults!EH12*Obligors!$G$12*Obligors!$H$12</f>
        <v/>
      </c>
      <c r="EI12" s="21">
        <f>Defaults!EI12*Obligors!$G$12*Obligors!$H$12</f>
        <v/>
      </c>
      <c r="EJ12" s="21">
        <f>Defaults!EJ12*Obligors!$G$12*Obligors!$H$12</f>
        <v/>
      </c>
      <c r="EK12" s="21">
        <f>Defaults!EK12*Obligors!$G$12*Obligors!$H$12</f>
        <v/>
      </c>
      <c r="EL12" s="21">
        <f>Defaults!EL12*Obligors!$G$12*Obligors!$H$12</f>
        <v/>
      </c>
      <c r="EM12" s="21">
        <f>Defaults!EM12*Obligors!$G$12*Obligors!$H$12</f>
        <v/>
      </c>
      <c r="EN12" s="21">
        <f>Defaults!EN12*Obligors!$G$12*Obligors!$H$12</f>
        <v/>
      </c>
      <c r="EO12" s="21">
        <f>Defaults!EO12*Obligors!$G$12*Obligors!$H$12</f>
        <v/>
      </c>
      <c r="EP12" s="21">
        <f>Defaults!EP12*Obligors!$G$12*Obligors!$H$12</f>
        <v/>
      </c>
      <c r="EQ12" s="21">
        <f>Defaults!EQ12*Obligors!$G$12*Obligors!$H$12</f>
        <v/>
      </c>
      <c r="ER12" s="21">
        <f>Defaults!ER12*Obligors!$G$12*Obligors!$H$12</f>
        <v/>
      </c>
      <c r="ES12" s="21">
        <f>Defaults!ES12*Obligors!$G$12*Obligors!$H$12</f>
        <v/>
      </c>
      <c r="ET12" s="21">
        <f>Defaults!ET12*Obligors!$G$12*Obligors!$H$12</f>
        <v/>
      </c>
      <c r="EU12" s="21">
        <f>Defaults!EU12*Obligors!$G$12*Obligors!$H$12</f>
        <v/>
      </c>
      <c r="EV12" s="21">
        <f>Defaults!EV12*Obligors!$G$12*Obligors!$H$12</f>
        <v/>
      </c>
      <c r="EW12" s="21">
        <f>Defaults!EW12*Obligors!$G$12*Obligors!$H$12</f>
        <v/>
      </c>
      <c r="EX12" s="21">
        <f>Defaults!EX12*Obligors!$G$12*Obligors!$H$12</f>
        <v/>
      </c>
      <c r="EY12" s="21">
        <f>Defaults!EY12*Obligors!$G$12*Obligors!$H$12</f>
        <v/>
      </c>
      <c r="EZ12" s="21">
        <f>Defaults!EZ12*Obligors!$G$12*Obligors!$H$12</f>
        <v/>
      </c>
      <c r="FA12" s="21">
        <f>Defaults!FA12*Obligors!$G$12*Obligors!$H$12</f>
        <v/>
      </c>
      <c r="FB12" s="21">
        <f>Defaults!FB12*Obligors!$G$12*Obligors!$H$12</f>
        <v/>
      </c>
      <c r="FC12" s="21">
        <f>Defaults!FC12*Obligors!$G$12*Obligors!$H$12</f>
        <v/>
      </c>
      <c r="FD12" s="21">
        <f>Defaults!FD12*Obligors!$G$12*Obligors!$H$12</f>
        <v/>
      </c>
      <c r="FE12" s="21">
        <f>Defaults!FE12*Obligors!$G$12*Obligors!$H$12</f>
        <v/>
      </c>
      <c r="FF12" s="21">
        <f>Defaults!FF12*Obligors!$G$12*Obligors!$H$12</f>
        <v/>
      </c>
      <c r="FG12" s="21">
        <f>Defaults!FG12*Obligors!$G$12*Obligors!$H$12</f>
        <v/>
      </c>
      <c r="FH12" s="21">
        <f>Defaults!FH12*Obligors!$G$12*Obligors!$H$12</f>
        <v/>
      </c>
      <c r="FI12" s="21">
        <f>Defaults!FI12*Obligors!$G$12*Obligors!$H$12</f>
        <v/>
      </c>
      <c r="FJ12" s="21">
        <f>Defaults!FJ12*Obligors!$G$12*Obligors!$H$12</f>
        <v/>
      </c>
      <c r="FK12" s="21">
        <f>Defaults!FK12*Obligors!$G$12*Obligors!$H$12</f>
        <v/>
      </c>
      <c r="FL12" s="21">
        <f>Defaults!FL12*Obligors!$G$12*Obligors!$H$12</f>
        <v/>
      </c>
      <c r="FM12" s="21">
        <f>Defaults!FM12*Obligors!$G$12*Obligors!$H$12</f>
        <v/>
      </c>
      <c r="FN12" s="21">
        <f>Defaults!FN12*Obligors!$G$12*Obligors!$H$12</f>
        <v/>
      </c>
      <c r="FO12" s="21">
        <f>Defaults!FO12*Obligors!$G$12*Obligors!$H$12</f>
        <v/>
      </c>
      <c r="FP12" s="21">
        <f>Defaults!FP12*Obligors!$G$12*Obligors!$H$12</f>
        <v/>
      </c>
      <c r="FQ12" s="21">
        <f>Defaults!FQ12*Obligors!$G$12*Obligors!$H$12</f>
        <v/>
      </c>
      <c r="FR12" s="21">
        <f>Defaults!FR12*Obligors!$G$12*Obligors!$H$12</f>
        <v/>
      </c>
      <c r="FS12" s="21">
        <f>Defaults!FS12*Obligors!$G$12*Obligors!$H$12</f>
        <v/>
      </c>
      <c r="FT12" s="21">
        <f>Defaults!FT12*Obligors!$G$12*Obligors!$H$12</f>
        <v/>
      </c>
      <c r="FU12" s="21">
        <f>Defaults!FU12*Obligors!$G$12*Obligors!$H$12</f>
        <v/>
      </c>
      <c r="FV12" s="21">
        <f>Defaults!FV12*Obligors!$G$12*Obligors!$H$12</f>
        <v/>
      </c>
      <c r="FW12" s="21">
        <f>Defaults!FW12*Obligors!$G$12*Obligors!$H$12</f>
        <v/>
      </c>
      <c r="FX12" s="21">
        <f>Defaults!FX12*Obligors!$G$12*Obligors!$H$12</f>
        <v/>
      </c>
      <c r="FY12" s="21">
        <f>Defaults!FY12*Obligors!$G$12*Obligors!$H$12</f>
        <v/>
      </c>
      <c r="FZ12" s="21">
        <f>Defaults!FZ12*Obligors!$G$12*Obligors!$H$12</f>
        <v/>
      </c>
      <c r="GA12" s="21">
        <f>Defaults!GA12*Obligors!$G$12*Obligors!$H$12</f>
        <v/>
      </c>
      <c r="GB12" s="21">
        <f>Defaults!GB12*Obligors!$G$12*Obligors!$H$12</f>
        <v/>
      </c>
      <c r="GC12" s="21">
        <f>Defaults!GC12*Obligors!$G$12*Obligors!$H$12</f>
        <v/>
      </c>
      <c r="GD12" s="21">
        <f>Defaults!GD12*Obligors!$G$12*Obligors!$H$12</f>
        <v/>
      </c>
      <c r="GE12" s="21">
        <f>Defaults!GE12*Obligors!$G$12*Obligors!$H$12</f>
        <v/>
      </c>
      <c r="GF12" s="21">
        <f>Defaults!GF12*Obligors!$G$12*Obligors!$H$12</f>
        <v/>
      </c>
      <c r="GG12" s="21">
        <f>Defaults!GG12*Obligors!$G$12*Obligors!$H$12</f>
        <v/>
      </c>
      <c r="GH12" s="21">
        <f>Defaults!GH12*Obligors!$G$12*Obligors!$H$12</f>
        <v/>
      </c>
      <c r="GI12" s="21">
        <f>Defaults!GI12*Obligors!$G$12*Obligors!$H$12</f>
        <v/>
      </c>
      <c r="GJ12" s="21">
        <f>Defaults!GJ12*Obligors!$G$12*Obligors!$H$12</f>
        <v/>
      </c>
      <c r="GK12" s="21">
        <f>Defaults!GK12*Obligors!$G$12*Obligors!$H$12</f>
        <v/>
      </c>
      <c r="GL12" s="21">
        <f>Defaults!GL12*Obligors!$G$12*Obligors!$H$12</f>
        <v/>
      </c>
      <c r="GM12" s="21">
        <f>Defaults!GM12*Obligors!$G$12*Obligors!$H$12</f>
        <v/>
      </c>
      <c r="GN12" s="21">
        <f>Defaults!GN12*Obligors!$G$12*Obligors!$H$12</f>
        <v/>
      </c>
      <c r="GO12" s="21">
        <f>Defaults!GO12*Obligors!$G$12*Obligors!$H$12</f>
        <v/>
      </c>
      <c r="GP12" s="21">
        <f>Defaults!GP12*Obligors!$G$12*Obligors!$H$12</f>
        <v/>
      </c>
      <c r="GQ12" s="21">
        <f>Defaults!GQ12*Obligors!$G$12*Obligors!$H$12</f>
        <v/>
      </c>
      <c r="GR12" s="21">
        <f>Defaults!GR12*Obligors!$G$12*Obligors!$H$12</f>
        <v/>
      </c>
      <c r="GS12" s="21">
        <f>Defaults!GS12*Obligors!$G$12*Obligors!$H$12</f>
        <v/>
      </c>
      <c r="GT12" s="21">
        <f>Defaults!GT12*Obligors!$G$12*Obligors!$H$12</f>
        <v/>
      </c>
      <c r="GU12" s="21">
        <f>Defaults!GU12*Obligors!$G$12*Obligors!$H$12</f>
        <v/>
      </c>
      <c r="GV12" s="21">
        <f>Defaults!GV12*Obligors!$G$12*Obligors!$H$12</f>
        <v/>
      </c>
      <c r="GW12" s="21">
        <f>Defaults!GW12*Obligors!$G$12*Obligors!$H$12</f>
        <v/>
      </c>
      <c r="GX12" s="21">
        <f>Defaults!GX12*Obligors!$G$12*Obligors!$H$12</f>
        <v/>
      </c>
      <c r="GY12" s="21">
        <f>Defaults!GY12*Obligors!$G$12*Obligors!$H$12</f>
        <v/>
      </c>
      <c r="GZ12" s="21">
        <f>Defaults!GZ12*Obligors!$G$12*Obligors!$H$12</f>
        <v/>
      </c>
      <c r="HA12" s="21">
        <f>Defaults!HA12*Obligors!$G$12*Obligors!$H$12</f>
        <v/>
      </c>
      <c r="HB12" s="21">
        <f>Defaults!HB12*Obligors!$G$12*Obligors!$H$12</f>
        <v/>
      </c>
      <c r="HC12" s="21">
        <f>Defaults!HC12*Obligors!$G$12*Obligors!$H$12</f>
        <v/>
      </c>
      <c r="HD12" s="21">
        <f>Defaults!HD12*Obligors!$G$12*Obligors!$H$12</f>
        <v/>
      </c>
      <c r="HE12" s="21">
        <f>Defaults!HE12*Obligors!$G$12*Obligors!$H$12</f>
        <v/>
      </c>
      <c r="HF12" s="21">
        <f>Defaults!HF12*Obligors!$G$12*Obligors!$H$12</f>
        <v/>
      </c>
      <c r="HG12" s="21">
        <f>Defaults!HG12*Obligors!$G$12*Obligors!$H$12</f>
        <v/>
      </c>
      <c r="HH12" s="21">
        <f>Defaults!HH12*Obligors!$G$12*Obligors!$H$12</f>
        <v/>
      </c>
      <c r="HI12" s="21">
        <f>Defaults!HI12*Obligors!$G$12*Obligors!$H$12</f>
        <v/>
      </c>
      <c r="HJ12" s="21">
        <f>Defaults!HJ12*Obligors!$G$12*Obligors!$H$12</f>
        <v/>
      </c>
      <c r="HK12" s="21">
        <f>Defaults!HK12*Obligors!$G$12*Obligors!$H$12</f>
        <v/>
      </c>
      <c r="HL12" s="21">
        <f>Defaults!HL12*Obligors!$G$12*Obligors!$H$12</f>
        <v/>
      </c>
      <c r="HM12" s="21">
        <f>Defaults!HM12*Obligors!$G$12*Obligors!$H$12</f>
        <v/>
      </c>
      <c r="HN12" s="21">
        <f>Defaults!HN12*Obligors!$G$12*Obligors!$H$12</f>
        <v/>
      </c>
      <c r="HO12" s="21">
        <f>Defaults!HO12*Obligors!$G$12*Obligors!$H$12</f>
        <v/>
      </c>
      <c r="HP12" s="21">
        <f>Defaults!HP12*Obligors!$G$12*Obligors!$H$12</f>
        <v/>
      </c>
      <c r="HQ12" s="21">
        <f>Defaults!HQ12*Obligors!$G$12*Obligors!$H$12</f>
        <v/>
      </c>
      <c r="HR12" s="21">
        <f>Defaults!HR12*Obligors!$G$12*Obligors!$H$12</f>
        <v/>
      </c>
      <c r="HS12" s="21">
        <f>Defaults!HS12*Obligors!$G$12*Obligors!$H$12</f>
        <v/>
      </c>
      <c r="HT12" s="21">
        <f>Defaults!HT12*Obligors!$G$12*Obligors!$H$12</f>
        <v/>
      </c>
      <c r="HU12" s="21">
        <f>Defaults!HU12*Obligors!$G$12*Obligors!$H$12</f>
        <v/>
      </c>
      <c r="HV12" s="21">
        <f>Defaults!HV12*Obligors!$G$12*Obligors!$H$12</f>
        <v/>
      </c>
      <c r="HW12" s="21">
        <f>Defaults!HW12*Obligors!$G$12*Obligors!$H$12</f>
        <v/>
      </c>
      <c r="HX12" s="21">
        <f>Defaults!HX12*Obligors!$G$12*Obligors!$H$12</f>
        <v/>
      </c>
      <c r="HY12" s="21">
        <f>Defaults!HY12*Obligors!$G$12*Obligors!$H$12</f>
        <v/>
      </c>
      <c r="HZ12" s="21">
        <f>Defaults!HZ12*Obligors!$G$12*Obligors!$H$12</f>
        <v/>
      </c>
      <c r="IA12" s="21">
        <f>Defaults!IA12*Obligors!$G$12*Obligors!$H$12</f>
        <v/>
      </c>
      <c r="IB12" s="21">
        <f>Defaults!IB12*Obligors!$G$12*Obligors!$H$12</f>
        <v/>
      </c>
      <c r="IC12" s="21">
        <f>Defaults!IC12*Obligors!$G$12*Obligors!$H$12</f>
        <v/>
      </c>
      <c r="ID12" s="21">
        <f>Defaults!ID12*Obligors!$G$12*Obligors!$H$12</f>
        <v/>
      </c>
      <c r="IE12" s="21">
        <f>Defaults!IE12*Obligors!$G$12*Obligors!$H$12</f>
        <v/>
      </c>
      <c r="IF12" s="21">
        <f>Defaults!IF12*Obligors!$G$12*Obligors!$H$12</f>
        <v/>
      </c>
      <c r="IG12" s="21">
        <f>Defaults!IG12*Obligors!$G$12*Obligors!$H$12</f>
        <v/>
      </c>
      <c r="IH12" s="21">
        <f>Defaults!IH12*Obligors!$G$12*Obligors!$H$12</f>
        <v/>
      </c>
      <c r="II12" s="21">
        <f>Defaults!II12*Obligors!$G$12*Obligors!$H$12</f>
        <v/>
      </c>
      <c r="IJ12" s="21">
        <f>Defaults!IJ12*Obligors!$G$12*Obligors!$H$12</f>
        <v/>
      </c>
      <c r="IK12" s="21">
        <f>Defaults!IK12*Obligors!$G$12*Obligors!$H$12</f>
        <v/>
      </c>
      <c r="IL12" s="21">
        <f>Defaults!IL12*Obligors!$G$12*Obligors!$H$12</f>
        <v/>
      </c>
      <c r="IM12" s="21">
        <f>Defaults!IM12*Obligors!$G$12*Obligors!$H$12</f>
        <v/>
      </c>
      <c r="IN12" s="21">
        <f>Defaults!IN12*Obligors!$G$12*Obligors!$H$12</f>
        <v/>
      </c>
      <c r="IO12" s="21">
        <f>Defaults!IO12*Obligors!$G$12*Obligors!$H$12</f>
        <v/>
      </c>
      <c r="IP12" s="21">
        <f>Defaults!IP12*Obligors!$G$12*Obligors!$H$12</f>
        <v/>
      </c>
      <c r="IQ12" s="21">
        <f>Defaults!IQ12*Obligors!$G$12*Obligors!$H$12</f>
        <v/>
      </c>
      <c r="IR12" s="21">
        <f>Defaults!IR12*Obligors!$G$12*Obligors!$H$12</f>
        <v/>
      </c>
      <c r="IS12" s="21">
        <f>Defaults!IS12*Obligors!$G$12*Obligors!$H$12</f>
        <v/>
      </c>
      <c r="IT12" s="21">
        <f>Defaults!IT12*Obligors!$G$12*Obligors!$H$12</f>
        <v/>
      </c>
      <c r="IU12" s="21">
        <f>Defaults!IU12*Obligors!$G$12*Obligors!$H$12</f>
        <v/>
      </c>
      <c r="IV12" s="21">
        <f>Defaults!IV12*Obligors!$G$12*Obligors!$H$12</f>
        <v/>
      </c>
      <c r="IW12" s="21">
        <f>Defaults!IW12*Obligors!$G$12*Obligors!$H$12</f>
        <v/>
      </c>
      <c r="IX12" s="21">
        <f>Defaults!IX12*Obligors!$G$12*Obligors!$H$12</f>
        <v/>
      </c>
      <c r="IY12" s="21">
        <f>Defaults!IY12*Obligors!$G$12*Obligors!$H$12</f>
        <v/>
      </c>
      <c r="IZ12" s="21">
        <f>Defaults!IZ12*Obligors!$G$12*Obligors!$H$12</f>
        <v/>
      </c>
      <c r="JA12" s="21">
        <f>Defaults!JA12*Obligors!$G$12*Obligors!$H$12</f>
        <v/>
      </c>
      <c r="JB12" s="21">
        <f>Defaults!JB12*Obligors!$G$12*Obligors!$H$12</f>
        <v/>
      </c>
      <c r="JC12" s="21">
        <f>Defaults!JC12*Obligors!$G$12*Obligors!$H$12</f>
        <v/>
      </c>
      <c r="JD12" s="21">
        <f>Defaults!JD12*Obligors!$G$12*Obligors!$H$12</f>
        <v/>
      </c>
      <c r="JE12" s="21">
        <f>Defaults!JE12*Obligors!$G$12*Obligors!$H$12</f>
        <v/>
      </c>
      <c r="JF12" s="21">
        <f>Defaults!JF12*Obligors!$G$12*Obligors!$H$12</f>
        <v/>
      </c>
      <c r="JG12" s="21">
        <f>Defaults!JG12*Obligors!$G$12*Obligors!$H$12</f>
        <v/>
      </c>
      <c r="JH12" s="21">
        <f>Defaults!JH12*Obligors!$G$12*Obligors!$H$12</f>
        <v/>
      </c>
      <c r="JI12" s="21">
        <f>Defaults!JI12*Obligors!$G$12*Obligors!$H$12</f>
        <v/>
      </c>
      <c r="JJ12" s="21">
        <f>Defaults!JJ12*Obligors!$G$12*Obligors!$H$12</f>
        <v/>
      </c>
      <c r="JK12" s="21">
        <f>Defaults!JK12*Obligors!$G$12*Obligors!$H$12</f>
        <v/>
      </c>
      <c r="JL12" s="21">
        <f>Defaults!JL12*Obligors!$G$12*Obligors!$H$12</f>
        <v/>
      </c>
      <c r="JM12" s="21">
        <f>Defaults!JM12*Obligors!$G$12*Obligors!$H$12</f>
        <v/>
      </c>
      <c r="JN12" s="21">
        <f>Defaults!JN12*Obligors!$G$12*Obligors!$H$12</f>
        <v/>
      </c>
      <c r="JO12" s="21">
        <f>Defaults!JO12*Obligors!$G$12*Obligors!$H$12</f>
        <v/>
      </c>
      <c r="JP12" s="21">
        <f>Defaults!JP12*Obligors!$G$12*Obligors!$H$12</f>
        <v/>
      </c>
      <c r="JQ12" s="21">
        <f>Defaults!JQ12*Obligors!$G$12*Obligors!$H$12</f>
        <v/>
      </c>
      <c r="JR12" s="21">
        <f>Defaults!JR12*Obligors!$G$12*Obligors!$H$12</f>
        <v/>
      </c>
      <c r="JS12" s="21">
        <f>Defaults!JS12*Obligors!$G$12*Obligors!$H$12</f>
        <v/>
      </c>
      <c r="JT12" s="21">
        <f>Defaults!JT12*Obligors!$G$12*Obligors!$H$12</f>
        <v/>
      </c>
      <c r="JU12" s="21">
        <f>Defaults!JU12*Obligors!$G$12*Obligors!$H$12</f>
        <v/>
      </c>
      <c r="JV12" s="21">
        <f>Defaults!JV12*Obligors!$G$12*Obligors!$H$12</f>
        <v/>
      </c>
      <c r="JW12" s="21">
        <f>Defaults!JW12*Obligors!$G$12*Obligors!$H$12</f>
        <v/>
      </c>
      <c r="JX12" s="21">
        <f>Defaults!JX12*Obligors!$G$12*Obligors!$H$12</f>
        <v/>
      </c>
      <c r="JY12" s="21">
        <f>Defaults!JY12*Obligors!$G$12*Obligors!$H$12</f>
        <v/>
      </c>
      <c r="JZ12" s="21">
        <f>Defaults!JZ12*Obligors!$G$12*Obligors!$H$12</f>
        <v/>
      </c>
      <c r="KA12" s="21">
        <f>Defaults!KA12*Obligors!$G$12*Obligors!$H$12</f>
        <v/>
      </c>
      <c r="KB12" s="21">
        <f>Defaults!KB12*Obligors!$G$12*Obligors!$H$12</f>
        <v/>
      </c>
      <c r="KC12" s="21">
        <f>Defaults!KC12*Obligors!$G$12*Obligors!$H$12</f>
        <v/>
      </c>
      <c r="KD12" s="21">
        <f>Defaults!KD12*Obligors!$G$12*Obligors!$H$12</f>
        <v/>
      </c>
      <c r="KE12" s="21">
        <f>Defaults!KE12*Obligors!$G$12*Obligors!$H$12</f>
        <v/>
      </c>
      <c r="KF12" s="21">
        <f>Defaults!KF12*Obligors!$G$12*Obligors!$H$12</f>
        <v/>
      </c>
      <c r="KG12" s="21">
        <f>Defaults!KG12*Obligors!$G$12*Obligors!$H$12</f>
        <v/>
      </c>
      <c r="KH12" s="21">
        <f>Defaults!KH12*Obligors!$G$12*Obligors!$H$12</f>
        <v/>
      </c>
      <c r="KI12" s="21">
        <f>Defaults!KI12*Obligors!$G$12*Obligors!$H$12</f>
        <v/>
      </c>
      <c r="KJ12" s="21">
        <f>Defaults!KJ12*Obligors!$G$12*Obligors!$H$12</f>
        <v/>
      </c>
      <c r="KK12" s="21">
        <f>Defaults!KK12*Obligors!$G$12*Obligors!$H$12</f>
        <v/>
      </c>
      <c r="KL12" s="21">
        <f>Defaults!KL12*Obligors!$G$12*Obligors!$H$12</f>
        <v/>
      </c>
      <c r="KM12" s="21">
        <f>Defaults!KM12*Obligors!$G$12*Obligors!$H$12</f>
        <v/>
      </c>
      <c r="KN12" s="21">
        <f>Defaults!KN12*Obligors!$G$12*Obligors!$H$12</f>
        <v/>
      </c>
      <c r="KO12" s="21">
        <f>Defaults!KO12*Obligors!$G$12*Obligors!$H$12</f>
        <v/>
      </c>
      <c r="KP12" s="21">
        <f>Defaults!KP12*Obligors!$G$12*Obligors!$H$12</f>
        <v/>
      </c>
      <c r="KQ12" s="21">
        <f>Defaults!KQ12*Obligors!$G$12*Obligors!$H$12</f>
        <v/>
      </c>
      <c r="KR12" s="21">
        <f>Defaults!KR12*Obligors!$G$12*Obligors!$H$12</f>
        <v/>
      </c>
      <c r="KS12" s="21">
        <f>Defaults!KS12*Obligors!$G$12*Obligors!$H$12</f>
        <v/>
      </c>
      <c r="KT12" s="21">
        <f>Defaults!KT12*Obligors!$G$12*Obligors!$H$12</f>
        <v/>
      </c>
      <c r="KU12" s="21">
        <f>Defaults!KU12*Obligors!$G$12*Obligors!$H$12</f>
        <v/>
      </c>
      <c r="KV12" s="21">
        <f>Defaults!KV12*Obligors!$G$12*Obligors!$H$12</f>
        <v/>
      </c>
      <c r="KW12" s="21">
        <f>Defaults!KW12*Obligors!$G$12*Obligors!$H$12</f>
        <v/>
      </c>
      <c r="KX12" s="21">
        <f>Defaults!KX12*Obligors!$G$12*Obligors!$H$12</f>
        <v/>
      </c>
      <c r="KY12" s="21">
        <f>Defaults!KY12*Obligors!$G$12*Obligors!$H$12</f>
        <v/>
      </c>
      <c r="KZ12" s="21">
        <f>Defaults!KZ12*Obligors!$G$12*Obligors!$H$12</f>
        <v/>
      </c>
      <c r="LA12" s="21">
        <f>Defaults!LA12*Obligors!$G$12*Obligors!$H$12</f>
        <v/>
      </c>
      <c r="LB12" s="21">
        <f>Defaults!LB12*Obligors!$G$12*Obligors!$H$12</f>
        <v/>
      </c>
      <c r="LC12" s="21">
        <f>Defaults!LC12*Obligors!$G$12*Obligors!$H$12</f>
        <v/>
      </c>
      <c r="LD12" s="21">
        <f>Defaults!LD12*Obligors!$G$12*Obligors!$H$12</f>
        <v/>
      </c>
      <c r="LE12" s="21">
        <f>Defaults!LE12*Obligors!$G$12*Obligors!$H$12</f>
        <v/>
      </c>
      <c r="LF12" s="21">
        <f>Defaults!LF12*Obligors!$G$12*Obligors!$H$12</f>
        <v/>
      </c>
      <c r="LG12" s="21">
        <f>Defaults!LG12*Obligors!$G$12*Obligors!$H$12</f>
        <v/>
      </c>
      <c r="LH12" s="21">
        <f>Defaults!LH12*Obligors!$G$12*Obligors!$H$12</f>
        <v/>
      </c>
      <c r="LI12" s="21">
        <f>Defaults!LI12*Obligors!$G$12*Obligors!$H$12</f>
        <v/>
      </c>
      <c r="LJ12" s="21">
        <f>Defaults!LJ12*Obligors!$G$12*Obligors!$H$12</f>
        <v/>
      </c>
      <c r="LK12" s="21">
        <f>Defaults!LK12*Obligors!$G$12*Obligors!$H$12</f>
        <v/>
      </c>
      <c r="LL12" s="21">
        <f>Defaults!LL12*Obligors!$G$12*Obligors!$H$12</f>
        <v/>
      </c>
      <c r="LM12" s="21">
        <f>Defaults!LM12*Obligors!$G$12*Obligors!$H$12</f>
        <v/>
      </c>
      <c r="LN12" s="21">
        <f>Defaults!LN12*Obligors!$G$12*Obligors!$H$12</f>
        <v/>
      </c>
      <c r="LO12" s="21">
        <f>Defaults!LO12*Obligors!$G$12*Obligors!$H$12</f>
        <v/>
      </c>
      <c r="LP12" s="21">
        <f>Defaults!LP12*Obligors!$G$12*Obligors!$H$12</f>
        <v/>
      </c>
      <c r="LQ12" s="21">
        <f>Defaults!LQ12*Obligors!$G$12*Obligors!$H$12</f>
        <v/>
      </c>
      <c r="LR12" s="21">
        <f>Defaults!LR12*Obligors!$G$12*Obligors!$H$12</f>
        <v/>
      </c>
      <c r="LS12" s="21">
        <f>Defaults!LS12*Obligors!$G$12*Obligors!$H$12</f>
        <v/>
      </c>
      <c r="LT12" s="21">
        <f>Defaults!LT12*Obligors!$G$12*Obligors!$H$12</f>
        <v/>
      </c>
      <c r="LU12" s="21">
        <f>Defaults!LU12*Obligors!$G$12*Obligors!$H$12</f>
        <v/>
      </c>
      <c r="LV12" s="21">
        <f>Defaults!LV12*Obligors!$G$12*Obligors!$H$12</f>
        <v/>
      </c>
      <c r="LW12" s="21">
        <f>Defaults!LW12*Obligors!$G$12*Obligors!$H$12</f>
        <v/>
      </c>
      <c r="LX12" s="21">
        <f>Defaults!LX12*Obligors!$G$12*Obligors!$H$12</f>
        <v/>
      </c>
      <c r="LY12" s="21">
        <f>Defaults!LY12*Obligors!$G$12*Obligors!$H$12</f>
        <v/>
      </c>
      <c r="LZ12" s="21">
        <f>Defaults!LZ12*Obligors!$G$12*Obligors!$H$12</f>
        <v/>
      </c>
      <c r="MA12" s="21">
        <f>Defaults!MA12*Obligors!$G$12*Obligors!$H$12</f>
        <v/>
      </c>
      <c r="MB12" s="21">
        <f>Defaults!MB12*Obligors!$G$12*Obligors!$H$12</f>
        <v/>
      </c>
      <c r="MC12" s="21">
        <f>Defaults!MC12*Obligors!$G$12*Obligors!$H$12</f>
        <v/>
      </c>
      <c r="MD12" s="21">
        <f>Defaults!MD12*Obligors!$G$12*Obligors!$H$12</f>
        <v/>
      </c>
      <c r="ME12" s="21">
        <f>Defaults!ME12*Obligors!$G$12*Obligors!$H$12</f>
        <v/>
      </c>
      <c r="MF12" s="21">
        <f>Defaults!MF12*Obligors!$G$12*Obligors!$H$12</f>
        <v/>
      </c>
      <c r="MG12" s="21">
        <f>Defaults!MG12*Obligors!$G$12*Obligors!$H$12</f>
        <v/>
      </c>
      <c r="MH12" s="21">
        <f>Defaults!MH12*Obligors!$G$12*Obligors!$H$12</f>
        <v/>
      </c>
      <c r="MI12" s="21">
        <f>Defaults!MI12*Obligors!$G$12*Obligors!$H$12</f>
        <v/>
      </c>
      <c r="MJ12" s="21">
        <f>Defaults!MJ12*Obligors!$G$12*Obligors!$H$12</f>
        <v/>
      </c>
      <c r="MK12" s="21">
        <f>Defaults!MK12*Obligors!$G$12*Obligors!$H$12</f>
        <v/>
      </c>
      <c r="ML12" s="21">
        <f>Defaults!ML12*Obligors!$G$12*Obligors!$H$12</f>
        <v/>
      </c>
      <c r="MM12" s="21">
        <f>Defaults!MM12*Obligors!$G$12*Obligors!$H$12</f>
        <v/>
      </c>
      <c r="MN12" s="21">
        <f>Defaults!MN12*Obligors!$G$12*Obligors!$H$12</f>
        <v/>
      </c>
      <c r="MO12" s="21">
        <f>Defaults!MO12*Obligors!$G$12*Obligors!$H$12</f>
        <v/>
      </c>
      <c r="MP12" s="21">
        <f>Defaults!MP12*Obligors!$G$12*Obligors!$H$12</f>
        <v/>
      </c>
      <c r="MQ12" s="21">
        <f>Defaults!MQ12*Obligors!$G$12*Obligors!$H$12</f>
        <v/>
      </c>
      <c r="MR12" s="21">
        <f>Defaults!MR12*Obligors!$G$12*Obligors!$H$12</f>
        <v/>
      </c>
      <c r="MS12" s="21">
        <f>Defaults!MS12*Obligors!$G$12*Obligors!$H$12</f>
        <v/>
      </c>
      <c r="MT12" s="21">
        <f>Defaults!MT12*Obligors!$G$12*Obligors!$H$12</f>
        <v/>
      </c>
      <c r="MU12" s="21">
        <f>Defaults!MU12*Obligors!$G$12*Obligors!$H$12</f>
        <v/>
      </c>
      <c r="MV12" s="21">
        <f>Defaults!MV12*Obligors!$G$12*Obligors!$H$12</f>
        <v/>
      </c>
      <c r="MW12" s="21">
        <f>Defaults!MW12*Obligors!$G$12*Obligors!$H$12</f>
        <v/>
      </c>
      <c r="MX12" s="21">
        <f>Defaults!MX12*Obligors!$G$12*Obligors!$H$12</f>
        <v/>
      </c>
      <c r="MY12" s="21">
        <f>Defaults!MY12*Obligors!$G$12*Obligors!$H$12</f>
        <v/>
      </c>
      <c r="MZ12" s="21">
        <f>Defaults!MZ12*Obligors!$G$12*Obligors!$H$12</f>
        <v/>
      </c>
      <c r="NA12" s="21">
        <f>Defaults!NA12*Obligors!$G$12*Obligors!$H$12</f>
        <v/>
      </c>
      <c r="NB12" s="21">
        <f>Defaults!NB12*Obligors!$G$12*Obligors!$H$12</f>
        <v/>
      </c>
      <c r="NC12" s="21">
        <f>Defaults!NC12*Obligors!$G$12*Obligors!$H$12</f>
        <v/>
      </c>
      <c r="ND12" s="21">
        <f>Defaults!ND12*Obligors!$G$12*Obligors!$H$12</f>
        <v/>
      </c>
      <c r="NE12" s="21">
        <f>Defaults!NE12*Obligors!$G$12*Obligors!$H$12</f>
        <v/>
      </c>
      <c r="NF12" s="21">
        <f>Defaults!NF12*Obligors!$G$12*Obligors!$H$12</f>
        <v/>
      </c>
      <c r="NG12" s="21">
        <f>Defaults!NG12*Obligors!$G$12*Obligors!$H$12</f>
        <v/>
      </c>
      <c r="NH12" s="21">
        <f>Defaults!NH12*Obligors!$G$12*Obligors!$H$12</f>
        <v/>
      </c>
      <c r="NI12" s="21">
        <f>Defaults!NI12*Obligors!$G$12*Obligors!$H$12</f>
        <v/>
      </c>
      <c r="NJ12" s="21">
        <f>Defaults!NJ12*Obligors!$G$12*Obligors!$H$12</f>
        <v/>
      </c>
      <c r="NK12" s="21">
        <f>Defaults!NK12*Obligors!$G$12*Obligors!$H$12</f>
        <v/>
      </c>
      <c r="NL12" s="21">
        <f>Defaults!NL12*Obligors!$G$12*Obligors!$H$12</f>
        <v/>
      </c>
      <c r="NM12" s="21">
        <f>Defaults!NM12*Obligors!$G$12*Obligors!$H$12</f>
        <v/>
      </c>
      <c r="NN12" s="21">
        <f>Defaults!NN12*Obligors!$G$12*Obligors!$H$12</f>
        <v/>
      </c>
      <c r="NO12" s="21">
        <f>Defaults!NO12*Obligors!$G$12*Obligors!$H$12</f>
        <v/>
      </c>
      <c r="NP12" s="21">
        <f>Defaults!NP12*Obligors!$G$12*Obligors!$H$12</f>
        <v/>
      </c>
      <c r="NQ12" s="21">
        <f>Defaults!NQ12*Obligors!$G$12*Obligors!$H$12</f>
        <v/>
      </c>
      <c r="NR12" s="21">
        <f>Defaults!NR12*Obligors!$G$12*Obligors!$H$12</f>
        <v/>
      </c>
      <c r="NS12" s="21">
        <f>Defaults!NS12*Obligors!$G$12*Obligors!$H$12</f>
        <v/>
      </c>
      <c r="NT12" s="21">
        <f>Defaults!NT12*Obligors!$G$12*Obligors!$H$12</f>
        <v/>
      </c>
      <c r="NU12" s="21">
        <f>Defaults!NU12*Obligors!$G$12*Obligors!$H$12</f>
        <v/>
      </c>
      <c r="NV12" s="21">
        <f>Defaults!NV12*Obligors!$G$12*Obligors!$H$12</f>
        <v/>
      </c>
      <c r="NW12" s="21">
        <f>Defaults!NW12*Obligors!$G$12*Obligors!$H$12</f>
        <v/>
      </c>
      <c r="NX12" s="21">
        <f>Defaults!NX12*Obligors!$G$12*Obligors!$H$12</f>
        <v/>
      </c>
      <c r="NY12" s="21">
        <f>Defaults!NY12*Obligors!$G$12*Obligors!$H$12</f>
        <v/>
      </c>
      <c r="NZ12" s="21">
        <f>Defaults!NZ12*Obligors!$G$12*Obligors!$H$12</f>
        <v/>
      </c>
      <c r="OA12" s="21">
        <f>Defaults!OA12*Obligors!$G$12*Obligors!$H$12</f>
        <v/>
      </c>
      <c r="OB12" s="21">
        <f>Defaults!OB12*Obligors!$G$12*Obligors!$H$12</f>
        <v/>
      </c>
      <c r="OC12" s="21">
        <f>Defaults!OC12*Obligors!$G$12*Obligors!$H$12</f>
        <v/>
      </c>
      <c r="OD12" s="21">
        <f>Defaults!OD12*Obligors!$G$12*Obligors!$H$12</f>
        <v/>
      </c>
      <c r="OE12" s="21">
        <f>Defaults!OE12*Obligors!$G$12*Obligors!$H$12</f>
        <v/>
      </c>
      <c r="OF12" s="21">
        <f>Defaults!OF12*Obligors!$G$12*Obligors!$H$12</f>
        <v/>
      </c>
      <c r="OG12" s="21">
        <f>Defaults!OG12*Obligors!$G$12*Obligors!$H$12</f>
        <v/>
      </c>
      <c r="OH12" s="21">
        <f>Defaults!OH12*Obligors!$G$12*Obligors!$H$12</f>
        <v/>
      </c>
      <c r="OI12" s="21">
        <f>Defaults!OI12*Obligors!$G$12*Obligors!$H$12</f>
        <v/>
      </c>
      <c r="OJ12" s="21">
        <f>Defaults!OJ12*Obligors!$G$12*Obligors!$H$12</f>
        <v/>
      </c>
      <c r="OK12" s="21">
        <f>Defaults!OK12*Obligors!$G$12*Obligors!$H$12</f>
        <v/>
      </c>
      <c r="OL12" s="21">
        <f>Defaults!OL12*Obligors!$G$12*Obligors!$H$12</f>
        <v/>
      </c>
      <c r="OM12" s="21">
        <f>Defaults!OM12*Obligors!$G$12*Obligors!$H$12</f>
        <v/>
      </c>
      <c r="ON12" s="21">
        <f>Defaults!ON12*Obligors!$G$12*Obligors!$H$12</f>
        <v/>
      </c>
      <c r="OO12" s="21">
        <f>Defaults!OO12*Obligors!$G$12*Obligors!$H$12</f>
        <v/>
      </c>
      <c r="OP12" s="21">
        <f>Defaults!OP12*Obligors!$G$12*Obligors!$H$12</f>
        <v/>
      </c>
      <c r="OQ12" s="21">
        <f>Defaults!OQ12*Obligors!$G$12*Obligors!$H$12</f>
        <v/>
      </c>
      <c r="OR12" s="21">
        <f>Defaults!OR12*Obligors!$G$12*Obligors!$H$12</f>
        <v/>
      </c>
      <c r="OS12" s="21">
        <f>Defaults!OS12*Obligors!$G$12*Obligors!$H$12</f>
        <v/>
      </c>
      <c r="OT12" s="21">
        <f>Defaults!OT12*Obligors!$G$12*Obligors!$H$12</f>
        <v/>
      </c>
      <c r="OU12" s="21">
        <f>Defaults!OU12*Obligors!$G$12*Obligors!$H$12</f>
        <v/>
      </c>
      <c r="OV12" s="21">
        <f>Defaults!OV12*Obligors!$G$12*Obligors!$H$12</f>
        <v/>
      </c>
      <c r="OW12" s="21">
        <f>Defaults!OW12*Obligors!$G$12*Obligors!$H$12</f>
        <v/>
      </c>
      <c r="OX12" s="21">
        <f>Defaults!OX12*Obligors!$G$12*Obligors!$H$12</f>
        <v/>
      </c>
      <c r="OY12" s="21">
        <f>Defaults!OY12*Obligors!$G$12*Obligors!$H$12</f>
        <v/>
      </c>
      <c r="OZ12" s="21">
        <f>Defaults!OZ12*Obligors!$G$12*Obligors!$H$12</f>
        <v/>
      </c>
      <c r="PA12" s="21">
        <f>Defaults!PA12*Obligors!$G$12*Obligors!$H$12</f>
        <v/>
      </c>
      <c r="PB12" s="21">
        <f>Defaults!PB12*Obligors!$G$12*Obligors!$H$12</f>
        <v/>
      </c>
      <c r="PC12" s="21">
        <f>Defaults!PC12*Obligors!$G$12*Obligors!$H$12</f>
        <v/>
      </c>
      <c r="PD12" s="21">
        <f>Defaults!PD12*Obligors!$G$12*Obligors!$H$12</f>
        <v/>
      </c>
      <c r="PE12" s="21">
        <f>Defaults!PE12*Obligors!$G$12*Obligors!$H$12</f>
        <v/>
      </c>
      <c r="PF12" s="21">
        <f>Defaults!PF12*Obligors!$G$12*Obligors!$H$12</f>
        <v/>
      </c>
      <c r="PG12" s="21">
        <f>Defaults!PG12*Obligors!$G$12*Obligors!$H$12</f>
        <v/>
      </c>
      <c r="PH12" s="21">
        <f>Defaults!PH12*Obligors!$G$12*Obligors!$H$12</f>
        <v/>
      </c>
      <c r="PI12" s="21">
        <f>Defaults!PI12*Obligors!$G$12*Obligors!$H$12</f>
        <v/>
      </c>
      <c r="PJ12" s="21">
        <f>Defaults!PJ12*Obligors!$G$12*Obligors!$H$12</f>
        <v/>
      </c>
      <c r="PK12" s="21">
        <f>Defaults!PK12*Obligors!$G$12*Obligors!$H$12</f>
        <v/>
      </c>
      <c r="PL12" s="21">
        <f>Defaults!PL12*Obligors!$G$12*Obligors!$H$12</f>
        <v/>
      </c>
      <c r="PM12" s="21">
        <f>Defaults!PM12*Obligors!$G$12*Obligors!$H$12</f>
        <v/>
      </c>
      <c r="PN12" s="21">
        <f>Defaults!PN12*Obligors!$G$12*Obligors!$H$12</f>
        <v/>
      </c>
      <c r="PO12" s="21">
        <f>Defaults!PO12*Obligors!$G$12*Obligors!$H$12</f>
        <v/>
      </c>
      <c r="PP12" s="21">
        <f>Defaults!PP12*Obligors!$G$12*Obligors!$H$12</f>
        <v/>
      </c>
      <c r="PQ12" s="21">
        <f>Defaults!PQ12*Obligors!$G$12*Obligors!$H$12</f>
        <v/>
      </c>
      <c r="PR12" s="21">
        <f>Defaults!PR12*Obligors!$G$12*Obligors!$H$12</f>
        <v/>
      </c>
      <c r="PS12" s="21">
        <f>Defaults!PS12*Obligors!$G$12*Obligors!$H$12</f>
        <v/>
      </c>
      <c r="PT12" s="21">
        <f>Defaults!PT12*Obligors!$G$12*Obligors!$H$12</f>
        <v/>
      </c>
      <c r="PU12" s="21">
        <f>Defaults!PU12*Obligors!$G$12*Obligors!$H$12</f>
        <v/>
      </c>
      <c r="PV12" s="21">
        <f>Defaults!PV12*Obligors!$G$12*Obligors!$H$12</f>
        <v/>
      </c>
      <c r="PW12" s="21">
        <f>Defaults!PW12*Obligors!$G$12*Obligors!$H$12</f>
        <v/>
      </c>
      <c r="PX12" s="21">
        <f>Defaults!PX12*Obligors!$G$12*Obligors!$H$12</f>
        <v/>
      </c>
      <c r="PY12" s="21">
        <f>Defaults!PY12*Obligors!$G$12*Obligors!$H$12</f>
        <v/>
      </c>
      <c r="PZ12" s="21">
        <f>Defaults!PZ12*Obligors!$G$12*Obligors!$H$12</f>
        <v/>
      </c>
      <c r="QA12" s="21">
        <f>Defaults!QA12*Obligors!$G$12*Obligors!$H$12</f>
        <v/>
      </c>
      <c r="QB12" s="21">
        <f>Defaults!QB12*Obligors!$G$12*Obligors!$H$12</f>
        <v/>
      </c>
      <c r="QC12" s="21">
        <f>Defaults!QC12*Obligors!$G$12*Obligors!$H$12</f>
        <v/>
      </c>
      <c r="QD12" s="21">
        <f>Defaults!QD12*Obligors!$G$12*Obligors!$H$12</f>
        <v/>
      </c>
      <c r="QE12" s="21">
        <f>Defaults!QE12*Obligors!$G$12*Obligors!$H$12</f>
        <v/>
      </c>
      <c r="QF12" s="21">
        <f>Defaults!QF12*Obligors!$G$12*Obligors!$H$12</f>
        <v/>
      </c>
      <c r="QG12" s="21">
        <f>Defaults!QG12*Obligors!$G$12*Obligors!$H$12</f>
        <v/>
      </c>
      <c r="QH12" s="21">
        <f>Defaults!QH12*Obligors!$G$12*Obligors!$H$12</f>
        <v/>
      </c>
      <c r="QI12" s="21">
        <f>Defaults!QI12*Obligors!$G$12*Obligors!$H$12</f>
        <v/>
      </c>
      <c r="QJ12" s="21">
        <f>Defaults!QJ12*Obligors!$G$12*Obligors!$H$12</f>
        <v/>
      </c>
      <c r="QK12" s="21">
        <f>Defaults!QK12*Obligors!$G$12*Obligors!$H$12</f>
        <v/>
      </c>
      <c r="QL12" s="21">
        <f>Defaults!QL12*Obligors!$G$12*Obligors!$H$12</f>
        <v/>
      </c>
      <c r="QM12" s="21">
        <f>Defaults!QM12*Obligors!$G$12*Obligors!$H$12</f>
        <v/>
      </c>
      <c r="QN12" s="21">
        <f>Defaults!QN12*Obligors!$G$12*Obligors!$H$12</f>
        <v/>
      </c>
      <c r="QO12" s="21">
        <f>Defaults!QO12*Obligors!$G$12*Obligors!$H$12</f>
        <v/>
      </c>
      <c r="QP12" s="21">
        <f>Defaults!QP12*Obligors!$G$12*Obligors!$H$12</f>
        <v/>
      </c>
      <c r="QQ12" s="21">
        <f>Defaults!QQ12*Obligors!$G$12*Obligors!$H$12</f>
        <v/>
      </c>
      <c r="QR12" s="21">
        <f>Defaults!QR12*Obligors!$G$12*Obligors!$H$12</f>
        <v/>
      </c>
      <c r="QS12" s="21">
        <f>Defaults!QS12*Obligors!$G$12*Obligors!$H$12</f>
        <v/>
      </c>
      <c r="QT12" s="21">
        <f>Defaults!QT12*Obligors!$G$12*Obligors!$H$12</f>
        <v/>
      </c>
      <c r="QU12" s="21">
        <f>Defaults!QU12*Obligors!$G$12*Obligors!$H$12</f>
        <v/>
      </c>
      <c r="QV12" s="21">
        <f>Defaults!QV12*Obligors!$G$12*Obligors!$H$12</f>
        <v/>
      </c>
      <c r="QW12" s="21">
        <f>Defaults!QW12*Obligors!$G$12*Obligors!$H$12</f>
        <v/>
      </c>
      <c r="QX12" s="21">
        <f>Defaults!QX12*Obligors!$G$12*Obligors!$H$12</f>
        <v/>
      </c>
      <c r="QY12" s="21">
        <f>Defaults!QY12*Obligors!$G$12*Obligors!$H$12</f>
        <v/>
      </c>
      <c r="QZ12" s="21">
        <f>Defaults!QZ12*Obligors!$G$12*Obligors!$H$12</f>
        <v/>
      </c>
      <c r="RA12" s="21">
        <f>Defaults!RA12*Obligors!$G$12*Obligors!$H$12</f>
        <v/>
      </c>
      <c r="RB12" s="21">
        <f>Defaults!RB12*Obligors!$G$12*Obligors!$H$12</f>
        <v/>
      </c>
      <c r="RC12" s="21">
        <f>Defaults!RC12*Obligors!$G$12*Obligors!$H$12</f>
        <v/>
      </c>
      <c r="RD12" s="21">
        <f>Defaults!RD12*Obligors!$G$12*Obligors!$H$12</f>
        <v/>
      </c>
      <c r="RE12" s="21">
        <f>Defaults!RE12*Obligors!$G$12*Obligors!$H$12</f>
        <v/>
      </c>
      <c r="RF12" s="21">
        <f>Defaults!RF12*Obligors!$G$12*Obligors!$H$12</f>
        <v/>
      </c>
      <c r="RG12" s="21">
        <f>Defaults!RG12*Obligors!$G$12*Obligors!$H$12</f>
        <v/>
      </c>
      <c r="RH12" s="21">
        <f>Defaults!RH12*Obligors!$G$12*Obligors!$H$12</f>
        <v/>
      </c>
      <c r="RI12" s="21">
        <f>Defaults!RI12*Obligors!$G$12*Obligors!$H$12</f>
        <v/>
      </c>
      <c r="RJ12" s="21">
        <f>Defaults!RJ12*Obligors!$G$12*Obligors!$H$12</f>
        <v/>
      </c>
      <c r="RK12" s="21">
        <f>Defaults!RK12*Obligors!$G$12*Obligors!$H$12</f>
        <v/>
      </c>
      <c r="RL12" s="21">
        <f>Defaults!RL12*Obligors!$G$12*Obligors!$H$12</f>
        <v/>
      </c>
      <c r="RM12" s="21">
        <f>Defaults!RM12*Obligors!$G$12*Obligors!$H$12</f>
        <v/>
      </c>
      <c r="RN12" s="21">
        <f>Defaults!RN12*Obligors!$G$12*Obligors!$H$12</f>
        <v/>
      </c>
      <c r="RO12" s="21">
        <f>Defaults!RO12*Obligors!$G$12*Obligors!$H$12</f>
        <v/>
      </c>
      <c r="RP12" s="21">
        <f>Defaults!RP12*Obligors!$G$12*Obligors!$H$12</f>
        <v/>
      </c>
      <c r="RQ12" s="21">
        <f>Defaults!RQ12*Obligors!$G$12*Obligors!$H$12</f>
        <v/>
      </c>
      <c r="RR12" s="21">
        <f>Defaults!RR12*Obligors!$G$12*Obligors!$H$12</f>
        <v/>
      </c>
      <c r="RS12" s="21">
        <f>Defaults!RS12*Obligors!$G$12*Obligors!$H$12</f>
        <v/>
      </c>
      <c r="RT12" s="21">
        <f>Defaults!RT12*Obligors!$G$12*Obligors!$H$12</f>
        <v/>
      </c>
      <c r="RU12" s="21">
        <f>Defaults!RU12*Obligors!$G$12*Obligors!$H$12</f>
        <v/>
      </c>
      <c r="RV12" s="21">
        <f>Defaults!RV12*Obligors!$G$12*Obligors!$H$12</f>
        <v/>
      </c>
      <c r="RW12" s="21">
        <f>Defaults!RW12*Obligors!$G$12*Obligors!$H$12</f>
        <v/>
      </c>
      <c r="RX12" s="21">
        <f>Defaults!RX12*Obligors!$G$12*Obligors!$H$12</f>
        <v/>
      </c>
      <c r="RY12" s="21">
        <f>Defaults!RY12*Obligors!$G$12*Obligors!$H$12</f>
        <v/>
      </c>
      <c r="RZ12" s="21">
        <f>Defaults!RZ12*Obligors!$G$12*Obligors!$H$12</f>
        <v/>
      </c>
      <c r="SA12" s="21">
        <f>Defaults!SA12*Obligors!$G$12*Obligors!$H$12</f>
        <v/>
      </c>
      <c r="SB12" s="21">
        <f>Defaults!SB12*Obligors!$G$12*Obligors!$H$12</f>
        <v/>
      </c>
      <c r="SC12" s="21">
        <f>Defaults!SC12*Obligors!$G$12*Obligors!$H$12</f>
        <v/>
      </c>
      <c r="SD12" s="21">
        <f>Defaults!SD12*Obligors!$G$12*Obligors!$H$12</f>
        <v/>
      </c>
      <c r="SE12" s="21">
        <f>Defaults!SE12*Obligors!$G$12*Obligors!$H$12</f>
        <v/>
      </c>
      <c r="SF12" s="21">
        <f>Defaults!SF12*Obligors!$G$12*Obligors!$H$12</f>
        <v/>
      </c>
      <c r="SG12" s="21">
        <f>Defaults!SG12*Obligors!$G$12*Obligors!$H$12</f>
        <v/>
      </c>
    </row>
    <row r="13">
      <c r="A13" s="17" t="inlineStr">
        <is>
          <t>OBL-012</t>
        </is>
      </c>
      <c r="B13" s="21">
        <f>Defaults!B13*Obligors!$G$13*Obligors!$H$13</f>
        <v/>
      </c>
      <c r="C13" s="21">
        <f>Defaults!C13*Obligors!$G$13*Obligors!$H$13</f>
        <v/>
      </c>
      <c r="D13" s="21">
        <f>Defaults!D13*Obligors!$G$13*Obligors!$H$13</f>
        <v/>
      </c>
      <c r="E13" s="21">
        <f>Defaults!E13*Obligors!$G$13*Obligors!$H$13</f>
        <v/>
      </c>
      <c r="F13" s="21">
        <f>Defaults!F13*Obligors!$G$13*Obligors!$H$13</f>
        <v/>
      </c>
      <c r="G13" s="21">
        <f>Defaults!G13*Obligors!$G$13*Obligors!$H$13</f>
        <v/>
      </c>
      <c r="H13" s="21">
        <f>Defaults!H13*Obligors!$G$13*Obligors!$H$13</f>
        <v/>
      </c>
      <c r="I13" s="21">
        <f>Defaults!I13*Obligors!$G$13*Obligors!$H$13</f>
        <v/>
      </c>
      <c r="J13" s="21">
        <f>Defaults!J13*Obligors!$G$13*Obligors!$H$13</f>
        <v/>
      </c>
      <c r="K13" s="21">
        <f>Defaults!K13*Obligors!$G$13*Obligors!$H$13</f>
        <v/>
      </c>
      <c r="L13" s="21">
        <f>Defaults!L13*Obligors!$G$13*Obligors!$H$13</f>
        <v/>
      </c>
      <c r="M13" s="21">
        <f>Defaults!M13*Obligors!$G$13*Obligors!$H$13</f>
        <v/>
      </c>
      <c r="N13" s="21">
        <f>Defaults!N13*Obligors!$G$13*Obligors!$H$13</f>
        <v/>
      </c>
      <c r="O13" s="21">
        <f>Defaults!O13*Obligors!$G$13*Obligors!$H$13</f>
        <v/>
      </c>
      <c r="P13" s="21">
        <f>Defaults!P13*Obligors!$G$13*Obligors!$H$13</f>
        <v/>
      </c>
      <c r="Q13" s="21">
        <f>Defaults!Q13*Obligors!$G$13*Obligors!$H$13</f>
        <v/>
      </c>
      <c r="R13" s="21">
        <f>Defaults!R13*Obligors!$G$13*Obligors!$H$13</f>
        <v/>
      </c>
      <c r="S13" s="21">
        <f>Defaults!S13*Obligors!$G$13*Obligors!$H$13</f>
        <v/>
      </c>
      <c r="T13" s="21">
        <f>Defaults!T13*Obligors!$G$13*Obligors!$H$13</f>
        <v/>
      </c>
      <c r="U13" s="21">
        <f>Defaults!U13*Obligors!$G$13*Obligors!$H$13</f>
        <v/>
      </c>
      <c r="V13" s="21">
        <f>Defaults!V13*Obligors!$G$13*Obligors!$H$13</f>
        <v/>
      </c>
      <c r="W13" s="21">
        <f>Defaults!W13*Obligors!$G$13*Obligors!$H$13</f>
        <v/>
      </c>
      <c r="X13" s="21">
        <f>Defaults!X13*Obligors!$G$13*Obligors!$H$13</f>
        <v/>
      </c>
      <c r="Y13" s="21">
        <f>Defaults!Y13*Obligors!$G$13*Obligors!$H$13</f>
        <v/>
      </c>
      <c r="Z13" s="21">
        <f>Defaults!Z13*Obligors!$G$13*Obligors!$H$13</f>
        <v/>
      </c>
      <c r="AA13" s="21">
        <f>Defaults!AA13*Obligors!$G$13*Obligors!$H$13</f>
        <v/>
      </c>
      <c r="AB13" s="21">
        <f>Defaults!AB13*Obligors!$G$13*Obligors!$H$13</f>
        <v/>
      </c>
      <c r="AC13" s="21">
        <f>Defaults!AC13*Obligors!$G$13*Obligors!$H$13</f>
        <v/>
      </c>
      <c r="AD13" s="21">
        <f>Defaults!AD13*Obligors!$G$13*Obligors!$H$13</f>
        <v/>
      </c>
      <c r="AE13" s="21">
        <f>Defaults!AE13*Obligors!$G$13*Obligors!$H$13</f>
        <v/>
      </c>
      <c r="AF13" s="21">
        <f>Defaults!AF13*Obligors!$G$13*Obligors!$H$13</f>
        <v/>
      </c>
      <c r="AG13" s="21">
        <f>Defaults!AG13*Obligors!$G$13*Obligors!$H$13</f>
        <v/>
      </c>
      <c r="AH13" s="21">
        <f>Defaults!AH13*Obligors!$G$13*Obligors!$H$13</f>
        <v/>
      </c>
      <c r="AI13" s="21">
        <f>Defaults!AI13*Obligors!$G$13*Obligors!$H$13</f>
        <v/>
      </c>
      <c r="AJ13" s="21">
        <f>Defaults!AJ13*Obligors!$G$13*Obligors!$H$13</f>
        <v/>
      </c>
      <c r="AK13" s="21">
        <f>Defaults!AK13*Obligors!$G$13*Obligors!$H$13</f>
        <v/>
      </c>
      <c r="AL13" s="21">
        <f>Defaults!AL13*Obligors!$G$13*Obligors!$H$13</f>
        <v/>
      </c>
      <c r="AM13" s="21">
        <f>Defaults!AM13*Obligors!$G$13*Obligors!$H$13</f>
        <v/>
      </c>
      <c r="AN13" s="21">
        <f>Defaults!AN13*Obligors!$G$13*Obligors!$H$13</f>
        <v/>
      </c>
      <c r="AO13" s="21">
        <f>Defaults!AO13*Obligors!$G$13*Obligors!$H$13</f>
        <v/>
      </c>
      <c r="AP13" s="21">
        <f>Defaults!AP13*Obligors!$G$13*Obligors!$H$13</f>
        <v/>
      </c>
      <c r="AQ13" s="21">
        <f>Defaults!AQ13*Obligors!$G$13*Obligors!$H$13</f>
        <v/>
      </c>
      <c r="AR13" s="21">
        <f>Defaults!AR13*Obligors!$G$13*Obligors!$H$13</f>
        <v/>
      </c>
      <c r="AS13" s="21">
        <f>Defaults!AS13*Obligors!$G$13*Obligors!$H$13</f>
        <v/>
      </c>
      <c r="AT13" s="21">
        <f>Defaults!AT13*Obligors!$G$13*Obligors!$H$13</f>
        <v/>
      </c>
      <c r="AU13" s="21">
        <f>Defaults!AU13*Obligors!$G$13*Obligors!$H$13</f>
        <v/>
      </c>
      <c r="AV13" s="21">
        <f>Defaults!AV13*Obligors!$G$13*Obligors!$H$13</f>
        <v/>
      </c>
      <c r="AW13" s="21">
        <f>Defaults!AW13*Obligors!$G$13*Obligors!$H$13</f>
        <v/>
      </c>
      <c r="AX13" s="21">
        <f>Defaults!AX13*Obligors!$G$13*Obligors!$H$13</f>
        <v/>
      </c>
      <c r="AY13" s="21">
        <f>Defaults!AY13*Obligors!$G$13*Obligors!$H$13</f>
        <v/>
      </c>
      <c r="AZ13" s="21">
        <f>Defaults!AZ13*Obligors!$G$13*Obligors!$H$13</f>
        <v/>
      </c>
      <c r="BA13" s="21">
        <f>Defaults!BA13*Obligors!$G$13*Obligors!$H$13</f>
        <v/>
      </c>
      <c r="BB13" s="21">
        <f>Defaults!BB13*Obligors!$G$13*Obligors!$H$13</f>
        <v/>
      </c>
      <c r="BC13" s="21">
        <f>Defaults!BC13*Obligors!$G$13*Obligors!$H$13</f>
        <v/>
      </c>
      <c r="BD13" s="21">
        <f>Defaults!BD13*Obligors!$G$13*Obligors!$H$13</f>
        <v/>
      </c>
      <c r="BE13" s="21">
        <f>Defaults!BE13*Obligors!$G$13*Obligors!$H$13</f>
        <v/>
      </c>
      <c r="BF13" s="21">
        <f>Defaults!BF13*Obligors!$G$13*Obligors!$H$13</f>
        <v/>
      </c>
      <c r="BG13" s="21">
        <f>Defaults!BG13*Obligors!$G$13*Obligors!$H$13</f>
        <v/>
      </c>
      <c r="BH13" s="21">
        <f>Defaults!BH13*Obligors!$G$13*Obligors!$H$13</f>
        <v/>
      </c>
      <c r="BI13" s="21">
        <f>Defaults!BI13*Obligors!$G$13*Obligors!$H$13</f>
        <v/>
      </c>
      <c r="BJ13" s="21">
        <f>Defaults!BJ13*Obligors!$G$13*Obligors!$H$13</f>
        <v/>
      </c>
      <c r="BK13" s="21">
        <f>Defaults!BK13*Obligors!$G$13*Obligors!$H$13</f>
        <v/>
      </c>
      <c r="BL13" s="21">
        <f>Defaults!BL13*Obligors!$G$13*Obligors!$H$13</f>
        <v/>
      </c>
      <c r="BM13" s="21">
        <f>Defaults!BM13*Obligors!$G$13*Obligors!$H$13</f>
        <v/>
      </c>
      <c r="BN13" s="21">
        <f>Defaults!BN13*Obligors!$G$13*Obligors!$H$13</f>
        <v/>
      </c>
      <c r="BO13" s="21">
        <f>Defaults!BO13*Obligors!$G$13*Obligors!$H$13</f>
        <v/>
      </c>
      <c r="BP13" s="21">
        <f>Defaults!BP13*Obligors!$G$13*Obligors!$H$13</f>
        <v/>
      </c>
      <c r="BQ13" s="21">
        <f>Defaults!BQ13*Obligors!$G$13*Obligors!$H$13</f>
        <v/>
      </c>
      <c r="BR13" s="21">
        <f>Defaults!BR13*Obligors!$G$13*Obligors!$H$13</f>
        <v/>
      </c>
      <c r="BS13" s="21">
        <f>Defaults!BS13*Obligors!$G$13*Obligors!$H$13</f>
        <v/>
      </c>
      <c r="BT13" s="21">
        <f>Defaults!BT13*Obligors!$G$13*Obligors!$H$13</f>
        <v/>
      </c>
      <c r="BU13" s="21">
        <f>Defaults!BU13*Obligors!$G$13*Obligors!$H$13</f>
        <v/>
      </c>
      <c r="BV13" s="21">
        <f>Defaults!BV13*Obligors!$G$13*Obligors!$H$13</f>
        <v/>
      </c>
      <c r="BW13" s="21">
        <f>Defaults!BW13*Obligors!$G$13*Obligors!$H$13</f>
        <v/>
      </c>
      <c r="BX13" s="21">
        <f>Defaults!BX13*Obligors!$G$13*Obligors!$H$13</f>
        <v/>
      </c>
      <c r="BY13" s="21">
        <f>Defaults!BY13*Obligors!$G$13*Obligors!$H$13</f>
        <v/>
      </c>
      <c r="BZ13" s="21">
        <f>Defaults!BZ13*Obligors!$G$13*Obligors!$H$13</f>
        <v/>
      </c>
      <c r="CA13" s="21">
        <f>Defaults!CA13*Obligors!$G$13*Obligors!$H$13</f>
        <v/>
      </c>
      <c r="CB13" s="21">
        <f>Defaults!CB13*Obligors!$G$13*Obligors!$H$13</f>
        <v/>
      </c>
      <c r="CC13" s="21">
        <f>Defaults!CC13*Obligors!$G$13*Obligors!$H$13</f>
        <v/>
      </c>
      <c r="CD13" s="21">
        <f>Defaults!CD13*Obligors!$G$13*Obligors!$H$13</f>
        <v/>
      </c>
      <c r="CE13" s="21">
        <f>Defaults!CE13*Obligors!$G$13*Obligors!$H$13</f>
        <v/>
      </c>
      <c r="CF13" s="21">
        <f>Defaults!CF13*Obligors!$G$13*Obligors!$H$13</f>
        <v/>
      </c>
      <c r="CG13" s="21">
        <f>Defaults!CG13*Obligors!$G$13*Obligors!$H$13</f>
        <v/>
      </c>
      <c r="CH13" s="21">
        <f>Defaults!CH13*Obligors!$G$13*Obligors!$H$13</f>
        <v/>
      </c>
      <c r="CI13" s="21">
        <f>Defaults!CI13*Obligors!$G$13*Obligors!$H$13</f>
        <v/>
      </c>
      <c r="CJ13" s="21">
        <f>Defaults!CJ13*Obligors!$G$13*Obligors!$H$13</f>
        <v/>
      </c>
      <c r="CK13" s="21">
        <f>Defaults!CK13*Obligors!$G$13*Obligors!$H$13</f>
        <v/>
      </c>
      <c r="CL13" s="21">
        <f>Defaults!CL13*Obligors!$G$13*Obligors!$H$13</f>
        <v/>
      </c>
      <c r="CM13" s="21">
        <f>Defaults!CM13*Obligors!$G$13*Obligors!$H$13</f>
        <v/>
      </c>
      <c r="CN13" s="21">
        <f>Defaults!CN13*Obligors!$G$13*Obligors!$H$13</f>
        <v/>
      </c>
      <c r="CO13" s="21">
        <f>Defaults!CO13*Obligors!$G$13*Obligors!$H$13</f>
        <v/>
      </c>
      <c r="CP13" s="21">
        <f>Defaults!CP13*Obligors!$G$13*Obligors!$H$13</f>
        <v/>
      </c>
      <c r="CQ13" s="21">
        <f>Defaults!CQ13*Obligors!$G$13*Obligors!$H$13</f>
        <v/>
      </c>
      <c r="CR13" s="21">
        <f>Defaults!CR13*Obligors!$G$13*Obligors!$H$13</f>
        <v/>
      </c>
      <c r="CS13" s="21">
        <f>Defaults!CS13*Obligors!$G$13*Obligors!$H$13</f>
        <v/>
      </c>
      <c r="CT13" s="21">
        <f>Defaults!CT13*Obligors!$G$13*Obligors!$H$13</f>
        <v/>
      </c>
      <c r="CU13" s="21">
        <f>Defaults!CU13*Obligors!$G$13*Obligors!$H$13</f>
        <v/>
      </c>
      <c r="CV13" s="21">
        <f>Defaults!CV13*Obligors!$G$13*Obligors!$H$13</f>
        <v/>
      </c>
      <c r="CW13" s="21">
        <f>Defaults!CW13*Obligors!$G$13*Obligors!$H$13</f>
        <v/>
      </c>
      <c r="CX13" s="21">
        <f>Defaults!CX13*Obligors!$G$13*Obligors!$H$13</f>
        <v/>
      </c>
      <c r="CY13" s="21">
        <f>Defaults!CY13*Obligors!$G$13*Obligors!$H$13</f>
        <v/>
      </c>
      <c r="CZ13" s="21">
        <f>Defaults!CZ13*Obligors!$G$13*Obligors!$H$13</f>
        <v/>
      </c>
      <c r="DA13" s="21">
        <f>Defaults!DA13*Obligors!$G$13*Obligors!$H$13</f>
        <v/>
      </c>
      <c r="DB13" s="21">
        <f>Defaults!DB13*Obligors!$G$13*Obligors!$H$13</f>
        <v/>
      </c>
      <c r="DC13" s="21">
        <f>Defaults!DC13*Obligors!$G$13*Obligors!$H$13</f>
        <v/>
      </c>
      <c r="DD13" s="21">
        <f>Defaults!DD13*Obligors!$G$13*Obligors!$H$13</f>
        <v/>
      </c>
      <c r="DE13" s="21">
        <f>Defaults!DE13*Obligors!$G$13*Obligors!$H$13</f>
        <v/>
      </c>
      <c r="DF13" s="21">
        <f>Defaults!DF13*Obligors!$G$13*Obligors!$H$13</f>
        <v/>
      </c>
      <c r="DG13" s="21">
        <f>Defaults!DG13*Obligors!$G$13*Obligors!$H$13</f>
        <v/>
      </c>
      <c r="DH13" s="21">
        <f>Defaults!DH13*Obligors!$G$13*Obligors!$H$13</f>
        <v/>
      </c>
      <c r="DI13" s="21">
        <f>Defaults!DI13*Obligors!$G$13*Obligors!$H$13</f>
        <v/>
      </c>
      <c r="DJ13" s="21">
        <f>Defaults!DJ13*Obligors!$G$13*Obligors!$H$13</f>
        <v/>
      </c>
      <c r="DK13" s="21">
        <f>Defaults!DK13*Obligors!$G$13*Obligors!$H$13</f>
        <v/>
      </c>
      <c r="DL13" s="21">
        <f>Defaults!DL13*Obligors!$G$13*Obligors!$H$13</f>
        <v/>
      </c>
      <c r="DM13" s="21">
        <f>Defaults!DM13*Obligors!$G$13*Obligors!$H$13</f>
        <v/>
      </c>
      <c r="DN13" s="21">
        <f>Defaults!DN13*Obligors!$G$13*Obligors!$H$13</f>
        <v/>
      </c>
      <c r="DO13" s="21">
        <f>Defaults!DO13*Obligors!$G$13*Obligors!$H$13</f>
        <v/>
      </c>
      <c r="DP13" s="21">
        <f>Defaults!DP13*Obligors!$G$13*Obligors!$H$13</f>
        <v/>
      </c>
      <c r="DQ13" s="21">
        <f>Defaults!DQ13*Obligors!$G$13*Obligors!$H$13</f>
        <v/>
      </c>
      <c r="DR13" s="21">
        <f>Defaults!DR13*Obligors!$G$13*Obligors!$H$13</f>
        <v/>
      </c>
      <c r="DS13" s="21">
        <f>Defaults!DS13*Obligors!$G$13*Obligors!$H$13</f>
        <v/>
      </c>
      <c r="DT13" s="21">
        <f>Defaults!DT13*Obligors!$G$13*Obligors!$H$13</f>
        <v/>
      </c>
      <c r="DU13" s="21">
        <f>Defaults!DU13*Obligors!$G$13*Obligors!$H$13</f>
        <v/>
      </c>
      <c r="DV13" s="21">
        <f>Defaults!DV13*Obligors!$G$13*Obligors!$H$13</f>
        <v/>
      </c>
      <c r="DW13" s="21">
        <f>Defaults!DW13*Obligors!$G$13*Obligors!$H$13</f>
        <v/>
      </c>
      <c r="DX13" s="21">
        <f>Defaults!DX13*Obligors!$G$13*Obligors!$H$13</f>
        <v/>
      </c>
      <c r="DY13" s="21">
        <f>Defaults!DY13*Obligors!$G$13*Obligors!$H$13</f>
        <v/>
      </c>
      <c r="DZ13" s="21">
        <f>Defaults!DZ13*Obligors!$G$13*Obligors!$H$13</f>
        <v/>
      </c>
      <c r="EA13" s="21">
        <f>Defaults!EA13*Obligors!$G$13*Obligors!$H$13</f>
        <v/>
      </c>
      <c r="EB13" s="21">
        <f>Defaults!EB13*Obligors!$G$13*Obligors!$H$13</f>
        <v/>
      </c>
      <c r="EC13" s="21">
        <f>Defaults!EC13*Obligors!$G$13*Obligors!$H$13</f>
        <v/>
      </c>
      <c r="ED13" s="21">
        <f>Defaults!ED13*Obligors!$G$13*Obligors!$H$13</f>
        <v/>
      </c>
      <c r="EE13" s="21">
        <f>Defaults!EE13*Obligors!$G$13*Obligors!$H$13</f>
        <v/>
      </c>
      <c r="EF13" s="21">
        <f>Defaults!EF13*Obligors!$G$13*Obligors!$H$13</f>
        <v/>
      </c>
      <c r="EG13" s="21">
        <f>Defaults!EG13*Obligors!$G$13*Obligors!$H$13</f>
        <v/>
      </c>
      <c r="EH13" s="21">
        <f>Defaults!EH13*Obligors!$G$13*Obligors!$H$13</f>
        <v/>
      </c>
      <c r="EI13" s="21">
        <f>Defaults!EI13*Obligors!$G$13*Obligors!$H$13</f>
        <v/>
      </c>
      <c r="EJ13" s="21">
        <f>Defaults!EJ13*Obligors!$G$13*Obligors!$H$13</f>
        <v/>
      </c>
      <c r="EK13" s="21">
        <f>Defaults!EK13*Obligors!$G$13*Obligors!$H$13</f>
        <v/>
      </c>
      <c r="EL13" s="21">
        <f>Defaults!EL13*Obligors!$G$13*Obligors!$H$13</f>
        <v/>
      </c>
      <c r="EM13" s="21">
        <f>Defaults!EM13*Obligors!$G$13*Obligors!$H$13</f>
        <v/>
      </c>
      <c r="EN13" s="21">
        <f>Defaults!EN13*Obligors!$G$13*Obligors!$H$13</f>
        <v/>
      </c>
      <c r="EO13" s="21">
        <f>Defaults!EO13*Obligors!$G$13*Obligors!$H$13</f>
        <v/>
      </c>
      <c r="EP13" s="21">
        <f>Defaults!EP13*Obligors!$G$13*Obligors!$H$13</f>
        <v/>
      </c>
      <c r="EQ13" s="21">
        <f>Defaults!EQ13*Obligors!$G$13*Obligors!$H$13</f>
        <v/>
      </c>
      <c r="ER13" s="21">
        <f>Defaults!ER13*Obligors!$G$13*Obligors!$H$13</f>
        <v/>
      </c>
      <c r="ES13" s="21">
        <f>Defaults!ES13*Obligors!$G$13*Obligors!$H$13</f>
        <v/>
      </c>
      <c r="ET13" s="21">
        <f>Defaults!ET13*Obligors!$G$13*Obligors!$H$13</f>
        <v/>
      </c>
      <c r="EU13" s="21">
        <f>Defaults!EU13*Obligors!$G$13*Obligors!$H$13</f>
        <v/>
      </c>
      <c r="EV13" s="21">
        <f>Defaults!EV13*Obligors!$G$13*Obligors!$H$13</f>
        <v/>
      </c>
      <c r="EW13" s="21">
        <f>Defaults!EW13*Obligors!$G$13*Obligors!$H$13</f>
        <v/>
      </c>
      <c r="EX13" s="21">
        <f>Defaults!EX13*Obligors!$G$13*Obligors!$H$13</f>
        <v/>
      </c>
      <c r="EY13" s="21">
        <f>Defaults!EY13*Obligors!$G$13*Obligors!$H$13</f>
        <v/>
      </c>
      <c r="EZ13" s="21">
        <f>Defaults!EZ13*Obligors!$G$13*Obligors!$H$13</f>
        <v/>
      </c>
      <c r="FA13" s="21">
        <f>Defaults!FA13*Obligors!$G$13*Obligors!$H$13</f>
        <v/>
      </c>
      <c r="FB13" s="21">
        <f>Defaults!FB13*Obligors!$G$13*Obligors!$H$13</f>
        <v/>
      </c>
      <c r="FC13" s="21">
        <f>Defaults!FC13*Obligors!$G$13*Obligors!$H$13</f>
        <v/>
      </c>
      <c r="FD13" s="21">
        <f>Defaults!FD13*Obligors!$G$13*Obligors!$H$13</f>
        <v/>
      </c>
      <c r="FE13" s="21">
        <f>Defaults!FE13*Obligors!$G$13*Obligors!$H$13</f>
        <v/>
      </c>
      <c r="FF13" s="21">
        <f>Defaults!FF13*Obligors!$G$13*Obligors!$H$13</f>
        <v/>
      </c>
      <c r="FG13" s="21">
        <f>Defaults!FG13*Obligors!$G$13*Obligors!$H$13</f>
        <v/>
      </c>
      <c r="FH13" s="21">
        <f>Defaults!FH13*Obligors!$G$13*Obligors!$H$13</f>
        <v/>
      </c>
      <c r="FI13" s="21">
        <f>Defaults!FI13*Obligors!$G$13*Obligors!$H$13</f>
        <v/>
      </c>
      <c r="FJ13" s="21">
        <f>Defaults!FJ13*Obligors!$G$13*Obligors!$H$13</f>
        <v/>
      </c>
      <c r="FK13" s="21">
        <f>Defaults!FK13*Obligors!$G$13*Obligors!$H$13</f>
        <v/>
      </c>
      <c r="FL13" s="21">
        <f>Defaults!FL13*Obligors!$G$13*Obligors!$H$13</f>
        <v/>
      </c>
      <c r="FM13" s="21">
        <f>Defaults!FM13*Obligors!$G$13*Obligors!$H$13</f>
        <v/>
      </c>
      <c r="FN13" s="21">
        <f>Defaults!FN13*Obligors!$G$13*Obligors!$H$13</f>
        <v/>
      </c>
      <c r="FO13" s="21">
        <f>Defaults!FO13*Obligors!$G$13*Obligors!$H$13</f>
        <v/>
      </c>
      <c r="FP13" s="21">
        <f>Defaults!FP13*Obligors!$G$13*Obligors!$H$13</f>
        <v/>
      </c>
      <c r="FQ13" s="21">
        <f>Defaults!FQ13*Obligors!$G$13*Obligors!$H$13</f>
        <v/>
      </c>
      <c r="FR13" s="21">
        <f>Defaults!FR13*Obligors!$G$13*Obligors!$H$13</f>
        <v/>
      </c>
      <c r="FS13" s="21">
        <f>Defaults!FS13*Obligors!$G$13*Obligors!$H$13</f>
        <v/>
      </c>
      <c r="FT13" s="21">
        <f>Defaults!FT13*Obligors!$G$13*Obligors!$H$13</f>
        <v/>
      </c>
      <c r="FU13" s="21">
        <f>Defaults!FU13*Obligors!$G$13*Obligors!$H$13</f>
        <v/>
      </c>
      <c r="FV13" s="21">
        <f>Defaults!FV13*Obligors!$G$13*Obligors!$H$13</f>
        <v/>
      </c>
      <c r="FW13" s="21">
        <f>Defaults!FW13*Obligors!$G$13*Obligors!$H$13</f>
        <v/>
      </c>
      <c r="FX13" s="21">
        <f>Defaults!FX13*Obligors!$G$13*Obligors!$H$13</f>
        <v/>
      </c>
      <c r="FY13" s="21">
        <f>Defaults!FY13*Obligors!$G$13*Obligors!$H$13</f>
        <v/>
      </c>
      <c r="FZ13" s="21">
        <f>Defaults!FZ13*Obligors!$G$13*Obligors!$H$13</f>
        <v/>
      </c>
      <c r="GA13" s="21">
        <f>Defaults!GA13*Obligors!$G$13*Obligors!$H$13</f>
        <v/>
      </c>
      <c r="GB13" s="21">
        <f>Defaults!GB13*Obligors!$G$13*Obligors!$H$13</f>
        <v/>
      </c>
      <c r="GC13" s="21">
        <f>Defaults!GC13*Obligors!$G$13*Obligors!$H$13</f>
        <v/>
      </c>
      <c r="GD13" s="21">
        <f>Defaults!GD13*Obligors!$G$13*Obligors!$H$13</f>
        <v/>
      </c>
      <c r="GE13" s="21">
        <f>Defaults!GE13*Obligors!$G$13*Obligors!$H$13</f>
        <v/>
      </c>
      <c r="GF13" s="21">
        <f>Defaults!GF13*Obligors!$G$13*Obligors!$H$13</f>
        <v/>
      </c>
      <c r="GG13" s="21">
        <f>Defaults!GG13*Obligors!$G$13*Obligors!$H$13</f>
        <v/>
      </c>
      <c r="GH13" s="21">
        <f>Defaults!GH13*Obligors!$G$13*Obligors!$H$13</f>
        <v/>
      </c>
      <c r="GI13" s="21">
        <f>Defaults!GI13*Obligors!$G$13*Obligors!$H$13</f>
        <v/>
      </c>
      <c r="GJ13" s="21">
        <f>Defaults!GJ13*Obligors!$G$13*Obligors!$H$13</f>
        <v/>
      </c>
      <c r="GK13" s="21">
        <f>Defaults!GK13*Obligors!$G$13*Obligors!$H$13</f>
        <v/>
      </c>
      <c r="GL13" s="21">
        <f>Defaults!GL13*Obligors!$G$13*Obligors!$H$13</f>
        <v/>
      </c>
      <c r="GM13" s="21">
        <f>Defaults!GM13*Obligors!$G$13*Obligors!$H$13</f>
        <v/>
      </c>
      <c r="GN13" s="21">
        <f>Defaults!GN13*Obligors!$G$13*Obligors!$H$13</f>
        <v/>
      </c>
      <c r="GO13" s="21">
        <f>Defaults!GO13*Obligors!$G$13*Obligors!$H$13</f>
        <v/>
      </c>
      <c r="GP13" s="21">
        <f>Defaults!GP13*Obligors!$G$13*Obligors!$H$13</f>
        <v/>
      </c>
      <c r="GQ13" s="21">
        <f>Defaults!GQ13*Obligors!$G$13*Obligors!$H$13</f>
        <v/>
      </c>
      <c r="GR13" s="21">
        <f>Defaults!GR13*Obligors!$G$13*Obligors!$H$13</f>
        <v/>
      </c>
      <c r="GS13" s="21">
        <f>Defaults!GS13*Obligors!$G$13*Obligors!$H$13</f>
        <v/>
      </c>
      <c r="GT13" s="21">
        <f>Defaults!GT13*Obligors!$G$13*Obligors!$H$13</f>
        <v/>
      </c>
      <c r="GU13" s="21">
        <f>Defaults!GU13*Obligors!$G$13*Obligors!$H$13</f>
        <v/>
      </c>
      <c r="GV13" s="21">
        <f>Defaults!GV13*Obligors!$G$13*Obligors!$H$13</f>
        <v/>
      </c>
      <c r="GW13" s="21">
        <f>Defaults!GW13*Obligors!$G$13*Obligors!$H$13</f>
        <v/>
      </c>
      <c r="GX13" s="21">
        <f>Defaults!GX13*Obligors!$G$13*Obligors!$H$13</f>
        <v/>
      </c>
      <c r="GY13" s="21">
        <f>Defaults!GY13*Obligors!$G$13*Obligors!$H$13</f>
        <v/>
      </c>
      <c r="GZ13" s="21">
        <f>Defaults!GZ13*Obligors!$G$13*Obligors!$H$13</f>
        <v/>
      </c>
      <c r="HA13" s="21">
        <f>Defaults!HA13*Obligors!$G$13*Obligors!$H$13</f>
        <v/>
      </c>
      <c r="HB13" s="21">
        <f>Defaults!HB13*Obligors!$G$13*Obligors!$H$13</f>
        <v/>
      </c>
      <c r="HC13" s="21">
        <f>Defaults!HC13*Obligors!$G$13*Obligors!$H$13</f>
        <v/>
      </c>
      <c r="HD13" s="21">
        <f>Defaults!HD13*Obligors!$G$13*Obligors!$H$13</f>
        <v/>
      </c>
      <c r="HE13" s="21">
        <f>Defaults!HE13*Obligors!$G$13*Obligors!$H$13</f>
        <v/>
      </c>
      <c r="HF13" s="21">
        <f>Defaults!HF13*Obligors!$G$13*Obligors!$H$13</f>
        <v/>
      </c>
      <c r="HG13" s="21">
        <f>Defaults!HG13*Obligors!$G$13*Obligors!$H$13</f>
        <v/>
      </c>
      <c r="HH13" s="21">
        <f>Defaults!HH13*Obligors!$G$13*Obligors!$H$13</f>
        <v/>
      </c>
      <c r="HI13" s="21">
        <f>Defaults!HI13*Obligors!$G$13*Obligors!$H$13</f>
        <v/>
      </c>
      <c r="HJ13" s="21">
        <f>Defaults!HJ13*Obligors!$G$13*Obligors!$H$13</f>
        <v/>
      </c>
      <c r="HK13" s="21">
        <f>Defaults!HK13*Obligors!$G$13*Obligors!$H$13</f>
        <v/>
      </c>
      <c r="HL13" s="21">
        <f>Defaults!HL13*Obligors!$G$13*Obligors!$H$13</f>
        <v/>
      </c>
      <c r="HM13" s="21">
        <f>Defaults!HM13*Obligors!$G$13*Obligors!$H$13</f>
        <v/>
      </c>
      <c r="HN13" s="21">
        <f>Defaults!HN13*Obligors!$G$13*Obligors!$H$13</f>
        <v/>
      </c>
      <c r="HO13" s="21">
        <f>Defaults!HO13*Obligors!$G$13*Obligors!$H$13</f>
        <v/>
      </c>
      <c r="HP13" s="21">
        <f>Defaults!HP13*Obligors!$G$13*Obligors!$H$13</f>
        <v/>
      </c>
      <c r="HQ13" s="21">
        <f>Defaults!HQ13*Obligors!$G$13*Obligors!$H$13</f>
        <v/>
      </c>
      <c r="HR13" s="21">
        <f>Defaults!HR13*Obligors!$G$13*Obligors!$H$13</f>
        <v/>
      </c>
      <c r="HS13" s="21">
        <f>Defaults!HS13*Obligors!$G$13*Obligors!$H$13</f>
        <v/>
      </c>
      <c r="HT13" s="21">
        <f>Defaults!HT13*Obligors!$G$13*Obligors!$H$13</f>
        <v/>
      </c>
      <c r="HU13" s="21">
        <f>Defaults!HU13*Obligors!$G$13*Obligors!$H$13</f>
        <v/>
      </c>
      <c r="HV13" s="21">
        <f>Defaults!HV13*Obligors!$G$13*Obligors!$H$13</f>
        <v/>
      </c>
      <c r="HW13" s="21">
        <f>Defaults!HW13*Obligors!$G$13*Obligors!$H$13</f>
        <v/>
      </c>
      <c r="HX13" s="21">
        <f>Defaults!HX13*Obligors!$G$13*Obligors!$H$13</f>
        <v/>
      </c>
      <c r="HY13" s="21">
        <f>Defaults!HY13*Obligors!$G$13*Obligors!$H$13</f>
        <v/>
      </c>
      <c r="HZ13" s="21">
        <f>Defaults!HZ13*Obligors!$G$13*Obligors!$H$13</f>
        <v/>
      </c>
      <c r="IA13" s="21">
        <f>Defaults!IA13*Obligors!$G$13*Obligors!$H$13</f>
        <v/>
      </c>
      <c r="IB13" s="21">
        <f>Defaults!IB13*Obligors!$G$13*Obligors!$H$13</f>
        <v/>
      </c>
      <c r="IC13" s="21">
        <f>Defaults!IC13*Obligors!$G$13*Obligors!$H$13</f>
        <v/>
      </c>
      <c r="ID13" s="21">
        <f>Defaults!ID13*Obligors!$G$13*Obligors!$H$13</f>
        <v/>
      </c>
      <c r="IE13" s="21">
        <f>Defaults!IE13*Obligors!$G$13*Obligors!$H$13</f>
        <v/>
      </c>
      <c r="IF13" s="21">
        <f>Defaults!IF13*Obligors!$G$13*Obligors!$H$13</f>
        <v/>
      </c>
      <c r="IG13" s="21">
        <f>Defaults!IG13*Obligors!$G$13*Obligors!$H$13</f>
        <v/>
      </c>
      <c r="IH13" s="21">
        <f>Defaults!IH13*Obligors!$G$13*Obligors!$H$13</f>
        <v/>
      </c>
      <c r="II13" s="21">
        <f>Defaults!II13*Obligors!$G$13*Obligors!$H$13</f>
        <v/>
      </c>
      <c r="IJ13" s="21">
        <f>Defaults!IJ13*Obligors!$G$13*Obligors!$H$13</f>
        <v/>
      </c>
      <c r="IK13" s="21">
        <f>Defaults!IK13*Obligors!$G$13*Obligors!$H$13</f>
        <v/>
      </c>
      <c r="IL13" s="21">
        <f>Defaults!IL13*Obligors!$G$13*Obligors!$H$13</f>
        <v/>
      </c>
      <c r="IM13" s="21">
        <f>Defaults!IM13*Obligors!$G$13*Obligors!$H$13</f>
        <v/>
      </c>
      <c r="IN13" s="21">
        <f>Defaults!IN13*Obligors!$G$13*Obligors!$H$13</f>
        <v/>
      </c>
      <c r="IO13" s="21">
        <f>Defaults!IO13*Obligors!$G$13*Obligors!$H$13</f>
        <v/>
      </c>
      <c r="IP13" s="21">
        <f>Defaults!IP13*Obligors!$G$13*Obligors!$H$13</f>
        <v/>
      </c>
      <c r="IQ13" s="21">
        <f>Defaults!IQ13*Obligors!$G$13*Obligors!$H$13</f>
        <v/>
      </c>
      <c r="IR13" s="21">
        <f>Defaults!IR13*Obligors!$G$13*Obligors!$H$13</f>
        <v/>
      </c>
      <c r="IS13" s="21">
        <f>Defaults!IS13*Obligors!$G$13*Obligors!$H$13</f>
        <v/>
      </c>
      <c r="IT13" s="21">
        <f>Defaults!IT13*Obligors!$G$13*Obligors!$H$13</f>
        <v/>
      </c>
      <c r="IU13" s="21">
        <f>Defaults!IU13*Obligors!$G$13*Obligors!$H$13</f>
        <v/>
      </c>
      <c r="IV13" s="21">
        <f>Defaults!IV13*Obligors!$G$13*Obligors!$H$13</f>
        <v/>
      </c>
      <c r="IW13" s="21">
        <f>Defaults!IW13*Obligors!$G$13*Obligors!$H$13</f>
        <v/>
      </c>
      <c r="IX13" s="21">
        <f>Defaults!IX13*Obligors!$G$13*Obligors!$H$13</f>
        <v/>
      </c>
      <c r="IY13" s="21">
        <f>Defaults!IY13*Obligors!$G$13*Obligors!$H$13</f>
        <v/>
      </c>
      <c r="IZ13" s="21">
        <f>Defaults!IZ13*Obligors!$G$13*Obligors!$H$13</f>
        <v/>
      </c>
      <c r="JA13" s="21">
        <f>Defaults!JA13*Obligors!$G$13*Obligors!$H$13</f>
        <v/>
      </c>
      <c r="JB13" s="21">
        <f>Defaults!JB13*Obligors!$G$13*Obligors!$H$13</f>
        <v/>
      </c>
      <c r="JC13" s="21">
        <f>Defaults!JC13*Obligors!$G$13*Obligors!$H$13</f>
        <v/>
      </c>
      <c r="JD13" s="21">
        <f>Defaults!JD13*Obligors!$G$13*Obligors!$H$13</f>
        <v/>
      </c>
      <c r="JE13" s="21">
        <f>Defaults!JE13*Obligors!$G$13*Obligors!$H$13</f>
        <v/>
      </c>
      <c r="JF13" s="21">
        <f>Defaults!JF13*Obligors!$G$13*Obligors!$H$13</f>
        <v/>
      </c>
      <c r="JG13" s="21">
        <f>Defaults!JG13*Obligors!$G$13*Obligors!$H$13</f>
        <v/>
      </c>
      <c r="JH13" s="21">
        <f>Defaults!JH13*Obligors!$G$13*Obligors!$H$13</f>
        <v/>
      </c>
      <c r="JI13" s="21">
        <f>Defaults!JI13*Obligors!$G$13*Obligors!$H$13</f>
        <v/>
      </c>
      <c r="JJ13" s="21">
        <f>Defaults!JJ13*Obligors!$G$13*Obligors!$H$13</f>
        <v/>
      </c>
      <c r="JK13" s="21">
        <f>Defaults!JK13*Obligors!$G$13*Obligors!$H$13</f>
        <v/>
      </c>
      <c r="JL13" s="21">
        <f>Defaults!JL13*Obligors!$G$13*Obligors!$H$13</f>
        <v/>
      </c>
      <c r="JM13" s="21">
        <f>Defaults!JM13*Obligors!$G$13*Obligors!$H$13</f>
        <v/>
      </c>
      <c r="JN13" s="21">
        <f>Defaults!JN13*Obligors!$G$13*Obligors!$H$13</f>
        <v/>
      </c>
      <c r="JO13" s="21">
        <f>Defaults!JO13*Obligors!$G$13*Obligors!$H$13</f>
        <v/>
      </c>
      <c r="JP13" s="21">
        <f>Defaults!JP13*Obligors!$G$13*Obligors!$H$13</f>
        <v/>
      </c>
      <c r="JQ13" s="21">
        <f>Defaults!JQ13*Obligors!$G$13*Obligors!$H$13</f>
        <v/>
      </c>
      <c r="JR13" s="21">
        <f>Defaults!JR13*Obligors!$G$13*Obligors!$H$13</f>
        <v/>
      </c>
      <c r="JS13" s="21">
        <f>Defaults!JS13*Obligors!$G$13*Obligors!$H$13</f>
        <v/>
      </c>
      <c r="JT13" s="21">
        <f>Defaults!JT13*Obligors!$G$13*Obligors!$H$13</f>
        <v/>
      </c>
      <c r="JU13" s="21">
        <f>Defaults!JU13*Obligors!$G$13*Obligors!$H$13</f>
        <v/>
      </c>
      <c r="JV13" s="21">
        <f>Defaults!JV13*Obligors!$G$13*Obligors!$H$13</f>
        <v/>
      </c>
      <c r="JW13" s="21">
        <f>Defaults!JW13*Obligors!$G$13*Obligors!$H$13</f>
        <v/>
      </c>
      <c r="JX13" s="21">
        <f>Defaults!JX13*Obligors!$G$13*Obligors!$H$13</f>
        <v/>
      </c>
      <c r="JY13" s="21">
        <f>Defaults!JY13*Obligors!$G$13*Obligors!$H$13</f>
        <v/>
      </c>
      <c r="JZ13" s="21">
        <f>Defaults!JZ13*Obligors!$G$13*Obligors!$H$13</f>
        <v/>
      </c>
      <c r="KA13" s="21">
        <f>Defaults!KA13*Obligors!$G$13*Obligors!$H$13</f>
        <v/>
      </c>
      <c r="KB13" s="21">
        <f>Defaults!KB13*Obligors!$G$13*Obligors!$H$13</f>
        <v/>
      </c>
      <c r="KC13" s="21">
        <f>Defaults!KC13*Obligors!$G$13*Obligors!$H$13</f>
        <v/>
      </c>
      <c r="KD13" s="21">
        <f>Defaults!KD13*Obligors!$G$13*Obligors!$H$13</f>
        <v/>
      </c>
      <c r="KE13" s="21">
        <f>Defaults!KE13*Obligors!$G$13*Obligors!$H$13</f>
        <v/>
      </c>
      <c r="KF13" s="21">
        <f>Defaults!KF13*Obligors!$G$13*Obligors!$H$13</f>
        <v/>
      </c>
      <c r="KG13" s="21">
        <f>Defaults!KG13*Obligors!$G$13*Obligors!$H$13</f>
        <v/>
      </c>
      <c r="KH13" s="21">
        <f>Defaults!KH13*Obligors!$G$13*Obligors!$H$13</f>
        <v/>
      </c>
      <c r="KI13" s="21">
        <f>Defaults!KI13*Obligors!$G$13*Obligors!$H$13</f>
        <v/>
      </c>
      <c r="KJ13" s="21">
        <f>Defaults!KJ13*Obligors!$G$13*Obligors!$H$13</f>
        <v/>
      </c>
      <c r="KK13" s="21">
        <f>Defaults!KK13*Obligors!$G$13*Obligors!$H$13</f>
        <v/>
      </c>
      <c r="KL13" s="21">
        <f>Defaults!KL13*Obligors!$G$13*Obligors!$H$13</f>
        <v/>
      </c>
      <c r="KM13" s="21">
        <f>Defaults!KM13*Obligors!$G$13*Obligors!$H$13</f>
        <v/>
      </c>
      <c r="KN13" s="21">
        <f>Defaults!KN13*Obligors!$G$13*Obligors!$H$13</f>
        <v/>
      </c>
      <c r="KO13" s="21">
        <f>Defaults!KO13*Obligors!$G$13*Obligors!$H$13</f>
        <v/>
      </c>
      <c r="KP13" s="21">
        <f>Defaults!KP13*Obligors!$G$13*Obligors!$H$13</f>
        <v/>
      </c>
      <c r="KQ13" s="21">
        <f>Defaults!KQ13*Obligors!$G$13*Obligors!$H$13</f>
        <v/>
      </c>
      <c r="KR13" s="21">
        <f>Defaults!KR13*Obligors!$G$13*Obligors!$H$13</f>
        <v/>
      </c>
      <c r="KS13" s="21">
        <f>Defaults!KS13*Obligors!$G$13*Obligors!$H$13</f>
        <v/>
      </c>
      <c r="KT13" s="21">
        <f>Defaults!KT13*Obligors!$G$13*Obligors!$H$13</f>
        <v/>
      </c>
      <c r="KU13" s="21">
        <f>Defaults!KU13*Obligors!$G$13*Obligors!$H$13</f>
        <v/>
      </c>
      <c r="KV13" s="21">
        <f>Defaults!KV13*Obligors!$G$13*Obligors!$H$13</f>
        <v/>
      </c>
      <c r="KW13" s="21">
        <f>Defaults!KW13*Obligors!$G$13*Obligors!$H$13</f>
        <v/>
      </c>
      <c r="KX13" s="21">
        <f>Defaults!KX13*Obligors!$G$13*Obligors!$H$13</f>
        <v/>
      </c>
      <c r="KY13" s="21">
        <f>Defaults!KY13*Obligors!$G$13*Obligors!$H$13</f>
        <v/>
      </c>
      <c r="KZ13" s="21">
        <f>Defaults!KZ13*Obligors!$G$13*Obligors!$H$13</f>
        <v/>
      </c>
      <c r="LA13" s="21">
        <f>Defaults!LA13*Obligors!$G$13*Obligors!$H$13</f>
        <v/>
      </c>
      <c r="LB13" s="21">
        <f>Defaults!LB13*Obligors!$G$13*Obligors!$H$13</f>
        <v/>
      </c>
      <c r="LC13" s="21">
        <f>Defaults!LC13*Obligors!$G$13*Obligors!$H$13</f>
        <v/>
      </c>
      <c r="LD13" s="21">
        <f>Defaults!LD13*Obligors!$G$13*Obligors!$H$13</f>
        <v/>
      </c>
      <c r="LE13" s="21">
        <f>Defaults!LE13*Obligors!$G$13*Obligors!$H$13</f>
        <v/>
      </c>
      <c r="LF13" s="21">
        <f>Defaults!LF13*Obligors!$G$13*Obligors!$H$13</f>
        <v/>
      </c>
      <c r="LG13" s="21">
        <f>Defaults!LG13*Obligors!$G$13*Obligors!$H$13</f>
        <v/>
      </c>
      <c r="LH13" s="21">
        <f>Defaults!LH13*Obligors!$G$13*Obligors!$H$13</f>
        <v/>
      </c>
      <c r="LI13" s="21">
        <f>Defaults!LI13*Obligors!$G$13*Obligors!$H$13</f>
        <v/>
      </c>
      <c r="LJ13" s="21">
        <f>Defaults!LJ13*Obligors!$G$13*Obligors!$H$13</f>
        <v/>
      </c>
      <c r="LK13" s="21">
        <f>Defaults!LK13*Obligors!$G$13*Obligors!$H$13</f>
        <v/>
      </c>
      <c r="LL13" s="21">
        <f>Defaults!LL13*Obligors!$G$13*Obligors!$H$13</f>
        <v/>
      </c>
      <c r="LM13" s="21">
        <f>Defaults!LM13*Obligors!$G$13*Obligors!$H$13</f>
        <v/>
      </c>
      <c r="LN13" s="21">
        <f>Defaults!LN13*Obligors!$G$13*Obligors!$H$13</f>
        <v/>
      </c>
      <c r="LO13" s="21">
        <f>Defaults!LO13*Obligors!$G$13*Obligors!$H$13</f>
        <v/>
      </c>
      <c r="LP13" s="21">
        <f>Defaults!LP13*Obligors!$G$13*Obligors!$H$13</f>
        <v/>
      </c>
      <c r="LQ13" s="21">
        <f>Defaults!LQ13*Obligors!$G$13*Obligors!$H$13</f>
        <v/>
      </c>
      <c r="LR13" s="21">
        <f>Defaults!LR13*Obligors!$G$13*Obligors!$H$13</f>
        <v/>
      </c>
      <c r="LS13" s="21">
        <f>Defaults!LS13*Obligors!$G$13*Obligors!$H$13</f>
        <v/>
      </c>
      <c r="LT13" s="21">
        <f>Defaults!LT13*Obligors!$G$13*Obligors!$H$13</f>
        <v/>
      </c>
      <c r="LU13" s="21">
        <f>Defaults!LU13*Obligors!$G$13*Obligors!$H$13</f>
        <v/>
      </c>
      <c r="LV13" s="21">
        <f>Defaults!LV13*Obligors!$G$13*Obligors!$H$13</f>
        <v/>
      </c>
      <c r="LW13" s="21">
        <f>Defaults!LW13*Obligors!$G$13*Obligors!$H$13</f>
        <v/>
      </c>
      <c r="LX13" s="21">
        <f>Defaults!LX13*Obligors!$G$13*Obligors!$H$13</f>
        <v/>
      </c>
      <c r="LY13" s="21">
        <f>Defaults!LY13*Obligors!$G$13*Obligors!$H$13</f>
        <v/>
      </c>
      <c r="LZ13" s="21">
        <f>Defaults!LZ13*Obligors!$G$13*Obligors!$H$13</f>
        <v/>
      </c>
      <c r="MA13" s="21">
        <f>Defaults!MA13*Obligors!$G$13*Obligors!$H$13</f>
        <v/>
      </c>
      <c r="MB13" s="21">
        <f>Defaults!MB13*Obligors!$G$13*Obligors!$H$13</f>
        <v/>
      </c>
      <c r="MC13" s="21">
        <f>Defaults!MC13*Obligors!$G$13*Obligors!$H$13</f>
        <v/>
      </c>
      <c r="MD13" s="21">
        <f>Defaults!MD13*Obligors!$G$13*Obligors!$H$13</f>
        <v/>
      </c>
      <c r="ME13" s="21">
        <f>Defaults!ME13*Obligors!$G$13*Obligors!$H$13</f>
        <v/>
      </c>
      <c r="MF13" s="21">
        <f>Defaults!MF13*Obligors!$G$13*Obligors!$H$13</f>
        <v/>
      </c>
      <c r="MG13" s="21">
        <f>Defaults!MG13*Obligors!$G$13*Obligors!$H$13</f>
        <v/>
      </c>
      <c r="MH13" s="21">
        <f>Defaults!MH13*Obligors!$G$13*Obligors!$H$13</f>
        <v/>
      </c>
      <c r="MI13" s="21">
        <f>Defaults!MI13*Obligors!$G$13*Obligors!$H$13</f>
        <v/>
      </c>
      <c r="MJ13" s="21">
        <f>Defaults!MJ13*Obligors!$G$13*Obligors!$H$13</f>
        <v/>
      </c>
      <c r="MK13" s="21">
        <f>Defaults!MK13*Obligors!$G$13*Obligors!$H$13</f>
        <v/>
      </c>
      <c r="ML13" s="21">
        <f>Defaults!ML13*Obligors!$G$13*Obligors!$H$13</f>
        <v/>
      </c>
      <c r="MM13" s="21">
        <f>Defaults!MM13*Obligors!$G$13*Obligors!$H$13</f>
        <v/>
      </c>
      <c r="MN13" s="21">
        <f>Defaults!MN13*Obligors!$G$13*Obligors!$H$13</f>
        <v/>
      </c>
      <c r="MO13" s="21">
        <f>Defaults!MO13*Obligors!$G$13*Obligors!$H$13</f>
        <v/>
      </c>
      <c r="MP13" s="21">
        <f>Defaults!MP13*Obligors!$G$13*Obligors!$H$13</f>
        <v/>
      </c>
      <c r="MQ13" s="21">
        <f>Defaults!MQ13*Obligors!$G$13*Obligors!$H$13</f>
        <v/>
      </c>
      <c r="MR13" s="21">
        <f>Defaults!MR13*Obligors!$G$13*Obligors!$H$13</f>
        <v/>
      </c>
      <c r="MS13" s="21">
        <f>Defaults!MS13*Obligors!$G$13*Obligors!$H$13</f>
        <v/>
      </c>
      <c r="MT13" s="21">
        <f>Defaults!MT13*Obligors!$G$13*Obligors!$H$13</f>
        <v/>
      </c>
      <c r="MU13" s="21">
        <f>Defaults!MU13*Obligors!$G$13*Obligors!$H$13</f>
        <v/>
      </c>
      <c r="MV13" s="21">
        <f>Defaults!MV13*Obligors!$G$13*Obligors!$H$13</f>
        <v/>
      </c>
      <c r="MW13" s="21">
        <f>Defaults!MW13*Obligors!$G$13*Obligors!$H$13</f>
        <v/>
      </c>
      <c r="MX13" s="21">
        <f>Defaults!MX13*Obligors!$G$13*Obligors!$H$13</f>
        <v/>
      </c>
      <c r="MY13" s="21">
        <f>Defaults!MY13*Obligors!$G$13*Obligors!$H$13</f>
        <v/>
      </c>
      <c r="MZ13" s="21">
        <f>Defaults!MZ13*Obligors!$G$13*Obligors!$H$13</f>
        <v/>
      </c>
      <c r="NA13" s="21">
        <f>Defaults!NA13*Obligors!$G$13*Obligors!$H$13</f>
        <v/>
      </c>
      <c r="NB13" s="21">
        <f>Defaults!NB13*Obligors!$G$13*Obligors!$H$13</f>
        <v/>
      </c>
      <c r="NC13" s="21">
        <f>Defaults!NC13*Obligors!$G$13*Obligors!$H$13</f>
        <v/>
      </c>
      <c r="ND13" s="21">
        <f>Defaults!ND13*Obligors!$G$13*Obligors!$H$13</f>
        <v/>
      </c>
      <c r="NE13" s="21">
        <f>Defaults!NE13*Obligors!$G$13*Obligors!$H$13</f>
        <v/>
      </c>
      <c r="NF13" s="21">
        <f>Defaults!NF13*Obligors!$G$13*Obligors!$H$13</f>
        <v/>
      </c>
      <c r="NG13" s="21">
        <f>Defaults!NG13*Obligors!$G$13*Obligors!$H$13</f>
        <v/>
      </c>
      <c r="NH13" s="21">
        <f>Defaults!NH13*Obligors!$G$13*Obligors!$H$13</f>
        <v/>
      </c>
      <c r="NI13" s="21">
        <f>Defaults!NI13*Obligors!$G$13*Obligors!$H$13</f>
        <v/>
      </c>
      <c r="NJ13" s="21">
        <f>Defaults!NJ13*Obligors!$G$13*Obligors!$H$13</f>
        <v/>
      </c>
      <c r="NK13" s="21">
        <f>Defaults!NK13*Obligors!$G$13*Obligors!$H$13</f>
        <v/>
      </c>
      <c r="NL13" s="21">
        <f>Defaults!NL13*Obligors!$G$13*Obligors!$H$13</f>
        <v/>
      </c>
      <c r="NM13" s="21">
        <f>Defaults!NM13*Obligors!$G$13*Obligors!$H$13</f>
        <v/>
      </c>
      <c r="NN13" s="21">
        <f>Defaults!NN13*Obligors!$G$13*Obligors!$H$13</f>
        <v/>
      </c>
      <c r="NO13" s="21">
        <f>Defaults!NO13*Obligors!$G$13*Obligors!$H$13</f>
        <v/>
      </c>
      <c r="NP13" s="21">
        <f>Defaults!NP13*Obligors!$G$13*Obligors!$H$13</f>
        <v/>
      </c>
      <c r="NQ13" s="21">
        <f>Defaults!NQ13*Obligors!$G$13*Obligors!$H$13</f>
        <v/>
      </c>
      <c r="NR13" s="21">
        <f>Defaults!NR13*Obligors!$G$13*Obligors!$H$13</f>
        <v/>
      </c>
      <c r="NS13" s="21">
        <f>Defaults!NS13*Obligors!$G$13*Obligors!$H$13</f>
        <v/>
      </c>
      <c r="NT13" s="21">
        <f>Defaults!NT13*Obligors!$G$13*Obligors!$H$13</f>
        <v/>
      </c>
      <c r="NU13" s="21">
        <f>Defaults!NU13*Obligors!$G$13*Obligors!$H$13</f>
        <v/>
      </c>
      <c r="NV13" s="21">
        <f>Defaults!NV13*Obligors!$G$13*Obligors!$H$13</f>
        <v/>
      </c>
      <c r="NW13" s="21">
        <f>Defaults!NW13*Obligors!$G$13*Obligors!$H$13</f>
        <v/>
      </c>
      <c r="NX13" s="21">
        <f>Defaults!NX13*Obligors!$G$13*Obligors!$H$13</f>
        <v/>
      </c>
      <c r="NY13" s="21">
        <f>Defaults!NY13*Obligors!$G$13*Obligors!$H$13</f>
        <v/>
      </c>
      <c r="NZ13" s="21">
        <f>Defaults!NZ13*Obligors!$G$13*Obligors!$H$13</f>
        <v/>
      </c>
      <c r="OA13" s="21">
        <f>Defaults!OA13*Obligors!$G$13*Obligors!$H$13</f>
        <v/>
      </c>
      <c r="OB13" s="21">
        <f>Defaults!OB13*Obligors!$G$13*Obligors!$H$13</f>
        <v/>
      </c>
      <c r="OC13" s="21">
        <f>Defaults!OC13*Obligors!$G$13*Obligors!$H$13</f>
        <v/>
      </c>
      <c r="OD13" s="21">
        <f>Defaults!OD13*Obligors!$G$13*Obligors!$H$13</f>
        <v/>
      </c>
      <c r="OE13" s="21">
        <f>Defaults!OE13*Obligors!$G$13*Obligors!$H$13</f>
        <v/>
      </c>
      <c r="OF13" s="21">
        <f>Defaults!OF13*Obligors!$G$13*Obligors!$H$13</f>
        <v/>
      </c>
      <c r="OG13" s="21">
        <f>Defaults!OG13*Obligors!$G$13*Obligors!$H$13</f>
        <v/>
      </c>
      <c r="OH13" s="21">
        <f>Defaults!OH13*Obligors!$G$13*Obligors!$H$13</f>
        <v/>
      </c>
      <c r="OI13" s="21">
        <f>Defaults!OI13*Obligors!$G$13*Obligors!$H$13</f>
        <v/>
      </c>
      <c r="OJ13" s="21">
        <f>Defaults!OJ13*Obligors!$G$13*Obligors!$H$13</f>
        <v/>
      </c>
      <c r="OK13" s="21">
        <f>Defaults!OK13*Obligors!$G$13*Obligors!$H$13</f>
        <v/>
      </c>
      <c r="OL13" s="21">
        <f>Defaults!OL13*Obligors!$G$13*Obligors!$H$13</f>
        <v/>
      </c>
      <c r="OM13" s="21">
        <f>Defaults!OM13*Obligors!$G$13*Obligors!$H$13</f>
        <v/>
      </c>
      <c r="ON13" s="21">
        <f>Defaults!ON13*Obligors!$G$13*Obligors!$H$13</f>
        <v/>
      </c>
      <c r="OO13" s="21">
        <f>Defaults!OO13*Obligors!$G$13*Obligors!$H$13</f>
        <v/>
      </c>
      <c r="OP13" s="21">
        <f>Defaults!OP13*Obligors!$G$13*Obligors!$H$13</f>
        <v/>
      </c>
      <c r="OQ13" s="21">
        <f>Defaults!OQ13*Obligors!$G$13*Obligors!$H$13</f>
        <v/>
      </c>
      <c r="OR13" s="21">
        <f>Defaults!OR13*Obligors!$G$13*Obligors!$H$13</f>
        <v/>
      </c>
      <c r="OS13" s="21">
        <f>Defaults!OS13*Obligors!$G$13*Obligors!$H$13</f>
        <v/>
      </c>
      <c r="OT13" s="21">
        <f>Defaults!OT13*Obligors!$G$13*Obligors!$H$13</f>
        <v/>
      </c>
      <c r="OU13" s="21">
        <f>Defaults!OU13*Obligors!$G$13*Obligors!$H$13</f>
        <v/>
      </c>
      <c r="OV13" s="21">
        <f>Defaults!OV13*Obligors!$G$13*Obligors!$H$13</f>
        <v/>
      </c>
      <c r="OW13" s="21">
        <f>Defaults!OW13*Obligors!$G$13*Obligors!$H$13</f>
        <v/>
      </c>
      <c r="OX13" s="21">
        <f>Defaults!OX13*Obligors!$G$13*Obligors!$H$13</f>
        <v/>
      </c>
      <c r="OY13" s="21">
        <f>Defaults!OY13*Obligors!$G$13*Obligors!$H$13</f>
        <v/>
      </c>
      <c r="OZ13" s="21">
        <f>Defaults!OZ13*Obligors!$G$13*Obligors!$H$13</f>
        <v/>
      </c>
      <c r="PA13" s="21">
        <f>Defaults!PA13*Obligors!$G$13*Obligors!$H$13</f>
        <v/>
      </c>
      <c r="PB13" s="21">
        <f>Defaults!PB13*Obligors!$G$13*Obligors!$H$13</f>
        <v/>
      </c>
      <c r="PC13" s="21">
        <f>Defaults!PC13*Obligors!$G$13*Obligors!$H$13</f>
        <v/>
      </c>
      <c r="PD13" s="21">
        <f>Defaults!PD13*Obligors!$G$13*Obligors!$H$13</f>
        <v/>
      </c>
      <c r="PE13" s="21">
        <f>Defaults!PE13*Obligors!$G$13*Obligors!$H$13</f>
        <v/>
      </c>
      <c r="PF13" s="21">
        <f>Defaults!PF13*Obligors!$G$13*Obligors!$H$13</f>
        <v/>
      </c>
      <c r="PG13" s="21">
        <f>Defaults!PG13*Obligors!$G$13*Obligors!$H$13</f>
        <v/>
      </c>
      <c r="PH13" s="21">
        <f>Defaults!PH13*Obligors!$G$13*Obligors!$H$13</f>
        <v/>
      </c>
      <c r="PI13" s="21">
        <f>Defaults!PI13*Obligors!$G$13*Obligors!$H$13</f>
        <v/>
      </c>
      <c r="PJ13" s="21">
        <f>Defaults!PJ13*Obligors!$G$13*Obligors!$H$13</f>
        <v/>
      </c>
      <c r="PK13" s="21">
        <f>Defaults!PK13*Obligors!$G$13*Obligors!$H$13</f>
        <v/>
      </c>
      <c r="PL13" s="21">
        <f>Defaults!PL13*Obligors!$G$13*Obligors!$H$13</f>
        <v/>
      </c>
      <c r="PM13" s="21">
        <f>Defaults!PM13*Obligors!$G$13*Obligors!$H$13</f>
        <v/>
      </c>
      <c r="PN13" s="21">
        <f>Defaults!PN13*Obligors!$G$13*Obligors!$H$13</f>
        <v/>
      </c>
      <c r="PO13" s="21">
        <f>Defaults!PO13*Obligors!$G$13*Obligors!$H$13</f>
        <v/>
      </c>
      <c r="PP13" s="21">
        <f>Defaults!PP13*Obligors!$G$13*Obligors!$H$13</f>
        <v/>
      </c>
      <c r="PQ13" s="21">
        <f>Defaults!PQ13*Obligors!$G$13*Obligors!$H$13</f>
        <v/>
      </c>
      <c r="PR13" s="21">
        <f>Defaults!PR13*Obligors!$G$13*Obligors!$H$13</f>
        <v/>
      </c>
      <c r="PS13" s="21">
        <f>Defaults!PS13*Obligors!$G$13*Obligors!$H$13</f>
        <v/>
      </c>
      <c r="PT13" s="21">
        <f>Defaults!PT13*Obligors!$G$13*Obligors!$H$13</f>
        <v/>
      </c>
      <c r="PU13" s="21">
        <f>Defaults!PU13*Obligors!$G$13*Obligors!$H$13</f>
        <v/>
      </c>
      <c r="PV13" s="21">
        <f>Defaults!PV13*Obligors!$G$13*Obligors!$H$13</f>
        <v/>
      </c>
      <c r="PW13" s="21">
        <f>Defaults!PW13*Obligors!$G$13*Obligors!$H$13</f>
        <v/>
      </c>
      <c r="PX13" s="21">
        <f>Defaults!PX13*Obligors!$G$13*Obligors!$H$13</f>
        <v/>
      </c>
      <c r="PY13" s="21">
        <f>Defaults!PY13*Obligors!$G$13*Obligors!$H$13</f>
        <v/>
      </c>
      <c r="PZ13" s="21">
        <f>Defaults!PZ13*Obligors!$G$13*Obligors!$H$13</f>
        <v/>
      </c>
      <c r="QA13" s="21">
        <f>Defaults!QA13*Obligors!$G$13*Obligors!$H$13</f>
        <v/>
      </c>
      <c r="QB13" s="21">
        <f>Defaults!QB13*Obligors!$G$13*Obligors!$H$13</f>
        <v/>
      </c>
      <c r="QC13" s="21">
        <f>Defaults!QC13*Obligors!$G$13*Obligors!$H$13</f>
        <v/>
      </c>
      <c r="QD13" s="21">
        <f>Defaults!QD13*Obligors!$G$13*Obligors!$H$13</f>
        <v/>
      </c>
      <c r="QE13" s="21">
        <f>Defaults!QE13*Obligors!$G$13*Obligors!$H$13</f>
        <v/>
      </c>
      <c r="QF13" s="21">
        <f>Defaults!QF13*Obligors!$G$13*Obligors!$H$13</f>
        <v/>
      </c>
      <c r="QG13" s="21">
        <f>Defaults!QG13*Obligors!$G$13*Obligors!$H$13</f>
        <v/>
      </c>
      <c r="QH13" s="21">
        <f>Defaults!QH13*Obligors!$G$13*Obligors!$H$13</f>
        <v/>
      </c>
      <c r="QI13" s="21">
        <f>Defaults!QI13*Obligors!$G$13*Obligors!$H$13</f>
        <v/>
      </c>
      <c r="QJ13" s="21">
        <f>Defaults!QJ13*Obligors!$G$13*Obligors!$H$13</f>
        <v/>
      </c>
      <c r="QK13" s="21">
        <f>Defaults!QK13*Obligors!$G$13*Obligors!$H$13</f>
        <v/>
      </c>
      <c r="QL13" s="21">
        <f>Defaults!QL13*Obligors!$G$13*Obligors!$H$13</f>
        <v/>
      </c>
      <c r="QM13" s="21">
        <f>Defaults!QM13*Obligors!$G$13*Obligors!$H$13</f>
        <v/>
      </c>
      <c r="QN13" s="21">
        <f>Defaults!QN13*Obligors!$G$13*Obligors!$H$13</f>
        <v/>
      </c>
      <c r="QO13" s="21">
        <f>Defaults!QO13*Obligors!$G$13*Obligors!$H$13</f>
        <v/>
      </c>
      <c r="QP13" s="21">
        <f>Defaults!QP13*Obligors!$G$13*Obligors!$H$13</f>
        <v/>
      </c>
      <c r="QQ13" s="21">
        <f>Defaults!QQ13*Obligors!$G$13*Obligors!$H$13</f>
        <v/>
      </c>
      <c r="QR13" s="21">
        <f>Defaults!QR13*Obligors!$G$13*Obligors!$H$13</f>
        <v/>
      </c>
      <c r="QS13" s="21">
        <f>Defaults!QS13*Obligors!$G$13*Obligors!$H$13</f>
        <v/>
      </c>
      <c r="QT13" s="21">
        <f>Defaults!QT13*Obligors!$G$13*Obligors!$H$13</f>
        <v/>
      </c>
      <c r="QU13" s="21">
        <f>Defaults!QU13*Obligors!$G$13*Obligors!$H$13</f>
        <v/>
      </c>
      <c r="QV13" s="21">
        <f>Defaults!QV13*Obligors!$G$13*Obligors!$H$13</f>
        <v/>
      </c>
      <c r="QW13" s="21">
        <f>Defaults!QW13*Obligors!$G$13*Obligors!$H$13</f>
        <v/>
      </c>
      <c r="QX13" s="21">
        <f>Defaults!QX13*Obligors!$G$13*Obligors!$H$13</f>
        <v/>
      </c>
      <c r="QY13" s="21">
        <f>Defaults!QY13*Obligors!$G$13*Obligors!$H$13</f>
        <v/>
      </c>
      <c r="QZ13" s="21">
        <f>Defaults!QZ13*Obligors!$G$13*Obligors!$H$13</f>
        <v/>
      </c>
      <c r="RA13" s="21">
        <f>Defaults!RA13*Obligors!$G$13*Obligors!$H$13</f>
        <v/>
      </c>
      <c r="RB13" s="21">
        <f>Defaults!RB13*Obligors!$G$13*Obligors!$H$13</f>
        <v/>
      </c>
      <c r="RC13" s="21">
        <f>Defaults!RC13*Obligors!$G$13*Obligors!$H$13</f>
        <v/>
      </c>
      <c r="RD13" s="21">
        <f>Defaults!RD13*Obligors!$G$13*Obligors!$H$13</f>
        <v/>
      </c>
      <c r="RE13" s="21">
        <f>Defaults!RE13*Obligors!$G$13*Obligors!$H$13</f>
        <v/>
      </c>
      <c r="RF13" s="21">
        <f>Defaults!RF13*Obligors!$G$13*Obligors!$H$13</f>
        <v/>
      </c>
      <c r="RG13" s="21">
        <f>Defaults!RG13*Obligors!$G$13*Obligors!$H$13</f>
        <v/>
      </c>
      <c r="RH13" s="21">
        <f>Defaults!RH13*Obligors!$G$13*Obligors!$H$13</f>
        <v/>
      </c>
      <c r="RI13" s="21">
        <f>Defaults!RI13*Obligors!$G$13*Obligors!$H$13</f>
        <v/>
      </c>
      <c r="RJ13" s="21">
        <f>Defaults!RJ13*Obligors!$G$13*Obligors!$H$13</f>
        <v/>
      </c>
      <c r="RK13" s="21">
        <f>Defaults!RK13*Obligors!$G$13*Obligors!$H$13</f>
        <v/>
      </c>
      <c r="RL13" s="21">
        <f>Defaults!RL13*Obligors!$G$13*Obligors!$H$13</f>
        <v/>
      </c>
      <c r="RM13" s="21">
        <f>Defaults!RM13*Obligors!$G$13*Obligors!$H$13</f>
        <v/>
      </c>
      <c r="RN13" s="21">
        <f>Defaults!RN13*Obligors!$G$13*Obligors!$H$13</f>
        <v/>
      </c>
      <c r="RO13" s="21">
        <f>Defaults!RO13*Obligors!$G$13*Obligors!$H$13</f>
        <v/>
      </c>
      <c r="RP13" s="21">
        <f>Defaults!RP13*Obligors!$G$13*Obligors!$H$13</f>
        <v/>
      </c>
      <c r="RQ13" s="21">
        <f>Defaults!RQ13*Obligors!$G$13*Obligors!$H$13</f>
        <v/>
      </c>
      <c r="RR13" s="21">
        <f>Defaults!RR13*Obligors!$G$13*Obligors!$H$13</f>
        <v/>
      </c>
      <c r="RS13" s="21">
        <f>Defaults!RS13*Obligors!$G$13*Obligors!$H$13</f>
        <v/>
      </c>
      <c r="RT13" s="21">
        <f>Defaults!RT13*Obligors!$G$13*Obligors!$H$13</f>
        <v/>
      </c>
      <c r="RU13" s="21">
        <f>Defaults!RU13*Obligors!$G$13*Obligors!$H$13</f>
        <v/>
      </c>
      <c r="RV13" s="21">
        <f>Defaults!RV13*Obligors!$G$13*Obligors!$H$13</f>
        <v/>
      </c>
      <c r="RW13" s="21">
        <f>Defaults!RW13*Obligors!$G$13*Obligors!$H$13</f>
        <v/>
      </c>
      <c r="RX13" s="21">
        <f>Defaults!RX13*Obligors!$G$13*Obligors!$H$13</f>
        <v/>
      </c>
      <c r="RY13" s="21">
        <f>Defaults!RY13*Obligors!$G$13*Obligors!$H$13</f>
        <v/>
      </c>
      <c r="RZ13" s="21">
        <f>Defaults!RZ13*Obligors!$G$13*Obligors!$H$13</f>
        <v/>
      </c>
      <c r="SA13" s="21">
        <f>Defaults!SA13*Obligors!$G$13*Obligors!$H$13</f>
        <v/>
      </c>
      <c r="SB13" s="21">
        <f>Defaults!SB13*Obligors!$G$13*Obligors!$H$13</f>
        <v/>
      </c>
      <c r="SC13" s="21">
        <f>Defaults!SC13*Obligors!$G$13*Obligors!$H$13</f>
        <v/>
      </c>
      <c r="SD13" s="21">
        <f>Defaults!SD13*Obligors!$G$13*Obligors!$H$13</f>
        <v/>
      </c>
      <c r="SE13" s="21">
        <f>Defaults!SE13*Obligors!$G$13*Obligors!$H$13</f>
        <v/>
      </c>
      <c r="SF13" s="21">
        <f>Defaults!SF13*Obligors!$G$13*Obligors!$H$13</f>
        <v/>
      </c>
      <c r="SG13" s="21">
        <f>Defaults!SG13*Obligors!$G$13*Obligors!$H$13</f>
        <v/>
      </c>
    </row>
    <row r="14">
      <c r="A14" s="17" t="inlineStr">
        <is>
          <t>OBL-013</t>
        </is>
      </c>
      <c r="B14" s="21">
        <f>Defaults!B14*Obligors!$G$14*Obligors!$H$14</f>
        <v/>
      </c>
      <c r="C14" s="21">
        <f>Defaults!C14*Obligors!$G$14*Obligors!$H$14</f>
        <v/>
      </c>
      <c r="D14" s="21">
        <f>Defaults!D14*Obligors!$G$14*Obligors!$H$14</f>
        <v/>
      </c>
      <c r="E14" s="21">
        <f>Defaults!E14*Obligors!$G$14*Obligors!$H$14</f>
        <v/>
      </c>
      <c r="F14" s="21">
        <f>Defaults!F14*Obligors!$G$14*Obligors!$H$14</f>
        <v/>
      </c>
      <c r="G14" s="21">
        <f>Defaults!G14*Obligors!$G$14*Obligors!$H$14</f>
        <v/>
      </c>
      <c r="H14" s="21">
        <f>Defaults!H14*Obligors!$G$14*Obligors!$H$14</f>
        <v/>
      </c>
      <c r="I14" s="21">
        <f>Defaults!I14*Obligors!$G$14*Obligors!$H$14</f>
        <v/>
      </c>
      <c r="J14" s="21">
        <f>Defaults!J14*Obligors!$G$14*Obligors!$H$14</f>
        <v/>
      </c>
      <c r="K14" s="21">
        <f>Defaults!K14*Obligors!$G$14*Obligors!$H$14</f>
        <v/>
      </c>
      <c r="L14" s="21">
        <f>Defaults!L14*Obligors!$G$14*Obligors!$H$14</f>
        <v/>
      </c>
      <c r="M14" s="21">
        <f>Defaults!M14*Obligors!$G$14*Obligors!$H$14</f>
        <v/>
      </c>
      <c r="N14" s="21">
        <f>Defaults!N14*Obligors!$G$14*Obligors!$H$14</f>
        <v/>
      </c>
      <c r="O14" s="21">
        <f>Defaults!O14*Obligors!$G$14*Obligors!$H$14</f>
        <v/>
      </c>
      <c r="P14" s="21">
        <f>Defaults!P14*Obligors!$G$14*Obligors!$H$14</f>
        <v/>
      </c>
      <c r="Q14" s="21">
        <f>Defaults!Q14*Obligors!$G$14*Obligors!$H$14</f>
        <v/>
      </c>
      <c r="R14" s="21">
        <f>Defaults!R14*Obligors!$G$14*Obligors!$H$14</f>
        <v/>
      </c>
      <c r="S14" s="21">
        <f>Defaults!S14*Obligors!$G$14*Obligors!$H$14</f>
        <v/>
      </c>
      <c r="T14" s="21">
        <f>Defaults!T14*Obligors!$G$14*Obligors!$H$14</f>
        <v/>
      </c>
      <c r="U14" s="21">
        <f>Defaults!U14*Obligors!$G$14*Obligors!$H$14</f>
        <v/>
      </c>
      <c r="V14" s="21">
        <f>Defaults!V14*Obligors!$G$14*Obligors!$H$14</f>
        <v/>
      </c>
      <c r="W14" s="21">
        <f>Defaults!W14*Obligors!$G$14*Obligors!$H$14</f>
        <v/>
      </c>
      <c r="X14" s="21">
        <f>Defaults!X14*Obligors!$G$14*Obligors!$H$14</f>
        <v/>
      </c>
      <c r="Y14" s="21">
        <f>Defaults!Y14*Obligors!$G$14*Obligors!$H$14</f>
        <v/>
      </c>
      <c r="Z14" s="21">
        <f>Defaults!Z14*Obligors!$G$14*Obligors!$H$14</f>
        <v/>
      </c>
      <c r="AA14" s="21">
        <f>Defaults!AA14*Obligors!$G$14*Obligors!$H$14</f>
        <v/>
      </c>
      <c r="AB14" s="21">
        <f>Defaults!AB14*Obligors!$G$14*Obligors!$H$14</f>
        <v/>
      </c>
      <c r="AC14" s="21">
        <f>Defaults!AC14*Obligors!$G$14*Obligors!$H$14</f>
        <v/>
      </c>
      <c r="AD14" s="21">
        <f>Defaults!AD14*Obligors!$G$14*Obligors!$H$14</f>
        <v/>
      </c>
      <c r="AE14" s="21">
        <f>Defaults!AE14*Obligors!$G$14*Obligors!$H$14</f>
        <v/>
      </c>
      <c r="AF14" s="21">
        <f>Defaults!AF14*Obligors!$G$14*Obligors!$H$14</f>
        <v/>
      </c>
      <c r="AG14" s="21">
        <f>Defaults!AG14*Obligors!$G$14*Obligors!$H$14</f>
        <v/>
      </c>
      <c r="AH14" s="21">
        <f>Defaults!AH14*Obligors!$G$14*Obligors!$H$14</f>
        <v/>
      </c>
      <c r="AI14" s="21">
        <f>Defaults!AI14*Obligors!$G$14*Obligors!$H$14</f>
        <v/>
      </c>
      <c r="AJ14" s="21">
        <f>Defaults!AJ14*Obligors!$G$14*Obligors!$H$14</f>
        <v/>
      </c>
      <c r="AK14" s="21">
        <f>Defaults!AK14*Obligors!$G$14*Obligors!$H$14</f>
        <v/>
      </c>
      <c r="AL14" s="21">
        <f>Defaults!AL14*Obligors!$G$14*Obligors!$H$14</f>
        <v/>
      </c>
      <c r="AM14" s="21">
        <f>Defaults!AM14*Obligors!$G$14*Obligors!$H$14</f>
        <v/>
      </c>
      <c r="AN14" s="21">
        <f>Defaults!AN14*Obligors!$G$14*Obligors!$H$14</f>
        <v/>
      </c>
      <c r="AO14" s="21">
        <f>Defaults!AO14*Obligors!$G$14*Obligors!$H$14</f>
        <v/>
      </c>
      <c r="AP14" s="21">
        <f>Defaults!AP14*Obligors!$G$14*Obligors!$H$14</f>
        <v/>
      </c>
      <c r="AQ14" s="21">
        <f>Defaults!AQ14*Obligors!$G$14*Obligors!$H$14</f>
        <v/>
      </c>
      <c r="AR14" s="21">
        <f>Defaults!AR14*Obligors!$G$14*Obligors!$H$14</f>
        <v/>
      </c>
      <c r="AS14" s="21">
        <f>Defaults!AS14*Obligors!$G$14*Obligors!$H$14</f>
        <v/>
      </c>
      <c r="AT14" s="21">
        <f>Defaults!AT14*Obligors!$G$14*Obligors!$H$14</f>
        <v/>
      </c>
      <c r="AU14" s="21">
        <f>Defaults!AU14*Obligors!$G$14*Obligors!$H$14</f>
        <v/>
      </c>
      <c r="AV14" s="21">
        <f>Defaults!AV14*Obligors!$G$14*Obligors!$H$14</f>
        <v/>
      </c>
      <c r="AW14" s="21">
        <f>Defaults!AW14*Obligors!$G$14*Obligors!$H$14</f>
        <v/>
      </c>
      <c r="AX14" s="21">
        <f>Defaults!AX14*Obligors!$G$14*Obligors!$H$14</f>
        <v/>
      </c>
      <c r="AY14" s="21">
        <f>Defaults!AY14*Obligors!$G$14*Obligors!$H$14</f>
        <v/>
      </c>
      <c r="AZ14" s="21">
        <f>Defaults!AZ14*Obligors!$G$14*Obligors!$H$14</f>
        <v/>
      </c>
      <c r="BA14" s="21">
        <f>Defaults!BA14*Obligors!$G$14*Obligors!$H$14</f>
        <v/>
      </c>
      <c r="BB14" s="21">
        <f>Defaults!BB14*Obligors!$G$14*Obligors!$H$14</f>
        <v/>
      </c>
      <c r="BC14" s="21">
        <f>Defaults!BC14*Obligors!$G$14*Obligors!$H$14</f>
        <v/>
      </c>
      <c r="BD14" s="21">
        <f>Defaults!BD14*Obligors!$G$14*Obligors!$H$14</f>
        <v/>
      </c>
      <c r="BE14" s="21">
        <f>Defaults!BE14*Obligors!$G$14*Obligors!$H$14</f>
        <v/>
      </c>
      <c r="BF14" s="21">
        <f>Defaults!BF14*Obligors!$G$14*Obligors!$H$14</f>
        <v/>
      </c>
      <c r="BG14" s="21">
        <f>Defaults!BG14*Obligors!$G$14*Obligors!$H$14</f>
        <v/>
      </c>
      <c r="BH14" s="21">
        <f>Defaults!BH14*Obligors!$G$14*Obligors!$H$14</f>
        <v/>
      </c>
      <c r="BI14" s="21">
        <f>Defaults!BI14*Obligors!$G$14*Obligors!$H$14</f>
        <v/>
      </c>
      <c r="BJ14" s="21">
        <f>Defaults!BJ14*Obligors!$G$14*Obligors!$H$14</f>
        <v/>
      </c>
      <c r="BK14" s="21">
        <f>Defaults!BK14*Obligors!$G$14*Obligors!$H$14</f>
        <v/>
      </c>
      <c r="BL14" s="21">
        <f>Defaults!BL14*Obligors!$G$14*Obligors!$H$14</f>
        <v/>
      </c>
      <c r="BM14" s="21">
        <f>Defaults!BM14*Obligors!$G$14*Obligors!$H$14</f>
        <v/>
      </c>
      <c r="BN14" s="21">
        <f>Defaults!BN14*Obligors!$G$14*Obligors!$H$14</f>
        <v/>
      </c>
      <c r="BO14" s="21">
        <f>Defaults!BO14*Obligors!$G$14*Obligors!$H$14</f>
        <v/>
      </c>
      <c r="BP14" s="21">
        <f>Defaults!BP14*Obligors!$G$14*Obligors!$H$14</f>
        <v/>
      </c>
      <c r="BQ14" s="21">
        <f>Defaults!BQ14*Obligors!$G$14*Obligors!$H$14</f>
        <v/>
      </c>
      <c r="BR14" s="21">
        <f>Defaults!BR14*Obligors!$G$14*Obligors!$H$14</f>
        <v/>
      </c>
      <c r="BS14" s="21">
        <f>Defaults!BS14*Obligors!$G$14*Obligors!$H$14</f>
        <v/>
      </c>
      <c r="BT14" s="21">
        <f>Defaults!BT14*Obligors!$G$14*Obligors!$H$14</f>
        <v/>
      </c>
      <c r="BU14" s="21">
        <f>Defaults!BU14*Obligors!$G$14*Obligors!$H$14</f>
        <v/>
      </c>
      <c r="BV14" s="21">
        <f>Defaults!BV14*Obligors!$G$14*Obligors!$H$14</f>
        <v/>
      </c>
      <c r="BW14" s="21">
        <f>Defaults!BW14*Obligors!$G$14*Obligors!$H$14</f>
        <v/>
      </c>
      <c r="BX14" s="21">
        <f>Defaults!BX14*Obligors!$G$14*Obligors!$H$14</f>
        <v/>
      </c>
      <c r="BY14" s="21">
        <f>Defaults!BY14*Obligors!$G$14*Obligors!$H$14</f>
        <v/>
      </c>
      <c r="BZ14" s="21">
        <f>Defaults!BZ14*Obligors!$G$14*Obligors!$H$14</f>
        <v/>
      </c>
      <c r="CA14" s="21">
        <f>Defaults!CA14*Obligors!$G$14*Obligors!$H$14</f>
        <v/>
      </c>
      <c r="CB14" s="21">
        <f>Defaults!CB14*Obligors!$G$14*Obligors!$H$14</f>
        <v/>
      </c>
      <c r="CC14" s="21">
        <f>Defaults!CC14*Obligors!$G$14*Obligors!$H$14</f>
        <v/>
      </c>
      <c r="CD14" s="21">
        <f>Defaults!CD14*Obligors!$G$14*Obligors!$H$14</f>
        <v/>
      </c>
      <c r="CE14" s="21">
        <f>Defaults!CE14*Obligors!$G$14*Obligors!$H$14</f>
        <v/>
      </c>
      <c r="CF14" s="21">
        <f>Defaults!CF14*Obligors!$G$14*Obligors!$H$14</f>
        <v/>
      </c>
      <c r="CG14" s="21">
        <f>Defaults!CG14*Obligors!$G$14*Obligors!$H$14</f>
        <v/>
      </c>
      <c r="CH14" s="21">
        <f>Defaults!CH14*Obligors!$G$14*Obligors!$H$14</f>
        <v/>
      </c>
      <c r="CI14" s="21">
        <f>Defaults!CI14*Obligors!$G$14*Obligors!$H$14</f>
        <v/>
      </c>
      <c r="CJ14" s="21">
        <f>Defaults!CJ14*Obligors!$G$14*Obligors!$H$14</f>
        <v/>
      </c>
      <c r="CK14" s="21">
        <f>Defaults!CK14*Obligors!$G$14*Obligors!$H$14</f>
        <v/>
      </c>
      <c r="CL14" s="21">
        <f>Defaults!CL14*Obligors!$G$14*Obligors!$H$14</f>
        <v/>
      </c>
      <c r="CM14" s="21">
        <f>Defaults!CM14*Obligors!$G$14*Obligors!$H$14</f>
        <v/>
      </c>
      <c r="CN14" s="21">
        <f>Defaults!CN14*Obligors!$G$14*Obligors!$H$14</f>
        <v/>
      </c>
      <c r="CO14" s="21">
        <f>Defaults!CO14*Obligors!$G$14*Obligors!$H$14</f>
        <v/>
      </c>
      <c r="CP14" s="21">
        <f>Defaults!CP14*Obligors!$G$14*Obligors!$H$14</f>
        <v/>
      </c>
      <c r="CQ14" s="21">
        <f>Defaults!CQ14*Obligors!$G$14*Obligors!$H$14</f>
        <v/>
      </c>
      <c r="CR14" s="21">
        <f>Defaults!CR14*Obligors!$G$14*Obligors!$H$14</f>
        <v/>
      </c>
      <c r="CS14" s="21">
        <f>Defaults!CS14*Obligors!$G$14*Obligors!$H$14</f>
        <v/>
      </c>
      <c r="CT14" s="21">
        <f>Defaults!CT14*Obligors!$G$14*Obligors!$H$14</f>
        <v/>
      </c>
      <c r="CU14" s="21">
        <f>Defaults!CU14*Obligors!$G$14*Obligors!$H$14</f>
        <v/>
      </c>
      <c r="CV14" s="21">
        <f>Defaults!CV14*Obligors!$G$14*Obligors!$H$14</f>
        <v/>
      </c>
      <c r="CW14" s="21">
        <f>Defaults!CW14*Obligors!$G$14*Obligors!$H$14</f>
        <v/>
      </c>
      <c r="CX14" s="21">
        <f>Defaults!CX14*Obligors!$G$14*Obligors!$H$14</f>
        <v/>
      </c>
      <c r="CY14" s="21">
        <f>Defaults!CY14*Obligors!$G$14*Obligors!$H$14</f>
        <v/>
      </c>
      <c r="CZ14" s="21">
        <f>Defaults!CZ14*Obligors!$G$14*Obligors!$H$14</f>
        <v/>
      </c>
      <c r="DA14" s="21">
        <f>Defaults!DA14*Obligors!$G$14*Obligors!$H$14</f>
        <v/>
      </c>
      <c r="DB14" s="21">
        <f>Defaults!DB14*Obligors!$G$14*Obligors!$H$14</f>
        <v/>
      </c>
      <c r="DC14" s="21">
        <f>Defaults!DC14*Obligors!$G$14*Obligors!$H$14</f>
        <v/>
      </c>
      <c r="DD14" s="21">
        <f>Defaults!DD14*Obligors!$G$14*Obligors!$H$14</f>
        <v/>
      </c>
      <c r="DE14" s="21">
        <f>Defaults!DE14*Obligors!$G$14*Obligors!$H$14</f>
        <v/>
      </c>
      <c r="DF14" s="21">
        <f>Defaults!DF14*Obligors!$G$14*Obligors!$H$14</f>
        <v/>
      </c>
      <c r="DG14" s="21">
        <f>Defaults!DG14*Obligors!$G$14*Obligors!$H$14</f>
        <v/>
      </c>
      <c r="DH14" s="21">
        <f>Defaults!DH14*Obligors!$G$14*Obligors!$H$14</f>
        <v/>
      </c>
      <c r="DI14" s="21">
        <f>Defaults!DI14*Obligors!$G$14*Obligors!$H$14</f>
        <v/>
      </c>
      <c r="DJ14" s="21">
        <f>Defaults!DJ14*Obligors!$G$14*Obligors!$H$14</f>
        <v/>
      </c>
      <c r="DK14" s="21">
        <f>Defaults!DK14*Obligors!$G$14*Obligors!$H$14</f>
        <v/>
      </c>
      <c r="DL14" s="21">
        <f>Defaults!DL14*Obligors!$G$14*Obligors!$H$14</f>
        <v/>
      </c>
      <c r="DM14" s="21">
        <f>Defaults!DM14*Obligors!$G$14*Obligors!$H$14</f>
        <v/>
      </c>
      <c r="DN14" s="21">
        <f>Defaults!DN14*Obligors!$G$14*Obligors!$H$14</f>
        <v/>
      </c>
      <c r="DO14" s="21">
        <f>Defaults!DO14*Obligors!$G$14*Obligors!$H$14</f>
        <v/>
      </c>
      <c r="DP14" s="21">
        <f>Defaults!DP14*Obligors!$G$14*Obligors!$H$14</f>
        <v/>
      </c>
      <c r="DQ14" s="21">
        <f>Defaults!DQ14*Obligors!$G$14*Obligors!$H$14</f>
        <v/>
      </c>
      <c r="DR14" s="21">
        <f>Defaults!DR14*Obligors!$G$14*Obligors!$H$14</f>
        <v/>
      </c>
      <c r="DS14" s="21">
        <f>Defaults!DS14*Obligors!$G$14*Obligors!$H$14</f>
        <v/>
      </c>
      <c r="DT14" s="21">
        <f>Defaults!DT14*Obligors!$G$14*Obligors!$H$14</f>
        <v/>
      </c>
      <c r="DU14" s="21">
        <f>Defaults!DU14*Obligors!$G$14*Obligors!$H$14</f>
        <v/>
      </c>
      <c r="DV14" s="21">
        <f>Defaults!DV14*Obligors!$G$14*Obligors!$H$14</f>
        <v/>
      </c>
      <c r="DW14" s="21">
        <f>Defaults!DW14*Obligors!$G$14*Obligors!$H$14</f>
        <v/>
      </c>
      <c r="DX14" s="21">
        <f>Defaults!DX14*Obligors!$G$14*Obligors!$H$14</f>
        <v/>
      </c>
      <c r="DY14" s="21">
        <f>Defaults!DY14*Obligors!$G$14*Obligors!$H$14</f>
        <v/>
      </c>
      <c r="DZ14" s="21">
        <f>Defaults!DZ14*Obligors!$G$14*Obligors!$H$14</f>
        <v/>
      </c>
      <c r="EA14" s="21">
        <f>Defaults!EA14*Obligors!$G$14*Obligors!$H$14</f>
        <v/>
      </c>
      <c r="EB14" s="21">
        <f>Defaults!EB14*Obligors!$G$14*Obligors!$H$14</f>
        <v/>
      </c>
      <c r="EC14" s="21">
        <f>Defaults!EC14*Obligors!$G$14*Obligors!$H$14</f>
        <v/>
      </c>
      <c r="ED14" s="21">
        <f>Defaults!ED14*Obligors!$G$14*Obligors!$H$14</f>
        <v/>
      </c>
      <c r="EE14" s="21">
        <f>Defaults!EE14*Obligors!$G$14*Obligors!$H$14</f>
        <v/>
      </c>
      <c r="EF14" s="21">
        <f>Defaults!EF14*Obligors!$G$14*Obligors!$H$14</f>
        <v/>
      </c>
      <c r="EG14" s="21">
        <f>Defaults!EG14*Obligors!$G$14*Obligors!$H$14</f>
        <v/>
      </c>
      <c r="EH14" s="21">
        <f>Defaults!EH14*Obligors!$G$14*Obligors!$H$14</f>
        <v/>
      </c>
      <c r="EI14" s="21">
        <f>Defaults!EI14*Obligors!$G$14*Obligors!$H$14</f>
        <v/>
      </c>
      <c r="EJ14" s="21">
        <f>Defaults!EJ14*Obligors!$G$14*Obligors!$H$14</f>
        <v/>
      </c>
      <c r="EK14" s="21">
        <f>Defaults!EK14*Obligors!$G$14*Obligors!$H$14</f>
        <v/>
      </c>
      <c r="EL14" s="21">
        <f>Defaults!EL14*Obligors!$G$14*Obligors!$H$14</f>
        <v/>
      </c>
      <c r="EM14" s="21">
        <f>Defaults!EM14*Obligors!$G$14*Obligors!$H$14</f>
        <v/>
      </c>
      <c r="EN14" s="21">
        <f>Defaults!EN14*Obligors!$G$14*Obligors!$H$14</f>
        <v/>
      </c>
      <c r="EO14" s="21">
        <f>Defaults!EO14*Obligors!$G$14*Obligors!$H$14</f>
        <v/>
      </c>
      <c r="EP14" s="21">
        <f>Defaults!EP14*Obligors!$G$14*Obligors!$H$14</f>
        <v/>
      </c>
      <c r="EQ14" s="21">
        <f>Defaults!EQ14*Obligors!$G$14*Obligors!$H$14</f>
        <v/>
      </c>
      <c r="ER14" s="21">
        <f>Defaults!ER14*Obligors!$G$14*Obligors!$H$14</f>
        <v/>
      </c>
      <c r="ES14" s="21">
        <f>Defaults!ES14*Obligors!$G$14*Obligors!$H$14</f>
        <v/>
      </c>
      <c r="ET14" s="21">
        <f>Defaults!ET14*Obligors!$G$14*Obligors!$H$14</f>
        <v/>
      </c>
      <c r="EU14" s="21">
        <f>Defaults!EU14*Obligors!$G$14*Obligors!$H$14</f>
        <v/>
      </c>
      <c r="EV14" s="21">
        <f>Defaults!EV14*Obligors!$G$14*Obligors!$H$14</f>
        <v/>
      </c>
      <c r="EW14" s="21">
        <f>Defaults!EW14*Obligors!$G$14*Obligors!$H$14</f>
        <v/>
      </c>
      <c r="EX14" s="21">
        <f>Defaults!EX14*Obligors!$G$14*Obligors!$H$14</f>
        <v/>
      </c>
      <c r="EY14" s="21">
        <f>Defaults!EY14*Obligors!$G$14*Obligors!$H$14</f>
        <v/>
      </c>
      <c r="EZ14" s="21">
        <f>Defaults!EZ14*Obligors!$G$14*Obligors!$H$14</f>
        <v/>
      </c>
      <c r="FA14" s="21">
        <f>Defaults!FA14*Obligors!$G$14*Obligors!$H$14</f>
        <v/>
      </c>
      <c r="FB14" s="21">
        <f>Defaults!FB14*Obligors!$G$14*Obligors!$H$14</f>
        <v/>
      </c>
      <c r="FC14" s="21">
        <f>Defaults!FC14*Obligors!$G$14*Obligors!$H$14</f>
        <v/>
      </c>
      <c r="FD14" s="21">
        <f>Defaults!FD14*Obligors!$G$14*Obligors!$H$14</f>
        <v/>
      </c>
      <c r="FE14" s="21">
        <f>Defaults!FE14*Obligors!$G$14*Obligors!$H$14</f>
        <v/>
      </c>
      <c r="FF14" s="21">
        <f>Defaults!FF14*Obligors!$G$14*Obligors!$H$14</f>
        <v/>
      </c>
      <c r="FG14" s="21">
        <f>Defaults!FG14*Obligors!$G$14*Obligors!$H$14</f>
        <v/>
      </c>
      <c r="FH14" s="21">
        <f>Defaults!FH14*Obligors!$G$14*Obligors!$H$14</f>
        <v/>
      </c>
      <c r="FI14" s="21">
        <f>Defaults!FI14*Obligors!$G$14*Obligors!$H$14</f>
        <v/>
      </c>
      <c r="FJ14" s="21">
        <f>Defaults!FJ14*Obligors!$G$14*Obligors!$H$14</f>
        <v/>
      </c>
      <c r="FK14" s="21">
        <f>Defaults!FK14*Obligors!$G$14*Obligors!$H$14</f>
        <v/>
      </c>
      <c r="FL14" s="21">
        <f>Defaults!FL14*Obligors!$G$14*Obligors!$H$14</f>
        <v/>
      </c>
      <c r="FM14" s="21">
        <f>Defaults!FM14*Obligors!$G$14*Obligors!$H$14</f>
        <v/>
      </c>
      <c r="FN14" s="21">
        <f>Defaults!FN14*Obligors!$G$14*Obligors!$H$14</f>
        <v/>
      </c>
      <c r="FO14" s="21">
        <f>Defaults!FO14*Obligors!$G$14*Obligors!$H$14</f>
        <v/>
      </c>
      <c r="FP14" s="21">
        <f>Defaults!FP14*Obligors!$G$14*Obligors!$H$14</f>
        <v/>
      </c>
      <c r="FQ14" s="21">
        <f>Defaults!FQ14*Obligors!$G$14*Obligors!$H$14</f>
        <v/>
      </c>
      <c r="FR14" s="21">
        <f>Defaults!FR14*Obligors!$G$14*Obligors!$H$14</f>
        <v/>
      </c>
      <c r="FS14" s="21">
        <f>Defaults!FS14*Obligors!$G$14*Obligors!$H$14</f>
        <v/>
      </c>
      <c r="FT14" s="21">
        <f>Defaults!FT14*Obligors!$G$14*Obligors!$H$14</f>
        <v/>
      </c>
      <c r="FU14" s="21">
        <f>Defaults!FU14*Obligors!$G$14*Obligors!$H$14</f>
        <v/>
      </c>
      <c r="FV14" s="21">
        <f>Defaults!FV14*Obligors!$G$14*Obligors!$H$14</f>
        <v/>
      </c>
      <c r="FW14" s="21">
        <f>Defaults!FW14*Obligors!$G$14*Obligors!$H$14</f>
        <v/>
      </c>
      <c r="FX14" s="21">
        <f>Defaults!FX14*Obligors!$G$14*Obligors!$H$14</f>
        <v/>
      </c>
      <c r="FY14" s="21">
        <f>Defaults!FY14*Obligors!$G$14*Obligors!$H$14</f>
        <v/>
      </c>
      <c r="FZ14" s="21">
        <f>Defaults!FZ14*Obligors!$G$14*Obligors!$H$14</f>
        <v/>
      </c>
      <c r="GA14" s="21">
        <f>Defaults!GA14*Obligors!$G$14*Obligors!$H$14</f>
        <v/>
      </c>
      <c r="GB14" s="21">
        <f>Defaults!GB14*Obligors!$G$14*Obligors!$H$14</f>
        <v/>
      </c>
      <c r="GC14" s="21">
        <f>Defaults!GC14*Obligors!$G$14*Obligors!$H$14</f>
        <v/>
      </c>
      <c r="GD14" s="21">
        <f>Defaults!GD14*Obligors!$G$14*Obligors!$H$14</f>
        <v/>
      </c>
      <c r="GE14" s="21">
        <f>Defaults!GE14*Obligors!$G$14*Obligors!$H$14</f>
        <v/>
      </c>
      <c r="GF14" s="21">
        <f>Defaults!GF14*Obligors!$G$14*Obligors!$H$14</f>
        <v/>
      </c>
      <c r="GG14" s="21">
        <f>Defaults!GG14*Obligors!$G$14*Obligors!$H$14</f>
        <v/>
      </c>
      <c r="GH14" s="21">
        <f>Defaults!GH14*Obligors!$G$14*Obligors!$H$14</f>
        <v/>
      </c>
      <c r="GI14" s="21">
        <f>Defaults!GI14*Obligors!$G$14*Obligors!$H$14</f>
        <v/>
      </c>
      <c r="GJ14" s="21">
        <f>Defaults!GJ14*Obligors!$G$14*Obligors!$H$14</f>
        <v/>
      </c>
      <c r="GK14" s="21">
        <f>Defaults!GK14*Obligors!$G$14*Obligors!$H$14</f>
        <v/>
      </c>
      <c r="GL14" s="21">
        <f>Defaults!GL14*Obligors!$G$14*Obligors!$H$14</f>
        <v/>
      </c>
      <c r="GM14" s="21">
        <f>Defaults!GM14*Obligors!$G$14*Obligors!$H$14</f>
        <v/>
      </c>
      <c r="GN14" s="21">
        <f>Defaults!GN14*Obligors!$G$14*Obligors!$H$14</f>
        <v/>
      </c>
      <c r="GO14" s="21">
        <f>Defaults!GO14*Obligors!$G$14*Obligors!$H$14</f>
        <v/>
      </c>
      <c r="GP14" s="21">
        <f>Defaults!GP14*Obligors!$G$14*Obligors!$H$14</f>
        <v/>
      </c>
      <c r="GQ14" s="21">
        <f>Defaults!GQ14*Obligors!$G$14*Obligors!$H$14</f>
        <v/>
      </c>
      <c r="GR14" s="21">
        <f>Defaults!GR14*Obligors!$G$14*Obligors!$H$14</f>
        <v/>
      </c>
      <c r="GS14" s="21">
        <f>Defaults!GS14*Obligors!$G$14*Obligors!$H$14</f>
        <v/>
      </c>
      <c r="GT14" s="21">
        <f>Defaults!GT14*Obligors!$G$14*Obligors!$H$14</f>
        <v/>
      </c>
      <c r="GU14" s="21">
        <f>Defaults!GU14*Obligors!$G$14*Obligors!$H$14</f>
        <v/>
      </c>
      <c r="GV14" s="21">
        <f>Defaults!GV14*Obligors!$G$14*Obligors!$H$14</f>
        <v/>
      </c>
      <c r="GW14" s="21">
        <f>Defaults!GW14*Obligors!$G$14*Obligors!$H$14</f>
        <v/>
      </c>
      <c r="GX14" s="21">
        <f>Defaults!GX14*Obligors!$G$14*Obligors!$H$14</f>
        <v/>
      </c>
      <c r="GY14" s="21">
        <f>Defaults!GY14*Obligors!$G$14*Obligors!$H$14</f>
        <v/>
      </c>
      <c r="GZ14" s="21">
        <f>Defaults!GZ14*Obligors!$G$14*Obligors!$H$14</f>
        <v/>
      </c>
      <c r="HA14" s="21">
        <f>Defaults!HA14*Obligors!$G$14*Obligors!$H$14</f>
        <v/>
      </c>
      <c r="HB14" s="21">
        <f>Defaults!HB14*Obligors!$G$14*Obligors!$H$14</f>
        <v/>
      </c>
      <c r="HC14" s="21">
        <f>Defaults!HC14*Obligors!$G$14*Obligors!$H$14</f>
        <v/>
      </c>
      <c r="HD14" s="21">
        <f>Defaults!HD14*Obligors!$G$14*Obligors!$H$14</f>
        <v/>
      </c>
      <c r="HE14" s="21">
        <f>Defaults!HE14*Obligors!$G$14*Obligors!$H$14</f>
        <v/>
      </c>
      <c r="HF14" s="21">
        <f>Defaults!HF14*Obligors!$G$14*Obligors!$H$14</f>
        <v/>
      </c>
      <c r="HG14" s="21">
        <f>Defaults!HG14*Obligors!$G$14*Obligors!$H$14</f>
        <v/>
      </c>
      <c r="HH14" s="21">
        <f>Defaults!HH14*Obligors!$G$14*Obligors!$H$14</f>
        <v/>
      </c>
      <c r="HI14" s="21">
        <f>Defaults!HI14*Obligors!$G$14*Obligors!$H$14</f>
        <v/>
      </c>
      <c r="HJ14" s="21">
        <f>Defaults!HJ14*Obligors!$G$14*Obligors!$H$14</f>
        <v/>
      </c>
      <c r="HK14" s="21">
        <f>Defaults!HK14*Obligors!$G$14*Obligors!$H$14</f>
        <v/>
      </c>
      <c r="HL14" s="21">
        <f>Defaults!HL14*Obligors!$G$14*Obligors!$H$14</f>
        <v/>
      </c>
      <c r="HM14" s="21">
        <f>Defaults!HM14*Obligors!$G$14*Obligors!$H$14</f>
        <v/>
      </c>
      <c r="HN14" s="21">
        <f>Defaults!HN14*Obligors!$G$14*Obligors!$H$14</f>
        <v/>
      </c>
      <c r="HO14" s="21">
        <f>Defaults!HO14*Obligors!$G$14*Obligors!$H$14</f>
        <v/>
      </c>
      <c r="HP14" s="21">
        <f>Defaults!HP14*Obligors!$G$14*Obligors!$H$14</f>
        <v/>
      </c>
      <c r="HQ14" s="21">
        <f>Defaults!HQ14*Obligors!$G$14*Obligors!$H$14</f>
        <v/>
      </c>
      <c r="HR14" s="21">
        <f>Defaults!HR14*Obligors!$G$14*Obligors!$H$14</f>
        <v/>
      </c>
      <c r="HS14" s="21">
        <f>Defaults!HS14*Obligors!$G$14*Obligors!$H$14</f>
        <v/>
      </c>
      <c r="HT14" s="21">
        <f>Defaults!HT14*Obligors!$G$14*Obligors!$H$14</f>
        <v/>
      </c>
      <c r="HU14" s="21">
        <f>Defaults!HU14*Obligors!$G$14*Obligors!$H$14</f>
        <v/>
      </c>
      <c r="HV14" s="21">
        <f>Defaults!HV14*Obligors!$G$14*Obligors!$H$14</f>
        <v/>
      </c>
      <c r="HW14" s="21">
        <f>Defaults!HW14*Obligors!$G$14*Obligors!$H$14</f>
        <v/>
      </c>
      <c r="HX14" s="21">
        <f>Defaults!HX14*Obligors!$G$14*Obligors!$H$14</f>
        <v/>
      </c>
      <c r="HY14" s="21">
        <f>Defaults!HY14*Obligors!$G$14*Obligors!$H$14</f>
        <v/>
      </c>
      <c r="HZ14" s="21">
        <f>Defaults!HZ14*Obligors!$G$14*Obligors!$H$14</f>
        <v/>
      </c>
      <c r="IA14" s="21">
        <f>Defaults!IA14*Obligors!$G$14*Obligors!$H$14</f>
        <v/>
      </c>
      <c r="IB14" s="21">
        <f>Defaults!IB14*Obligors!$G$14*Obligors!$H$14</f>
        <v/>
      </c>
      <c r="IC14" s="21">
        <f>Defaults!IC14*Obligors!$G$14*Obligors!$H$14</f>
        <v/>
      </c>
      <c r="ID14" s="21">
        <f>Defaults!ID14*Obligors!$G$14*Obligors!$H$14</f>
        <v/>
      </c>
      <c r="IE14" s="21">
        <f>Defaults!IE14*Obligors!$G$14*Obligors!$H$14</f>
        <v/>
      </c>
      <c r="IF14" s="21">
        <f>Defaults!IF14*Obligors!$G$14*Obligors!$H$14</f>
        <v/>
      </c>
      <c r="IG14" s="21">
        <f>Defaults!IG14*Obligors!$G$14*Obligors!$H$14</f>
        <v/>
      </c>
      <c r="IH14" s="21">
        <f>Defaults!IH14*Obligors!$G$14*Obligors!$H$14</f>
        <v/>
      </c>
      <c r="II14" s="21">
        <f>Defaults!II14*Obligors!$G$14*Obligors!$H$14</f>
        <v/>
      </c>
      <c r="IJ14" s="21">
        <f>Defaults!IJ14*Obligors!$G$14*Obligors!$H$14</f>
        <v/>
      </c>
      <c r="IK14" s="21">
        <f>Defaults!IK14*Obligors!$G$14*Obligors!$H$14</f>
        <v/>
      </c>
      <c r="IL14" s="21">
        <f>Defaults!IL14*Obligors!$G$14*Obligors!$H$14</f>
        <v/>
      </c>
      <c r="IM14" s="21">
        <f>Defaults!IM14*Obligors!$G$14*Obligors!$H$14</f>
        <v/>
      </c>
      <c r="IN14" s="21">
        <f>Defaults!IN14*Obligors!$G$14*Obligors!$H$14</f>
        <v/>
      </c>
      <c r="IO14" s="21">
        <f>Defaults!IO14*Obligors!$G$14*Obligors!$H$14</f>
        <v/>
      </c>
      <c r="IP14" s="21">
        <f>Defaults!IP14*Obligors!$G$14*Obligors!$H$14</f>
        <v/>
      </c>
      <c r="IQ14" s="21">
        <f>Defaults!IQ14*Obligors!$G$14*Obligors!$H$14</f>
        <v/>
      </c>
      <c r="IR14" s="21">
        <f>Defaults!IR14*Obligors!$G$14*Obligors!$H$14</f>
        <v/>
      </c>
      <c r="IS14" s="21">
        <f>Defaults!IS14*Obligors!$G$14*Obligors!$H$14</f>
        <v/>
      </c>
      <c r="IT14" s="21">
        <f>Defaults!IT14*Obligors!$G$14*Obligors!$H$14</f>
        <v/>
      </c>
      <c r="IU14" s="21">
        <f>Defaults!IU14*Obligors!$G$14*Obligors!$H$14</f>
        <v/>
      </c>
      <c r="IV14" s="21">
        <f>Defaults!IV14*Obligors!$G$14*Obligors!$H$14</f>
        <v/>
      </c>
      <c r="IW14" s="21">
        <f>Defaults!IW14*Obligors!$G$14*Obligors!$H$14</f>
        <v/>
      </c>
      <c r="IX14" s="21">
        <f>Defaults!IX14*Obligors!$G$14*Obligors!$H$14</f>
        <v/>
      </c>
      <c r="IY14" s="21">
        <f>Defaults!IY14*Obligors!$G$14*Obligors!$H$14</f>
        <v/>
      </c>
      <c r="IZ14" s="21">
        <f>Defaults!IZ14*Obligors!$G$14*Obligors!$H$14</f>
        <v/>
      </c>
      <c r="JA14" s="21">
        <f>Defaults!JA14*Obligors!$G$14*Obligors!$H$14</f>
        <v/>
      </c>
      <c r="JB14" s="21">
        <f>Defaults!JB14*Obligors!$G$14*Obligors!$H$14</f>
        <v/>
      </c>
      <c r="JC14" s="21">
        <f>Defaults!JC14*Obligors!$G$14*Obligors!$H$14</f>
        <v/>
      </c>
      <c r="JD14" s="21">
        <f>Defaults!JD14*Obligors!$G$14*Obligors!$H$14</f>
        <v/>
      </c>
      <c r="JE14" s="21">
        <f>Defaults!JE14*Obligors!$G$14*Obligors!$H$14</f>
        <v/>
      </c>
      <c r="JF14" s="21">
        <f>Defaults!JF14*Obligors!$G$14*Obligors!$H$14</f>
        <v/>
      </c>
      <c r="JG14" s="21">
        <f>Defaults!JG14*Obligors!$G$14*Obligors!$H$14</f>
        <v/>
      </c>
      <c r="JH14" s="21">
        <f>Defaults!JH14*Obligors!$G$14*Obligors!$H$14</f>
        <v/>
      </c>
      <c r="JI14" s="21">
        <f>Defaults!JI14*Obligors!$G$14*Obligors!$H$14</f>
        <v/>
      </c>
      <c r="JJ14" s="21">
        <f>Defaults!JJ14*Obligors!$G$14*Obligors!$H$14</f>
        <v/>
      </c>
      <c r="JK14" s="21">
        <f>Defaults!JK14*Obligors!$G$14*Obligors!$H$14</f>
        <v/>
      </c>
      <c r="JL14" s="21">
        <f>Defaults!JL14*Obligors!$G$14*Obligors!$H$14</f>
        <v/>
      </c>
      <c r="JM14" s="21">
        <f>Defaults!JM14*Obligors!$G$14*Obligors!$H$14</f>
        <v/>
      </c>
      <c r="JN14" s="21">
        <f>Defaults!JN14*Obligors!$G$14*Obligors!$H$14</f>
        <v/>
      </c>
      <c r="JO14" s="21">
        <f>Defaults!JO14*Obligors!$G$14*Obligors!$H$14</f>
        <v/>
      </c>
      <c r="JP14" s="21">
        <f>Defaults!JP14*Obligors!$G$14*Obligors!$H$14</f>
        <v/>
      </c>
      <c r="JQ14" s="21">
        <f>Defaults!JQ14*Obligors!$G$14*Obligors!$H$14</f>
        <v/>
      </c>
      <c r="JR14" s="21">
        <f>Defaults!JR14*Obligors!$G$14*Obligors!$H$14</f>
        <v/>
      </c>
      <c r="JS14" s="21">
        <f>Defaults!JS14*Obligors!$G$14*Obligors!$H$14</f>
        <v/>
      </c>
      <c r="JT14" s="21">
        <f>Defaults!JT14*Obligors!$G$14*Obligors!$H$14</f>
        <v/>
      </c>
      <c r="JU14" s="21">
        <f>Defaults!JU14*Obligors!$G$14*Obligors!$H$14</f>
        <v/>
      </c>
      <c r="JV14" s="21">
        <f>Defaults!JV14*Obligors!$G$14*Obligors!$H$14</f>
        <v/>
      </c>
      <c r="JW14" s="21">
        <f>Defaults!JW14*Obligors!$G$14*Obligors!$H$14</f>
        <v/>
      </c>
      <c r="JX14" s="21">
        <f>Defaults!JX14*Obligors!$G$14*Obligors!$H$14</f>
        <v/>
      </c>
      <c r="JY14" s="21">
        <f>Defaults!JY14*Obligors!$G$14*Obligors!$H$14</f>
        <v/>
      </c>
      <c r="JZ14" s="21">
        <f>Defaults!JZ14*Obligors!$G$14*Obligors!$H$14</f>
        <v/>
      </c>
      <c r="KA14" s="21">
        <f>Defaults!KA14*Obligors!$G$14*Obligors!$H$14</f>
        <v/>
      </c>
      <c r="KB14" s="21">
        <f>Defaults!KB14*Obligors!$G$14*Obligors!$H$14</f>
        <v/>
      </c>
      <c r="KC14" s="21">
        <f>Defaults!KC14*Obligors!$G$14*Obligors!$H$14</f>
        <v/>
      </c>
      <c r="KD14" s="21">
        <f>Defaults!KD14*Obligors!$G$14*Obligors!$H$14</f>
        <v/>
      </c>
      <c r="KE14" s="21">
        <f>Defaults!KE14*Obligors!$G$14*Obligors!$H$14</f>
        <v/>
      </c>
      <c r="KF14" s="21">
        <f>Defaults!KF14*Obligors!$G$14*Obligors!$H$14</f>
        <v/>
      </c>
      <c r="KG14" s="21">
        <f>Defaults!KG14*Obligors!$G$14*Obligors!$H$14</f>
        <v/>
      </c>
      <c r="KH14" s="21">
        <f>Defaults!KH14*Obligors!$G$14*Obligors!$H$14</f>
        <v/>
      </c>
      <c r="KI14" s="21">
        <f>Defaults!KI14*Obligors!$G$14*Obligors!$H$14</f>
        <v/>
      </c>
      <c r="KJ14" s="21">
        <f>Defaults!KJ14*Obligors!$G$14*Obligors!$H$14</f>
        <v/>
      </c>
      <c r="KK14" s="21">
        <f>Defaults!KK14*Obligors!$G$14*Obligors!$H$14</f>
        <v/>
      </c>
      <c r="KL14" s="21">
        <f>Defaults!KL14*Obligors!$G$14*Obligors!$H$14</f>
        <v/>
      </c>
      <c r="KM14" s="21">
        <f>Defaults!KM14*Obligors!$G$14*Obligors!$H$14</f>
        <v/>
      </c>
      <c r="KN14" s="21">
        <f>Defaults!KN14*Obligors!$G$14*Obligors!$H$14</f>
        <v/>
      </c>
      <c r="KO14" s="21">
        <f>Defaults!KO14*Obligors!$G$14*Obligors!$H$14</f>
        <v/>
      </c>
      <c r="KP14" s="21">
        <f>Defaults!KP14*Obligors!$G$14*Obligors!$H$14</f>
        <v/>
      </c>
      <c r="KQ14" s="21">
        <f>Defaults!KQ14*Obligors!$G$14*Obligors!$H$14</f>
        <v/>
      </c>
      <c r="KR14" s="21">
        <f>Defaults!KR14*Obligors!$G$14*Obligors!$H$14</f>
        <v/>
      </c>
      <c r="KS14" s="21">
        <f>Defaults!KS14*Obligors!$G$14*Obligors!$H$14</f>
        <v/>
      </c>
      <c r="KT14" s="21">
        <f>Defaults!KT14*Obligors!$G$14*Obligors!$H$14</f>
        <v/>
      </c>
      <c r="KU14" s="21">
        <f>Defaults!KU14*Obligors!$G$14*Obligors!$H$14</f>
        <v/>
      </c>
      <c r="KV14" s="21">
        <f>Defaults!KV14*Obligors!$G$14*Obligors!$H$14</f>
        <v/>
      </c>
      <c r="KW14" s="21">
        <f>Defaults!KW14*Obligors!$G$14*Obligors!$H$14</f>
        <v/>
      </c>
      <c r="KX14" s="21">
        <f>Defaults!KX14*Obligors!$G$14*Obligors!$H$14</f>
        <v/>
      </c>
      <c r="KY14" s="21">
        <f>Defaults!KY14*Obligors!$G$14*Obligors!$H$14</f>
        <v/>
      </c>
      <c r="KZ14" s="21">
        <f>Defaults!KZ14*Obligors!$G$14*Obligors!$H$14</f>
        <v/>
      </c>
      <c r="LA14" s="21">
        <f>Defaults!LA14*Obligors!$G$14*Obligors!$H$14</f>
        <v/>
      </c>
      <c r="LB14" s="21">
        <f>Defaults!LB14*Obligors!$G$14*Obligors!$H$14</f>
        <v/>
      </c>
      <c r="LC14" s="21">
        <f>Defaults!LC14*Obligors!$G$14*Obligors!$H$14</f>
        <v/>
      </c>
      <c r="LD14" s="21">
        <f>Defaults!LD14*Obligors!$G$14*Obligors!$H$14</f>
        <v/>
      </c>
      <c r="LE14" s="21">
        <f>Defaults!LE14*Obligors!$G$14*Obligors!$H$14</f>
        <v/>
      </c>
      <c r="LF14" s="21">
        <f>Defaults!LF14*Obligors!$G$14*Obligors!$H$14</f>
        <v/>
      </c>
      <c r="LG14" s="21">
        <f>Defaults!LG14*Obligors!$G$14*Obligors!$H$14</f>
        <v/>
      </c>
      <c r="LH14" s="21">
        <f>Defaults!LH14*Obligors!$G$14*Obligors!$H$14</f>
        <v/>
      </c>
      <c r="LI14" s="21">
        <f>Defaults!LI14*Obligors!$G$14*Obligors!$H$14</f>
        <v/>
      </c>
      <c r="LJ14" s="21">
        <f>Defaults!LJ14*Obligors!$G$14*Obligors!$H$14</f>
        <v/>
      </c>
      <c r="LK14" s="21">
        <f>Defaults!LK14*Obligors!$G$14*Obligors!$H$14</f>
        <v/>
      </c>
      <c r="LL14" s="21">
        <f>Defaults!LL14*Obligors!$G$14*Obligors!$H$14</f>
        <v/>
      </c>
      <c r="LM14" s="21">
        <f>Defaults!LM14*Obligors!$G$14*Obligors!$H$14</f>
        <v/>
      </c>
      <c r="LN14" s="21">
        <f>Defaults!LN14*Obligors!$G$14*Obligors!$H$14</f>
        <v/>
      </c>
      <c r="LO14" s="21">
        <f>Defaults!LO14*Obligors!$G$14*Obligors!$H$14</f>
        <v/>
      </c>
      <c r="LP14" s="21">
        <f>Defaults!LP14*Obligors!$G$14*Obligors!$H$14</f>
        <v/>
      </c>
      <c r="LQ14" s="21">
        <f>Defaults!LQ14*Obligors!$G$14*Obligors!$H$14</f>
        <v/>
      </c>
      <c r="LR14" s="21">
        <f>Defaults!LR14*Obligors!$G$14*Obligors!$H$14</f>
        <v/>
      </c>
      <c r="LS14" s="21">
        <f>Defaults!LS14*Obligors!$G$14*Obligors!$H$14</f>
        <v/>
      </c>
      <c r="LT14" s="21">
        <f>Defaults!LT14*Obligors!$G$14*Obligors!$H$14</f>
        <v/>
      </c>
      <c r="LU14" s="21">
        <f>Defaults!LU14*Obligors!$G$14*Obligors!$H$14</f>
        <v/>
      </c>
      <c r="LV14" s="21">
        <f>Defaults!LV14*Obligors!$G$14*Obligors!$H$14</f>
        <v/>
      </c>
      <c r="LW14" s="21">
        <f>Defaults!LW14*Obligors!$G$14*Obligors!$H$14</f>
        <v/>
      </c>
      <c r="LX14" s="21">
        <f>Defaults!LX14*Obligors!$G$14*Obligors!$H$14</f>
        <v/>
      </c>
      <c r="LY14" s="21">
        <f>Defaults!LY14*Obligors!$G$14*Obligors!$H$14</f>
        <v/>
      </c>
      <c r="LZ14" s="21">
        <f>Defaults!LZ14*Obligors!$G$14*Obligors!$H$14</f>
        <v/>
      </c>
      <c r="MA14" s="21">
        <f>Defaults!MA14*Obligors!$G$14*Obligors!$H$14</f>
        <v/>
      </c>
      <c r="MB14" s="21">
        <f>Defaults!MB14*Obligors!$G$14*Obligors!$H$14</f>
        <v/>
      </c>
      <c r="MC14" s="21">
        <f>Defaults!MC14*Obligors!$G$14*Obligors!$H$14</f>
        <v/>
      </c>
      <c r="MD14" s="21">
        <f>Defaults!MD14*Obligors!$G$14*Obligors!$H$14</f>
        <v/>
      </c>
      <c r="ME14" s="21">
        <f>Defaults!ME14*Obligors!$G$14*Obligors!$H$14</f>
        <v/>
      </c>
      <c r="MF14" s="21">
        <f>Defaults!MF14*Obligors!$G$14*Obligors!$H$14</f>
        <v/>
      </c>
      <c r="MG14" s="21">
        <f>Defaults!MG14*Obligors!$G$14*Obligors!$H$14</f>
        <v/>
      </c>
      <c r="MH14" s="21">
        <f>Defaults!MH14*Obligors!$G$14*Obligors!$H$14</f>
        <v/>
      </c>
      <c r="MI14" s="21">
        <f>Defaults!MI14*Obligors!$G$14*Obligors!$H$14</f>
        <v/>
      </c>
      <c r="MJ14" s="21">
        <f>Defaults!MJ14*Obligors!$G$14*Obligors!$H$14</f>
        <v/>
      </c>
      <c r="MK14" s="21">
        <f>Defaults!MK14*Obligors!$G$14*Obligors!$H$14</f>
        <v/>
      </c>
      <c r="ML14" s="21">
        <f>Defaults!ML14*Obligors!$G$14*Obligors!$H$14</f>
        <v/>
      </c>
      <c r="MM14" s="21">
        <f>Defaults!MM14*Obligors!$G$14*Obligors!$H$14</f>
        <v/>
      </c>
      <c r="MN14" s="21">
        <f>Defaults!MN14*Obligors!$G$14*Obligors!$H$14</f>
        <v/>
      </c>
      <c r="MO14" s="21">
        <f>Defaults!MO14*Obligors!$G$14*Obligors!$H$14</f>
        <v/>
      </c>
      <c r="MP14" s="21">
        <f>Defaults!MP14*Obligors!$G$14*Obligors!$H$14</f>
        <v/>
      </c>
      <c r="MQ14" s="21">
        <f>Defaults!MQ14*Obligors!$G$14*Obligors!$H$14</f>
        <v/>
      </c>
      <c r="MR14" s="21">
        <f>Defaults!MR14*Obligors!$G$14*Obligors!$H$14</f>
        <v/>
      </c>
      <c r="MS14" s="21">
        <f>Defaults!MS14*Obligors!$G$14*Obligors!$H$14</f>
        <v/>
      </c>
      <c r="MT14" s="21">
        <f>Defaults!MT14*Obligors!$G$14*Obligors!$H$14</f>
        <v/>
      </c>
      <c r="MU14" s="21">
        <f>Defaults!MU14*Obligors!$G$14*Obligors!$H$14</f>
        <v/>
      </c>
      <c r="MV14" s="21">
        <f>Defaults!MV14*Obligors!$G$14*Obligors!$H$14</f>
        <v/>
      </c>
      <c r="MW14" s="21">
        <f>Defaults!MW14*Obligors!$G$14*Obligors!$H$14</f>
        <v/>
      </c>
      <c r="MX14" s="21">
        <f>Defaults!MX14*Obligors!$G$14*Obligors!$H$14</f>
        <v/>
      </c>
      <c r="MY14" s="21">
        <f>Defaults!MY14*Obligors!$G$14*Obligors!$H$14</f>
        <v/>
      </c>
      <c r="MZ14" s="21">
        <f>Defaults!MZ14*Obligors!$G$14*Obligors!$H$14</f>
        <v/>
      </c>
      <c r="NA14" s="21">
        <f>Defaults!NA14*Obligors!$G$14*Obligors!$H$14</f>
        <v/>
      </c>
      <c r="NB14" s="21">
        <f>Defaults!NB14*Obligors!$G$14*Obligors!$H$14</f>
        <v/>
      </c>
      <c r="NC14" s="21">
        <f>Defaults!NC14*Obligors!$G$14*Obligors!$H$14</f>
        <v/>
      </c>
      <c r="ND14" s="21">
        <f>Defaults!ND14*Obligors!$G$14*Obligors!$H$14</f>
        <v/>
      </c>
      <c r="NE14" s="21">
        <f>Defaults!NE14*Obligors!$G$14*Obligors!$H$14</f>
        <v/>
      </c>
      <c r="NF14" s="21">
        <f>Defaults!NF14*Obligors!$G$14*Obligors!$H$14</f>
        <v/>
      </c>
      <c r="NG14" s="21">
        <f>Defaults!NG14*Obligors!$G$14*Obligors!$H$14</f>
        <v/>
      </c>
      <c r="NH14" s="21">
        <f>Defaults!NH14*Obligors!$G$14*Obligors!$H$14</f>
        <v/>
      </c>
      <c r="NI14" s="21">
        <f>Defaults!NI14*Obligors!$G$14*Obligors!$H$14</f>
        <v/>
      </c>
      <c r="NJ14" s="21">
        <f>Defaults!NJ14*Obligors!$G$14*Obligors!$H$14</f>
        <v/>
      </c>
      <c r="NK14" s="21">
        <f>Defaults!NK14*Obligors!$G$14*Obligors!$H$14</f>
        <v/>
      </c>
      <c r="NL14" s="21">
        <f>Defaults!NL14*Obligors!$G$14*Obligors!$H$14</f>
        <v/>
      </c>
      <c r="NM14" s="21">
        <f>Defaults!NM14*Obligors!$G$14*Obligors!$H$14</f>
        <v/>
      </c>
      <c r="NN14" s="21">
        <f>Defaults!NN14*Obligors!$G$14*Obligors!$H$14</f>
        <v/>
      </c>
      <c r="NO14" s="21">
        <f>Defaults!NO14*Obligors!$G$14*Obligors!$H$14</f>
        <v/>
      </c>
      <c r="NP14" s="21">
        <f>Defaults!NP14*Obligors!$G$14*Obligors!$H$14</f>
        <v/>
      </c>
      <c r="NQ14" s="21">
        <f>Defaults!NQ14*Obligors!$G$14*Obligors!$H$14</f>
        <v/>
      </c>
      <c r="NR14" s="21">
        <f>Defaults!NR14*Obligors!$G$14*Obligors!$H$14</f>
        <v/>
      </c>
      <c r="NS14" s="21">
        <f>Defaults!NS14*Obligors!$G$14*Obligors!$H$14</f>
        <v/>
      </c>
      <c r="NT14" s="21">
        <f>Defaults!NT14*Obligors!$G$14*Obligors!$H$14</f>
        <v/>
      </c>
      <c r="NU14" s="21">
        <f>Defaults!NU14*Obligors!$G$14*Obligors!$H$14</f>
        <v/>
      </c>
      <c r="NV14" s="21">
        <f>Defaults!NV14*Obligors!$G$14*Obligors!$H$14</f>
        <v/>
      </c>
      <c r="NW14" s="21">
        <f>Defaults!NW14*Obligors!$G$14*Obligors!$H$14</f>
        <v/>
      </c>
      <c r="NX14" s="21">
        <f>Defaults!NX14*Obligors!$G$14*Obligors!$H$14</f>
        <v/>
      </c>
      <c r="NY14" s="21">
        <f>Defaults!NY14*Obligors!$G$14*Obligors!$H$14</f>
        <v/>
      </c>
      <c r="NZ14" s="21">
        <f>Defaults!NZ14*Obligors!$G$14*Obligors!$H$14</f>
        <v/>
      </c>
      <c r="OA14" s="21">
        <f>Defaults!OA14*Obligors!$G$14*Obligors!$H$14</f>
        <v/>
      </c>
      <c r="OB14" s="21">
        <f>Defaults!OB14*Obligors!$G$14*Obligors!$H$14</f>
        <v/>
      </c>
      <c r="OC14" s="21">
        <f>Defaults!OC14*Obligors!$G$14*Obligors!$H$14</f>
        <v/>
      </c>
      <c r="OD14" s="21">
        <f>Defaults!OD14*Obligors!$G$14*Obligors!$H$14</f>
        <v/>
      </c>
      <c r="OE14" s="21">
        <f>Defaults!OE14*Obligors!$G$14*Obligors!$H$14</f>
        <v/>
      </c>
      <c r="OF14" s="21">
        <f>Defaults!OF14*Obligors!$G$14*Obligors!$H$14</f>
        <v/>
      </c>
      <c r="OG14" s="21">
        <f>Defaults!OG14*Obligors!$G$14*Obligors!$H$14</f>
        <v/>
      </c>
      <c r="OH14" s="21">
        <f>Defaults!OH14*Obligors!$G$14*Obligors!$H$14</f>
        <v/>
      </c>
      <c r="OI14" s="21">
        <f>Defaults!OI14*Obligors!$G$14*Obligors!$H$14</f>
        <v/>
      </c>
      <c r="OJ14" s="21">
        <f>Defaults!OJ14*Obligors!$G$14*Obligors!$H$14</f>
        <v/>
      </c>
      <c r="OK14" s="21">
        <f>Defaults!OK14*Obligors!$G$14*Obligors!$H$14</f>
        <v/>
      </c>
      <c r="OL14" s="21">
        <f>Defaults!OL14*Obligors!$G$14*Obligors!$H$14</f>
        <v/>
      </c>
      <c r="OM14" s="21">
        <f>Defaults!OM14*Obligors!$G$14*Obligors!$H$14</f>
        <v/>
      </c>
      <c r="ON14" s="21">
        <f>Defaults!ON14*Obligors!$G$14*Obligors!$H$14</f>
        <v/>
      </c>
      <c r="OO14" s="21">
        <f>Defaults!OO14*Obligors!$G$14*Obligors!$H$14</f>
        <v/>
      </c>
      <c r="OP14" s="21">
        <f>Defaults!OP14*Obligors!$G$14*Obligors!$H$14</f>
        <v/>
      </c>
      <c r="OQ14" s="21">
        <f>Defaults!OQ14*Obligors!$G$14*Obligors!$H$14</f>
        <v/>
      </c>
      <c r="OR14" s="21">
        <f>Defaults!OR14*Obligors!$G$14*Obligors!$H$14</f>
        <v/>
      </c>
      <c r="OS14" s="21">
        <f>Defaults!OS14*Obligors!$G$14*Obligors!$H$14</f>
        <v/>
      </c>
      <c r="OT14" s="21">
        <f>Defaults!OT14*Obligors!$G$14*Obligors!$H$14</f>
        <v/>
      </c>
      <c r="OU14" s="21">
        <f>Defaults!OU14*Obligors!$G$14*Obligors!$H$14</f>
        <v/>
      </c>
      <c r="OV14" s="21">
        <f>Defaults!OV14*Obligors!$G$14*Obligors!$H$14</f>
        <v/>
      </c>
      <c r="OW14" s="21">
        <f>Defaults!OW14*Obligors!$G$14*Obligors!$H$14</f>
        <v/>
      </c>
      <c r="OX14" s="21">
        <f>Defaults!OX14*Obligors!$G$14*Obligors!$H$14</f>
        <v/>
      </c>
      <c r="OY14" s="21">
        <f>Defaults!OY14*Obligors!$G$14*Obligors!$H$14</f>
        <v/>
      </c>
      <c r="OZ14" s="21">
        <f>Defaults!OZ14*Obligors!$G$14*Obligors!$H$14</f>
        <v/>
      </c>
      <c r="PA14" s="21">
        <f>Defaults!PA14*Obligors!$G$14*Obligors!$H$14</f>
        <v/>
      </c>
      <c r="PB14" s="21">
        <f>Defaults!PB14*Obligors!$G$14*Obligors!$H$14</f>
        <v/>
      </c>
      <c r="PC14" s="21">
        <f>Defaults!PC14*Obligors!$G$14*Obligors!$H$14</f>
        <v/>
      </c>
      <c r="PD14" s="21">
        <f>Defaults!PD14*Obligors!$G$14*Obligors!$H$14</f>
        <v/>
      </c>
      <c r="PE14" s="21">
        <f>Defaults!PE14*Obligors!$G$14*Obligors!$H$14</f>
        <v/>
      </c>
      <c r="PF14" s="21">
        <f>Defaults!PF14*Obligors!$G$14*Obligors!$H$14</f>
        <v/>
      </c>
      <c r="PG14" s="21">
        <f>Defaults!PG14*Obligors!$G$14*Obligors!$H$14</f>
        <v/>
      </c>
      <c r="PH14" s="21">
        <f>Defaults!PH14*Obligors!$G$14*Obligors!$H$14</f>
        <v/>
      </c>
      <c r="PI14" s="21">
        <f>Defaults!PI14*Obligors!$G$14*Obligors!$H$14</f>
        <v/>
      </c>
      <c r="PJ14" s="21">
        <f>Defaults!PJ14*Obligors!$G$14*Obligors!$H$14</f>
        <v/>
      </c>
      <c r="PK14" s="21">
        <f>Defaults!PK14*Obligors!$G$14*Obligors!$H$14</f>
        <v/>
      </c>
      <c r="PL14" s="21">
        <f>Defaults!PL14*Obligors!$G$14*Obligors!$H$14</f>
        <v/>
      </c>
      <c r="PM14" s="21">
        <f>Defaults!PM14*Obligors!$G$14*Obligors!$H$14</f>
        <v/>
      </c>
      <c r="PN14" s="21">
        <f>Defaults!PN14*Obligors!$G$14*Obligors!$H$14</f>
        <v/>
      </c>
      <c r="PO14" s="21">
        <f>Defaults!PO14*Obligors!$G$14*Obligors!$H$14</f>
        <v/>
      </c>
      <c r="PP14" s="21">
        <f>Defaults!PP14*Obligors!$G$14*Obligors!$H$14</f>
        <v/>
      </c>
      <c r="PQ14" s="21">
        <f>Defaults!PQ14*Obligors!$G$14*Obligors!$H$14</f>
        <v/>
      </c>
      <c r="PR14" s="21">
        <f>Defaults!PR14*Obligors!$G$14*Obligors!$H$14</f>
        <v/>
      </c>
      <c r="PS14" s="21">
        <f>Defaults!PS14*Obligors!$G$14*Obligors!$H$14</f>
        <v/>
      </c>
      <c r="PT14" s="21">
        <f>Defaults!PT14*Obligors!$G$14*Obligors!$H$14</f>
        <v/>
      </c>
      <c r="PU14" s="21">
        <f>Defaults!PU14*Obligors!$G$14*Obligors!$H$14</f>
        <v/>
      </c>
      <c r="PV14" s="21">
        <f>Defaults!PV14*Obligors!$G$14*Obligors!$H$14</f>
        <v/>
      </c>
      <c r="PW14" s="21">
        <f>Defaults!PW14*Obligors!$G$14*Obligors!$H$14</f>
        <v/>
      </c>
      <c r="PX14" s="21">
        <f>Defaults!PX14*Obligors!$G$14*Obligors!$H$14</f>
        <v/>
      </c>
      <c r="PY14" s="21">
        <f>Defaults!PY14*Obligors!$G$14*Obligors!$H$14</f>
        <v/>
      </c>
      <c r="PZ14" s="21">
        <f>Defaults!PZ14*Obligors!$G$14*Obligors!$H$14</f>
        <v/>
      </c>
      <c r="QA14" s="21">
        <f>Defaults!QA14*Obligors!$G$14*Obligors!$H$14</f>
        <v/>
      </c>
      <c r="QB14" s="21">
        <f>Defaults!QB14*Obligors!$G$14*Obligors!$H$14</f>
        <v/>
      </c>
      <c r="QC14" s="21">
        <f>Defaults!QC14*Obligors!$G$14*Obligors!$H$14</f>
        <v/>
      </c>
      <c r="QD14" s="21">
        <f>Defaults!QD14*Obligors!$G$14*Obligors!$H$14</f>
        <v/>
      </c>
      <c r="QE14" s="21">
        <f>Defaults!QE14*Obligors!$G$14*Obligors!$H$14</f>
        <v/>
      </c>
      <c r="QF14" s="21">
        <f>Defaults!QF14*Obligors!$G$14*Obligors!$H$14</f>
        <v/>
      </c>
      <c r="QG14" s="21">
        <f>Defaults!QG14*Obligors!$G$14*Obligors!$H$14</f>
        <v/>
      </c>
      <c r="QH14" s="21">
        <f>Defaults!QH14*Obligors!$G$14*Obligors!$H$14</f>
        <v/>
      </c>
      <c r="QI14" s="21">
        <f>Defaults!QI14*Obligors!$G$14*Obligors!$H$14</f>
        <v/>
      </c>
      <c r="QJ14" s="21">
        <f>Defaults!QJ14*Obligors!$G$14*Obligors!$H$14</f>
        <v/>
      </c>
      <c r="QK14" s="21">
        <f>Defaults!QK14*Obligors!$G$14*Obligors!$H$14</f>
        <v/>
      </c>
      <c r="QL14" s="21">
        <f>Defaults!QL14*Obligors!$G$14*Obligors!$H$14</f>
        <v/>
      </c>
      <c r="QM14" s="21">
        <f>Defaults!QM14*Obligors!$G$14*Obligors!$H$14</f>
        <v/>
      </c>
      <c r="QN14" s="21">
        <f>Defaults!QN14*Obligors!$G$14*Obligors!$H$14</f>
        <v/>
      </c>
      <c r="QO14" s="21">
        <f>Defaults!QO14*Obligors!$G$14*Obligors!$H$14</f>
        <v/>
      </c>
      <c r="QP14" s="21">
        <f>Defaults!QP14*Obligors!$G$14*Obligors!$H$14</f>
        <v/>
      </c>
      <c r="QQ14" s="21">
        <f>Defaults!QQ14*Obligors!$G$14*Obligors!$H$14</f>
        <v/>
      </c>
      <c r="QR14" s="21">
        <f>Defaults!QR14*Obligors!$G$14*Obligors!$H$14</f>
        <v/>
      </c>
      <c r="QS14" s="21">
        <f>Defaults!QS14*Obligors!$G$14*Obligors!$H$14</f>
        <v/>
      </c>
      <c r="QT14" s="21">
        <f>Defaults!QT14*Obligors!$G$14*Obligors!$H$14</f>
        <v/>
      </c>
      <c r="QU14" s="21">
        <f>Defaults!QU14*Obligors!$G$14*Obligors!$H$14</f>
        <v/>
      </c>
      <c r="QV14" s="21">
        <f>Defaults!QV14*Obligors!$G$14*Obligors!$H$14</f>
        <v/>
      </c>
      <c r="QW14" s="21">
        <f>Defaults!QW14*Obligors!$G$14*Obligors!$H$14</f>
        <v/>
      </c>
      <c r="QX14" s="21">
        <f>Defaults!QX14*Obligors!$G$14*Obligors!$H$14</f>
        <v/>
      </c>
      <c r="QY14" s="21">
        <f>Defaults!QY14*Obligors!$G$14*Obligors!$H$14</f>
        <v/>
      </c>
      <c r="QZ14" s="21">
        <f>Defaults!QZ14*Obligors!$G$14*Obligors!$H$14</f>
        <v/>
      </c>
      <c r="RA14" s="21">
        <f>Defaults!RA14*Obligors!$G$14*Obligors!$H$14</f>
        <v/>
      </c>
      <c r="RB14" s="21">
        <f>Defaults!RB14*Obligors!$G$14*Obligors!$H$14</f>
        <v/>
      </c>
      <c r="RC14" s="21">
        <f>Defaults!RC14*Obligors!$G$14*Obligors!$H$14</f>
        <v/>
      </c>
      <c r="RD14" s="21">
        <f>Defaults!RD14*Obligors!$G$14*Obligors!$H$14</f>
        <v/>
      </c>
      <c r="RE14" s="21">
        <f>Defaults!RE14*Obligors!$G$14*Obligors!$H$14</f>
        <v/>
      </c>
      <c r="RF14" s="21">
        <f>Defaults!RF14*Obligors!$G$14*Obligors!$H$14</f>
        <v/>
      </c>
      <c r="RG14" s="21">
        <f>Defaults!RG14*Obligors!$G$14*Obligors!$H$14</f>
        <v/>
      </c>
      <c r="RH14" s="21">
        <f>Defaults!RH14*Obligors!$G$14*Obligors!$H$14</f>
        <v/>
      </c>
      <c r="RI14" s="21">
        <f>Defaults!RI14*Obligors!$G$14*Obligors!$H$14</f>
        <v/>
      </c>
      <c r="RJ14" s="21">
        <f>Defaults!RJ14*Obligors!$G$14*Obligors!$H$14</f>
        <v/>
      </c>
      <c r="RK14" s="21">
        <f>Defaults!RK14*Obligors!$G$14*Obligors!$H$14</f>
        <v/>
      </c>
      <c r="RL14" s="21">
        <f>Defaults!RL14*Obligors!$G$14*Obligors!$H$14</f>
        <v/>
      </c>
      <c r="RM14" s="21">
        <f>Defaults!RM14*Obligors!$G$14*Obligors!$H$14</f>
        <v/>
      </c>
      <c r="RN14" s="21">
        <f>Defaults!RN14*Obligors!$G$14*Obligors!$H$14</f>
        <v/>
      </c>
      <c r="RO14" s="21">
        <f>Defaults!RO14*Obligors!$G$14*Obligors!$H$14</f>
        <v/>
      </c>
      <c r="RP14" s="21">
        <f>Defaults!RP14*Obligors!$G$14*Obligors!$H$14</f>
        <v/>
      </c>
      <c r="RQ14" s="21">
        <f>Defaults!RQ14*Obligors!$G$14*Obligors!$H$14</f>
        <v/>
      </c>
      <c r="RR14" s="21">
        <f>Defaults!RR14*Obligors!$G$14*Obligors!$H$14</f>
        <v/>
      </c>
      <c r="RS14" s="21">
        <f>Defaults!RS14*Obligors!$G$14*Obligors!$H$14</f>
        <v/>
      </c>
      <c r="RT14" s="21">
        <f>Defaults!RT14*Obligors!$G$14*Obligors!$H$14</f>
        <v/>
      </c>
      <c r="RU14" s="21">
        <f>Defaults!RU14*Obligors!$G$14*Obligors!$H$14</f>
        <v/>
      </c>
      <c r="RV14" s="21">
        <f>Defaults!RV14*Obligors!$G$14*Obligors!$H$14</f>
        <v/>
      </c>
      <c r="RW14" s="21">
        <f>Defaults!RW14*Obligors!$G$14*Obligors!$H$14</f>
        <v/>
      </c>
      <c r="RX14" s="21">
        <f>Defaults!RX14*Obligors!$G$14*Obligors!$H$14</f>
        <v/>
      </c>
      <c r="RY14" s="21">
        <f>Defaults!RY14*Obligors!$G$14*Obligors!$H$14</f>
        <v/>
      </c>
      <c r="RZ14" s="21">
        <f>Defaults!RZ14*Obligors!$G$14*Obligors!$H$14</f>
        <v/>
      </c>
      <c r="SA14" s="21">
        <f>Defaults!SA14*Obligors!$G$14*Obligors!$H$14</f>
        <v/>
      </c>
      <c r="SB14" s="21">
        <f>Defaults!SB14*Obligors!$G$14*Obligors!$H$14</f>
        <v/>
      </c>
      <c r="SC14" s="21">
        <f>Defaults!SC14*Obligors!$G$14*Obligors!$H$14</f>
        <v/>
      </c>
      <c r="SD14" s="21">
        <f>Defaults!SD14*Obligors!$G$14*Obligors!$H$14</f>
        <v/>
      </c>
      <c r="SE14" s="21">
        <f>Defaults!SE14*Obligors!$G$14*Obligors!$H$14</f>
        <v/>
      </c>
      <c r="SF14" s="21">
        <f>Defaults!SF14*Obligors!$G$14*Obligors!$H$14</f>
        <v/>
      </c>
      <c r="SG14" s="21">
        <f>Defaults!SG14*Obligors!$G$14*Obligors!$H$14</f>
        <v/>
      </c>
    </row>
    <row r="15">
      <c r="A15" s="17" t="inlineStr">
        <is>
          <t>OBL-014</t>
        </is>
      </c>
      <c r="B15" s="21">
        <f>Defaults!B15*Obligors!$G$15*Obligors!$H$15</f>
        <v/>
      </c>
      <c r="C15" s="21">
        <f>Defaults!C15*Obligors!$G$15*Obligors!$H$15</f>
        <v/>
      </c>
      <c r="D15" s="21">
        <f>Defaults!D15*Obligors!$G$15*Obligors!$H$15</f>
        <v/>
      </c>
      <c r="E15" s="21">
        <f>Defaults!E15*Obligors!$G$15*Obligors!$H$15</f>
        <v/>
      </c>
      <c r="F15" s="21">
        <f>Defaults!F15*Obligors!$G$15*Obligors!$H$15</f>
        <v/>
      </c>
      <c r="G15" s="21">
        <f>Defaults!G15*Obligors!$G$15*Obligors!$H$15</f>
        <v/>
      </c>
      <c r="H15" s="21">
        <f>Defaults!H15*Obligors!$G$15*Obligors!$H$15</f>
        <v/>
      </c>
      <c r="I15" s="21">
        <f>Defaults!I15*Obligors!$G$15*Obligors!$H$15</f>
        <v/>
      </c>
      <c r="J15" s="21">
        <f>Defaults!J15*Obligors!$G$15*Obligors!$H$15</f>
        <v/>
      </c>
      <c r="K15" s="21">
        <f>Defaults!K15*Obligors!$G$15*Obligors!$H$15</f>
        <v/>
      </c>
      <c r="L15" s="21">
        <f>Defaults!L15*Obligors!$G$15*Obligors!$H$15</f>
        <v/>
      </c>
      <c r="M15" s="21">
        <f>Defaults!M15*Obligors!$G$15*Obligors!$H$15</f>
        <v/>
      </c>
      <c r="N15" s="21">
        <f>Defaults!N15*Obligors!$G$15*Obligors!$H$15</f>
        <v/>
      </c>
      <c r="O15" s="21">
        <f>Defaults!O15*Obligors!$G$15*Obligors!$H$15</f>
        <v/>
      </c>
      <c r="P15" s="21">
        <f>Defaults!P15*Obligors!$G$15*Obligors!$H$15</f>
        <v/>
      </c>
      <c r="Q15" s="21">
        <f>Defaults!Q15*Obligors!$G$15*Obligors!$H$15</f>
        <v/>
      </c>
      <c r="R15" s="21">
        <f>Defaults!R15*Obligors!$G$15*Obligors!$H$15</f>
        <v/>
      </c>
      <c r="S15" s="21">
        <f>Defaults!S15*Obligors!$G$15*Obligors!$H$15</f>
        <v/>
      </c>
      <c r="T15" s="21">
        <f>Defaults!T15*Obligors!$G$15*Obligors!$H$15</f>
        <v/>
      </c>
      <c r="U15" s="21">
        <f>Defaults!U15*Obligors!$G$15*Obligors!$H$15</f>
        <v/>
      </c>
      <c r="V15" s="21">
        <f>Defaults!V15*Obligors!$G$15*Obligors!$H$15</f>
        <v/>
      </c>
      <c r="W15" s="21">
        <f>Defaults!W15*Obligors!$G$15*Obligors!$H$15</f>
        <v/>
      </c>
      <c r="X15" s="21">
        <f>Defaults!X15*Obligors!$G$15*Obligors!$H$15</f>
        <v/>
      </c>
      <c r="Y15" s="21">
        <f>Defaults!Y15*Obligors!$G$15*Obligors!$H$15</f>
        <v/>
      </c>
      <c r="Z15" s="21">
        <f>Defaults!Z15*Obligors!$G$15*Obligors!$H$15</f>
        <v/>
      </c>
      <c r="AA15" s="21">
        <f>Defaults!AA15*Obligors!$G$15*Obligors!$H$15</f>
        <v/>
      </c>
      <c r="AB15" s="21">
        <f>Defaults!AB15*Obligors!$G$15*Obligors!$H$15</f>
        <v/>
      </c>
      <c r="AC15" s="21">
        <f>Defaults!AC15*Obligors!$G$15*Obligors!$H$15</f>
        <v/>
      </c>
      <c r="AD15" s="21">
        <f>Defaults!AD15*Obligors!$G$15*Obligors!$H$15</f>
        <v/>
      </c>
      <c r="AE15" s="21">
        <f>Defaults!AE15*Obligors!$G$15*Obligors!$H$15</f>
        <v/>
      </c>
      <c r="AF15" s="21">
        <f>Defaults!AF15*Obligors!$G$15*Obligors!$H$15</f>
        <v/>
      </c>
      <c r="AG15" s="21">
        <f>Defaults!AG15*Obligors!$G$15*Obligors!$H$15</f>
        <v/>
      </c>
      <c r="AH15" s="21">
        <f>Defaults!AH15*Obligors!$G$15*Obligors!$H$15</f>
        <v/>
      </c>
      <c r="AI15" s="21">
        <f>Defaults!AI15*Obligors!$G$15*Obligors!$H$15</f>
        <v/>
      </c>
      <c r="AJ15" s="21">
        <f>Defaults!AJ15*Obligors!$G$15*Obligors!$H$15</f>
        <v/>
      </c>
      <c r="AK15" s="21">
        <f>Defaults!AK15*Obligors!$G$15*Obligors!$H$15</f>
        <v/>
      </c>
      <c r="AL15" s="21">
        <f>Defaults!AL15*Obligors!$G$15*Obligors!$H$15</f>
        <v/>
      </c>
      <c r="AM15" s="21">
        <f>Defaults!AM15*Obligors!$G$15*Obligors!$H$15</f>
        <v/>
      </c>
      <c r="AN15" s="21">
        <f>Defaults!AN15*Obligors!$G$15*Obligors!$H$15</f>
        <v/>
      </c>
      <c r="AO15" s="21">
        <f>Defaults!AO15*Obligors!$G$15*Obligors!$H$15</f>
        <v/>
      </c>
      <c r="AP15" s="21">
        <f>Defaults!AP15*Obligors!$G$15*Obligors!$H$15</f>
        <v/>
      </c>
      <c r="AQ15" s="21">
        <f>Defaults!AQ15*Obligors!$G$15*Obligors!$H$15</f>
        <v/>
      </c>
      <c r="AR15" s="21">
        <f>Defaults!AR15*Obligors!$G$15*Obligors!$H$15</f>
        <v/>
      </c>
      <c r="AS15" s="21">
        <f>Defaults!AS15*Obligors!$G$15*Obligors!$H$15</f>
        <v/>
      </c>
      <c r="AT15" s="21">
        <f>Defaults!AT15*Obligors!$G$15*Obligors!$H$15</f>
        <v/>
      </c>
      <c r="AU15" s="21">
        <f>Defaults!AU15*Obligors!$G$15*Obligors!$H$15</f>
        <v/>
      </c>
      <c r="AV15" s="21">
        <f>Defaults!AV15*Obligors!$G$15*Obligors!$H$15</f>
        <v/>
      </c>
      <c r="AW15" s="21">
        <f>Defaults!AW15*Obligors!$G$15*Obligors!$H$15</f>
        <v/>
      </c>
      <c r="AX15" s="21">
        <f>Defaults!AX15*Obligors!$G$15*Obligors!$H$15</f>
        <v/>
      </c>
      <c r="AY15" s="21">
        <f>Defaults!AY15*Obligors!$G$15*Obligors!$H$15</f>
        <v/>
      </c>
      <c r="AZ15" s="21">
        <f>Defaults!AZ15*Obligors!$G$15*Obligors!$H$15</f>
        <v/>
      </c>
      <c r="BA15" s="21">
        <f>Defaults!BA15*Obligors!$G$15*Obligors!$H$15</f>
        <v/>
      </c>
      <c r="BB15" s="21">
        <f>Defaults!BB15*Obligors!$G$15*Obligors!$H$15</f>
        <v/>
      </c>
      <c r="BC15" s="21">
        <f>Defaults!BC15*Obligors!$G$15*Obligors!$H$15</f>
        <v/>
      </c>
      <c r="BD15" s="21">
        <f>Defaults!BD15*Obligors!$G$15*Obligors!$H$15</f>
        <v/>
      </c>
      <c r="BE15" s="21">
        <f>Defaults!BE15*Obligors!$G$15*Obligors!$H$15</f>
        <v/>
      </c>
      <c r="BF15" s="21">
        <f>Defaults!BF15*Obligors!$G$15*Obligors!$H$15</f>
        <v/>
      </c>
      <c r="BG15" s="21">
        <f>Defaults!BG15*Obligors!$G$15*Obligors!$H$15</f>
        <v/>
      </c>
      <c r="BH15" s="21">
        <f>Defaults!BH15*Obligors!$G$15*Obligors!$H$15</f>
        <v/>
      </c>
      <c r="BI15" s="21">
        <f>Defaults!BI15*Obligors!$G$15*Obligors!$H$15</f>
        <v/>
      </c>
      <c r="BJ15" s="21">
        <f>Defaults!BJ15*Obligors!$G$15*Obligors!$H$15</f>
        <v/>
      </c>
      <c r="BK15" s="21">
        <f>Defaults!BK15*Obligors!$G$15*Obligors!$H$15</f>
        <v/>
      </c>
      <c r="BL15" s="21">
        <f>Defaults!BL15*Obligors!$G$15*Obligors!$H$15</f>
        <v/>
      </c>
      <c r="BM15" s="21">
        <f>Defaults!BM15*Obligors!$G$15*Obligors!$H$15</f>
        <v/>
      </c>
      <c r="BN15" s="21">
        <f>Defaults!BN15*Obligors!$G$15*Obligors!$H$15</f>
        <v/>
      </c>
      <c r="BO15" s="21">
        <f>Defaults!BO15*Obligors!$G$15*Obligors!$H$15</f>
        <v/>
      </c>
      <c r="BP15" s="21">
        <f>Defaults!BP15*Obligors!$G$15*Obligors!$H$15</f>
        <v/>
      </c>
      <c r="BQ15" s="21">
        <f>Defaults!BQ15*Obligors!$G$15*Obligors!$H$15</f>
        <v/>
      </c>
      <c r="BR15" s="21">
        <f>Defaults!BR15*Obligors!$G$15*Obligors!$H$15</f>
        <v/>
      </c>
      <c r="BS15" s="21">
        <f>Defaults!BS15*Obligors!$G$15*Obligors!$H$15</f>
        <v/>
      </c>
      <c r="BT15" s="21">
        <f>Defaults!BT15*Obligors!$G$15*Obligors!$H$15</f>
        <v/>
      </c>
      <c r="BU15" s="21">
        <f>Defaults!BU15*Obligors!$G$15*Obligors!$H$15</f>
        <v/>
      </c>
      <c r="BV15" s="21">
        <f>Defaults!BV15*Obligors!$G$15*Obligors!$H$15</f>
        <v/>
      </c>
      <c r="BW15" s="21">
        <f>Defaults!BW15*Obligors!$G$15*Obligors!$H$15</f>
        <v/>
      </c>
      <c r="BX15" s="21">
        <f>Defaults!BX15*Obligors!$G$15*Obligors!$H$15</f>
        <v/>
      </c>
      <c r="BY15" s="21">
        <f>Defaults!BY15*Obligors!$G$15*Obligors!$H$15</f>
        <v/>
      </c>
      <c r="BZ15" s="21">
        <f>Defaults!BZ15*Obligors!$G$15*Obligors!$H$15</f>
        <v/>
      </c>
      <c r="CA15" s="21">
        <f>Defaults!CA15*Obligors!$G$15*Obligors!$H$15</f>
        <v/>
      </c>
      <c r="CB15" s="21">
        <f>Defaults!CB15*Obligors!$G$15*Obligors!$H$15</f>
        <v/>
      </c>
      <c r="CC15" s="21">
        <f>Defaults!CC15*Obligors!$G$15*Obligors!$H$15</f>
        <v/>
      </c>
      <c r="CD15" s="21">
        <f>Defaults!CD15*Obligors!$G$15*Obligors!$H$15</f>
        <v/>
      </c>
      <c r="CE15" s="21">
        <f>Defaults!CE15*Obligors!$G$15*Obligors!$H$15</f>
        <v/>
      </c>
      <c r="CF15" s="21">
        <f>Defaults!CF15*Obligors!$G$15*Obligors!$H$15</f>
        <v/>
      </c>
      <c r="CG15" s="21">
        <f>Defaults!CG15*Obligors!$G$15*Obligors!$H$15</f>
        <v/>
      </c>
      <c r="CH15" s="21">
        <f>Defaults!CH15*Obligors!$G$15*Obligors!$H$15</f>
        <v/>
      </c>
      <c r="CI15" s="21">
        <f>Defaults!CI15*Obligors!$G$15*Obligors!$H$15</f>
        <v/>
      </c>
      <c r="CJ15" s="21">
        <f>Defaults!CJ15*Obligors!$G$15*Obligors!$H$15</f>
        <v/>
      </c>
      <c r="CK15" s="21">
        <f>Defaults!CK15*Obligors!$G$15*Obligors!$H$15</f>
        <v/>
      </c>
      <c r="CL15" s="21">
        <f>Defaults!CL15*Obligors!$G$15*Obligors!$H$15</f>
        <v/>
      </c>
      <c r="CM15" s="21">
        <f>Defaults!CM15*Obligors!$G$15*Obligors!$H$15</f>
        <v/>
      </c>
      <c r="CN15" s="21">
        <f>Defaults!CN15*Obligors!$G$15*Obligors!$H$15</f>
        <v/>
      </c>
      <c r="CO15" s="21">
        <f>Defaults!CO15*Obligors!$G$15*Obligors!$H$15</f>
        <v/>
      </c>
      <c r="CP15" s="21">
        <f>Defaults!CP15*Obligors!$G$15*Obligors!$H$15</f>
        <v/>
      </c>
      <c r="CQ15" s="21">
        <f>Defaults!CQ15*Obligors!$G$15*Obligors!$H$15</f>
        <v/>
      </c>
      <c r="CR15" s="21">
        <f>Defaults!CR15*Obligors!$G$15*Obligors!$H$15</f>
        <v/>
      </c>
      <c r="CS15" s="21">
        <f>Defaults!CS15*Obligors!$G$15*Obligors!$H$15</f>
        <v/>
      </c>
      <c r="CT15" s="21">
        <f>Defaults!CT15*Obligors!$G$15*Obligors!$H$15</f>
        <v/>
      </c>
      <c r="CU15" s="21">
        <f>Defaults!CU15*Obligors!$G$15*Obligors!$H$15</f>
        <v/>
      </c>
      <c r="CV15" s="21">
        <f>Defaults!CV15*Obligors!$G$15*Obligors!$H$15</f>
        <v/>
      </c>
      <c r="CW15" s="21">
        <f>Defaults!CW15*Obligors!$G$15*Obligors!$H$15</f>
        <v/>
      </c>
      <c r="CX15" s="21">
        <f>Defaults!CX15*Obligors!$G$15*Obligors!$H$15</f>
        <v/>
      </c>
      <c r="CY15" s="21">
        <f>Defaults!CY15*Obligors!$G$15*Obligors!$H$15</f>
        <v/>
      </c>
      <c r="CZ15" s="21">
        <f>Defaults!CZ15*Obligors!$G$15*Obligors!$H$15</f>
        <v/>
      </c>
      <c r="DA15" s="21">
        <f>Defaults!DA15*Obligors!$G$15*Obligors!$H$15</f>
        <v/>
      </c>
      <c r="DB15" s="21">
        <f>Defaults!DB15*Obligors!$G$15*Obligors!$H$15</f>
        <v/>
      </c>
      <c r="DC15" s="21">
        <f>Defaults!DC15*Obligors!$G$15*Obligors!$H$15</f>
        <v/>
      </c>
      <c r="DD15" s="21">
        <f>Defaults!DD15*Obligors!$G$15*Obligors!$H$15</f>
        <v/>
      </c>
      <c r="DE15" s="21">
        <f>Defaults!DE15*Obligors!$G$15*Obligors!$H$15</f>
        <v/>
      </c>
      <c r="DF15" s="21">
        <f>Defaults!DF15*Obligors!$G$15*Obligors!$H$15</f>
        <v/>
      </c>
      <c r="DG15" s="21">
        <f>Defaults!DG15*Obligors!$G$15*Obligors!$H$15</f>
        <v/>
      </c>
      <c r="DH15" s="21">
        <f>Defaults!DH15*Obligors!$G$15*Obligors!$H$15</f>
        <v/>
      </c>
      <c r="DI15" s="21">
        <f>Defaults!DI15*Obligors!$G$15*Obligors!$H$15</f>
        <v/>
      </c>
      <c r="DJ15" s="21">
        <f>Defaults!DJ15*Obligors!$G$15*Obligors!$H$15</f>
        <v/>
      </c>
      <c r="DK15" s="21">
        <f>Defaults!DK15*Obligors!$G$15*Obligors!$H$15</f>
        <v/>
      </c>
      <c r="DL15" s="21">
        <f>Defaults!DL15*Obligors!$G$15*Obligors!$H$15</f>
        <v/>
      </c>
      <c r="DM15" s="21">
        <f>Defaults!DM15*Obligors!$G$15*Obligors!$H$15</f>
        <v/>
      </c>
      <c r="DN15" s="21">
        <f>Defaults!DN15*Obligors!$G$15*Obligors!$H$15</f>
        <v/>
      </c>
      <c r="DO15" s="21">
        <f>Defaults!DO15*Obligors!$G$15*Obligors!$H$15</f>
        <v/>
      </c>
      <c r="DP15" s="21">
        <f>Defaults!DP15*Obligors!$G$15*Obligors!$H$15</f>
        <v/>
      </c>
      <c r="DQ15" s="21">
        <f>Defaults!DQ15*Obligors!$G$15*Obligors!$H$15</f>
        <v/>
      </c>
      <c r="DR15" s="21">
        <f>Defaults!DR15*Obligors!$G$15*Obligors!$H$15</f>
        <v/>
      </c>
      <c r="DS15" s="21">
        <f>Defaults!DS15*Obligors!$G$15*Obligors!$H$15</f>
        <v/>
      </c>
      <c r="DT15" s="21">
        <f>Defaults!DT15*Obligors!$G$15*Obligors!$H$15</f>
        <v/>
      </c>
      <c r="DU15" s="21">
        <f>Defaults!DU15*Obligors!$G$15*Obligors!$H$15</f>
        <v/>
      </c>
      <c r="DV15" s="21">
        <f>Defaults!DV15*Obligors!$G$15*Obligors!$H$15</f>
        <v/>
      </c>
      <c r="DW15" s="21">
        <f>Defaults!DW15*Obligors!$G$15*Obligors!$H$15</f>
        <v/>
      </c>
      <c r="DX15" s="21">
        <f>Defaults!DX15*Obligors!$G$15*Obligors!$H$15</f>
        <v/>
      </c>
      <c r="DY15" s="21">
        <f>Defaults!DY15*Obligors!$G$15*Obligors!$H$15</f>
        <v/>
      </c>
      <c r="DZ15" s="21">
        <f>Defaults!DZ15*Obligors!$G$15*Obligors!$H$15</f>
        <v/>
      </c>
      <c r="EA15" s="21">
        <f>Defaults!EA15*Obligors!$G$15*Obligors!$H$15</f>
        <v/>
      </c>
      <c r="EB15" s="21">
        <f>Defaults!EB15*Obligors!$G$15*Obligors!$H$15</f>
        <v/>
      </c>
      <c r="EC15" s="21">
        <f>Defaults!EC15*Obligors!$G$15*Obligors!$H$15</f>
        <v/>
      </c>
      <c r="ED15" s="21">
        <f>Defaults!ED15*Obligors!$G$15*Obligors!$H$15</f>
        <v/>
      </c>
      <c r="EE15" s="21">
        <f>Defaults!EE15*Obligors!$G$15*Obligors!$H$15</f>
        <v/>
      </c>
      <c r="EF15" s="21">
        <f>Defaults!EF15*Obligors!$G$15*Obligors!$H$15</f>
        <v/>
      </c>
      <c r="EG15" s="21">
        <f>Defaults!EG15*Obligors!$G$15*Obligors!$H$15</f>
        <v/>
      </c>
      <c r="EH15" s="21">
        <f>Defaults!EH15*Obligors!$G$15*Obligors!$H$15</f>
        <v/>
      </c>
      <c r="EI15" s="21">
        <f>Defaults!EI15*Obligors!$G$15*Obligors!$H$15</f>
        <v/>
      </c>
      <c r="EJ15" s="21">
        <f>Defaults!EJ15*Obligors!$G$15*Obligors!$H$15</f>
        <v/>
      </c>
      <c r="EK15" s="21">
        <f>Defaults!EK15*Obligors!$G$15*Obligors!$H$15</f>
        <v/>
      </c>
      <c r="EL15" s="21">
        <f>Defaults!EL15*Obligors!$G$15*Obligors!$H$15</f>
        <v/>
      </c>
      <c r="EM15" s="21">
        <f>Defaults!EM15*Obligors!$G$15*Obligors!$H$15</f>
        <v/>
      </c>
      <c r="EN15" s="21">
        <f>Defaults!EN15*Obligors!$G$15*Obligors!$H$15</f>
        <v/>
      </c>
      <c r="EO15" s="21">
        <f>Defaults!EO15*Obligors!$G$15*Obligors!$H$15</f>
        <v/>
      </c>
      <c r="EP15" s="21">
        <f>Defaults!EP15*Obligors!$G$15*Obligors!$H$15</f>
        <v/>
      </c>
      <c r="EQ15" s="21">
        <f>Defaults!EQ15*Obligors!$G$15*Obligors!$H$15</f>
        <v/>
      </c>
      <c r="ER15" s="21">
        <f>Defaults!ER15*Obligors!$G$15*Obligors!$H$15</f>
        <v/>
      </c>
      <c r="ES15" s="21">
        <f>Defaults!ES15*Obligors!$G$15*Obligors!$H$15</f>
        <v/>
      </c>
      <c r="ET15" s="21">
        <f>Defaults!ET15*Obligors!$G$15*Obligors!$H$15</f>
        <v/>
      </c>
      <c r="EU15" s="21">
        <f>Defaults!EU15*Obligors!$G$15*Obligors!$H$15</f>
        <v/>
      </c>
      <c r="EV15" s="21">
        <f>Defaults!EV15*Obligors!$G$15*Obligors!$H$15</f>
        <v/>
      </c>
      <c r="EW15" s="21">
        <f>Defaults!EW15*Obligors!$G$15*Obligors!$H$15</f>
        <v/>
      </c>
      <c r="EX15" s="21">
        <f>Defaults!EX15*Obligors!$G$15*Obligors!$H$15</f>
        <v/>
      </c>
      <c r="EY15" s="21">
        <f>Defaults!EY15*Obligors!$G$15*Obligors!$H$15</f>
        <v/>
      </c>
      <c r="EZ15" s="21">
        <f>Defaults!EZ15*Obligors!$G$15*Obligors!$H$15</f>
        <v/>
      </c>
      <c r="FA15" s="21">
        <f>Defaults!FA15*Obligors!$G$15*Obligors!$H$15</f>
        <v/>
      </c>
      <c r="FB15" s="21">
        <f>Defaults!FB15*Obligors!$G$15*Obligors!$H$15</f>
        <v/>
      </c>
      <c r="FC15" s="21">
        <f>Defaults!FC15*Obligors!$G$15*Obligors!$H$15</f>
        <v/>
      </c>
      <c r="FD15" s="21">
        <f>Defaults!FD15*Obligors!$G$15*Obligors!$H$15</f>
        <v/>
      </c>
      <c r="FE15" s="21">
        <f>Defaults!FE15*Obligors!$G$15*Obligors!$H$15</f>
        <v/>
      </c>
      <c r="FF15" s="21">
        <f>Defaults!FF15*Obligors!$G$15*Obligors!$H$15</f>
        <v/>
      </c>
      <c r="FG15" s="21">
        <f>Defaults!FG15*Obligors!$G$15*Obligors!$H$15</f>
        <v/>
      </c>
      <c r="FH15" s="21">
        <f>Defaults!FH15*Obligors!$G$15*Obligors!$H$15</f>
        <v/>
      </c>
      <c r="FI15" s="21">
        <f>Defaults!FI15*Obligors!$G$15*Obligors!$H$15</f>
        <v/>
      </c>
      <c r="FJ15" s="21">
        <f>Defaults!FJ15*Obligors!$G$15*Obligors!$H$15</f>
        <v/>
      </c>
      <c r="FK15" s="21">
        <f>Defaults!FK15*Obligors!$G$15*Obligors!$H$15</f>
        <v/>
      </c>
      <c r="FL15" s="21">
        <f>Defaults!FL15*Obligors!$G$15*Obligors!$H$15</f>
        <v/>
      </c>
      <c r="FM15" s="21">
        <f>Defaults!FM15*Obligors!$G$15*Obligors!$H$15</f>
        <v/>
      </c>
      <c r="FN15" s="21">
        <f>Defaults!FN15*Obligors!$G$15*Obligors!$H$15</f>
        <v/>
      </c>
      <c r="FO15" s="21">
        <f>Defaults!FO15*Obligors!$G$15*Obligors!$H$15</f>
        <v/>
      </c>
      <c r="FP15" s="21">
        <f>Defaults!FP15*Obligors!$G$15*Obligors!$H$15</f>
        <v/>
      </c>
      <c r="FQ15" s="21">
        <f>Defaults!FQ15*Obligors!$G$15*Obligors!$H$15</f>
        <v/>
      </c>
      <c r="FR15" s="21">
        <f>Defaults!FR15*Obligors!$G$15*Obligors!$H$15</f>
        <v/>
      </c>
      <c r="FS15" s="21">
        <f>Defaults!FS15*Obligors!$G$15*Obligors!$H$15</f>
        <v/>
      </c>
      <c r="FT15" s="21">
        <f>Defaults!FT15*Obligors!$G$15*Obligors!$H$15</f>
        <v/>
      </c>
      <c r="FU15" s="21">
        <f>Defaults!FU15*Obligors!$G$15*Obligors!$H$15</f>
        <v/>
      </c>
      <c r="FV15" s="21">
        <f>Defaults!FV15*Obligors!$G$15*Obligors!$H$15</f>
        <v/>
      </c>
      <c r="FW15" s="21">
        <f>Defaults!FW15*Obligors!$G$15*Obligors!$H$15</f>
        <v/>
      </c>
      <c r="FX15" s="21">
        <f>Defaults!FX15*Obligors!$G$15*Obligors!$H$15</f>
        <v/>
      </c>
      <c r="FY15" s="21">
        <f>Defaults!FY15*Obligors!$G$15*Obligors!$H$15</f>
        <v/>
      </c>
      <c r="FZ15" s="21">
        <f>Defaults!FZ15*Obligors!$G$15*Obligors!$H$15</f>
        <v/>
      </c>
      <c r="GA15" s="21">
        <f>Defaults!GA15*Obligors!$G$15*Obligors!$H$15</f>
        <v/>
      </c>
      <c r="GB15" s="21">
        <f>Defaults!GB15*Obligors!$G$15*Obligors!$H$15</f>
        <v/>
      </c>
      <c r="GC15" s="21">
        <f>Defaults!GC15*Obligors!$G$15*Obligors!$H$15</f>
        <v/>
      </c>
      <c r="GD15" s="21">
        <f>Defaults!GD15*Obligors!$G$15*Obligors!$H$15</f>
        <v/>
      </c>
      <c r="GE15" s="21">
        <f>Defaults!GE15*Obligors!$G$15*Obligors!$H$15</f>
        <v/>
      </c>
      <c r="GF15" s="21">
        <f>Defaults!GF15*Obligors!$G$15*Obligors!$H$15</f>
        <v/>
      </c>
      <c r="GG15" s="21">
        <f>Defaults!GG15*Obligors!$G$15*Obligors!$H$15</f>
        <v/>
      </c>
      <c r="GH15" s="21">
        <f>Defaults!GH15*Obligors!$G$15*Obligors!$H$15</f>
        <v/>
      </c>
      <c r="GI15" s="21">
        <f>Defaults!GI15*Obligors!$G$15*Obligors!$H$15</f>
        <v/>
      </c>
      <c r="GJ15" s="21">
        <f>Defaults!GJ15*Obligors!$G$15*Obligors!$H$15</f>
        <v/>
      </c>
      <c r="GK15" s="21">
        <f>Defaults!GK15*Obligors!$G$15*Obligors!$H$15</f>
        <v/>
      </c>
      <c r="GL15" s="21">
        <f>Defaults!GL15*Obligors!$G$15*Obligors!$H$15</f>
        <v/>
      </c>
      <c r="GM15" s="21">
        <f>Defaults!GM15*Obligors!$G$15*Obligors!$H$15</f>
        <v/>
      </c>
      <c r="GN15" s="21">
        <f>Defaults!GN15*Obligors!$G$15*Obligors!$H$15</f>
        <v/>
      </c>
      <c r="GO15" s="21">
        <f>Defaults!GO15*Obligors!$G$15*Obligors!$H$15</f>
        <v/>
      </c>
      <c r="GP15" s="21">
        <f>Defaults!GP15*Obligors!$G$15*Obligors!$H$15</f>
        <v/>
      </c>
      <c r="GQ15" s="21">
        <f>Defaults!GQ15*Obligors!$G$15*Obligors!$H$15</f>
        <v/>
      </c>
      <c r="GR15" s="21">
        <f>Defaults!GR15*Obligors!$G$15*Obligors!$H$15</f>
        <v/>
      </c>
      <c r="GS15" s="21">
        <f>Defaults!GS15*Obligors!$G$15*Obligors!$H$15</f>
        <v/>
      </c>
      <c r="GT15" s="21">
        <f>Defaults!GT15*Obligors!$G$15*Obligors!$H$15</f>
        <v/>
      </c>
      <c r="GU15" s="21">
        <f>Defaults!GU15*Obligors!$G$15*Obligors!$H$15</f>
        <v/>
      </c>
      <c r="GV15" s="21">
        <f>Defaults!GV15*Obligors!$G$15*Obligors!$H$15</f>
        <v/>
      </c>
      <c r="GW15" s="21">
        <f>Defaults!GW15*Obligors!$G$15*Obligors!$H$15</f>
        <v/>
      </c>
      <c r="GX15" s="21">
        <f>Defaults!GX15*Obligors!$G$15*Obligors!$H$15</f>
        <v/>
      </c>
      <c r="GY15" s="21">
        <f>Defaults!GY15*Obligors!$G$15*Obligors!$H$15</f>
        <v/>
      </c>
      <c r="GZ15" s="21">
        <f>Defaults!GZ15*Obligors!$G$15*Obligors!$H$15</f>
        <v/>
      </c>
      <c r="HA15" s="21">
        <f>Defaults!HA15*Obligors!$G$15*Obligors!$H$15</f>
        <v/>
      </c>
      <c r="HB15" s="21">
        <f>Defaults!HB15*Obligors!$G$15*Obligors!$H$15</f>
        <v/>
      </c>
      <c r="HC15" s="21">
        <f>Defaults!HC15*Obligors!$G$15*Obligors!$H$15</f>
        <v/>
      </c>
      <c r="HD15" s="21">
        <f>Defaults!HD15*Obligors!$G$15*Obligors!$H$15</f>
        <v/>
      </c>
      <c r="HE15" s="21">
        <f>Defaults!HE15*Obligors!$G$15*Obligors!$H$15</f>
        <v/>
      </c>
      <c r="HF15" s="21">
        <f>Defaults!HF15*Obligors!$G$15*Obligors!$H$15</f>
        <v/>
      </c>
      <c r="HG15" s="21">
        <f>Defaults!HG15*Obligors!$G$15*Obligors!$H$15</f>
        <v/>
      </c>
      <c r="HH15" s="21">
        <f>Defaults!HH15*Obligors!$G$15*Obligors!$H$15</f>
        <v/>
      </c>
      <c r="HI15" s="21">
        <f>Defaults!HI15*Obligors!$G$15*Obligors!$H$15</f>
        <v/>
      </c>
      <c r="HJ15" s="21">
        <f>Defaults!HJ15*Obligors!$G$15*Obligors!$H$15</f>
        <v/>
      </c>
      <c r="HK15" s="21">
        <f>Defaults!HK15*Obligors!$G$15*Obligors!$H$15</f>
        <v/>
      </c>
      <c r="HL15" s="21">
        <f>Defaults!HL15*Obligors!$G$15*Obligors!$H$15</f>
        <v/>
      </c>
      <c r="HM15" s="21">
        <f>Defaults!HM15*Obligors!$G$15*Obligors!$H$15</f>
        <v/>
      </c>
      <c r="HN15" s="21">
        <f>Defaults!HN15*Obligors!$G$15*Obligors!$H$15</f>
        <v/>
      </c>
      <c r="HO15" s="21">
        <f>Defaults!HO15*Obligors!$G$15*Obligors!$H$15</f>
        <v/>
      </c>
      <c r="HP15" s="21">
        <f>Defaults!HP15*Obligors!$G$15*Obligors!$H$15</f>
        <v/>
      </c>
      <c r="HQ15" s="21">
        <f>Defaults!HQ15*Obligors!$G$15*Obligors!$H$15</f>
        <v/>
      </c>
      <c r="HR15" s="21">
        <f>Defaults!HR15*Obligors!$G$15*Obligors!$H$15</f>
        <v/>
      </c>
      <c r="HS15" s="21">
        <f>Defaults!HS15*Obligors!$G$15*Obligors!$H$15</f>
        <v/>
      </c>
      <c r="HT15" s="21">
        <f>Defaults!HT15*Obligors!$G$15*Obligors!$H$15</f>
        <v/>
      </c>
      <c r="HU15" s="21">
        <f>Defaults!HU15*Obligors!$G$15*Obligors!$H$15</f>
        <v/>
      </c>
      <c r="HV15" s="21">
        <f>Defaults!HV15*Obligors!$G$15*Obligors!$H$15</f>
        <v/>
      </c>
      <c r="HW15" s="21">
        <f>Defaults!HW15*Obligors!$G$15*Obligors!$H$15</f>
        <v/>
      </c>
      <c r="HX15" s="21">
        <f>Defaults!HX15*Obligors!$G$15*Obligors!$H$15</f>
        <v/>
      </c>
      <c r="HY15" s="21">
        <f>Defaults!HY15*Obligors!$G$15*Obligors!$H$15</f>
        <v/>
      </c>
      <c r="HZ15" s="21">
        <f>Defaults!HZ15*Obligors!$G$15*Obligors!$H$15</f>
        <v/>
      </c>
      <c r="IA15" s="21">
        <f>Defaults!IA15*Obligors!$G$15*Obligors!$H$15</f>
        <v/>
      </c>
      <c r="IB15" s="21">
        <f>Defaults!IB15*Obligors!$G$15*Obligors!$H$15</f>
        <v/>
      </c>
      <c r="IC15" s="21">
        <f>Defaults!IC15*Obligors!$G$15*Obligors!$H$15</f>
        <v/>
      </c>
      <c r="ID15" s="21">
        <f>Defaults!ID15*Obligors!$G$15*Obligors!$H$15</f>
        <v/>
      </c>
      <c r="IE15" s="21">
        <f>Defaults!IE15*Obligors!$G$15*Obligors!$H$15</f>
        <v/>
      </c>
      <c r="IF15" s="21">
        <f>Defaults!IF15*Obligors!$G$15*Obligors!$H$15</f>
        <v/>
      </c>
      <c r="IG15" s="21">
        <f>Defaults!IG15*Obligors!$G$15*Obligors!$H$15</f>
        <v/>
      </c>
      <c r="IH15" s="21">
        <f>Defaults!IH15*Obligors!$G$15*Obligors!$H$15</f>
        <v/>
      </c>
      <c r="II15" s="21">
        <f>Defaults!II15*Obligors!$G$15*Obligors!$H$15</f>
        <v/>
      </c>
      <c r="IJ15" s="21">
        <f>Defaults!IJ15*Obligors!$G$15*Obligors!$H$15</f>
        <v/>
      </c>
      <c r="IK15" s="21">
        <f>Defaults!IK15*Obligors!$G$15*Obligors!$H$15</f>
        <v/>
      </c>
      <c r="IL15" s="21">
        <f>Defaults!IL15*Obligors!$G$15*Obligors!$H$15</f>
        <v/>
      </c>
      <c r="IM15" s="21">
        <f>Defaults!IM15*Obligors!$G$15*Obligors!$H$15</f>
        <v/>
      </c>
      <c r="IN15" s="21">
        <f>Defaults!IN15*Obligors!$G$15*Obligors!$H$15</f>
        <v/>
      </c>
      <c r="IO15" s="21">
        <f>Defaults!IO15*Obligors!$G$15*Obligors!$H$15</f>
        <v/>
      </c>
      <c r="IP15" s="21">
        <f>Defaults!IP15*Obligors!$G$15*Obligors!$H$15</f>
        <v/>
      </c>
      <c r="IQ15" s="21">
        <f>Defaults!IQ15*Obligors!$G$15*Obligors!$H$15</f>
        <v/>
      </c>
      <c r="IR15" s="21">
        <f>Defaults!IR15*Obligors!$G$15*Obligors!$H$15</f>
        <v/>
      </c>
      <c r="IS15" s="21">
        <f>Defaults!IS15*Obligors!$G$15*Obligors!$H$15</f>
        <v/>
      </c>
      <c r="IT15" s="21">
        <f>Defaults!IT15*Obligors!$G$15*Obligors!$H$15</f>
        <v/>
      </c>
      <c r="IU15" s="21">
        <f>Defaults!IU15*Obligors!$G$15*Obligors!$H$15</f>
        <v/>
      </c>
      <c r="IV15" s="21">
        <f>Defaults!IV15*Obligors!$G$15*Obligors!$H$15</f>
        <v/>
      </c>
      <c r="IW15" s="21">
        <f>Defaults!IW15*Obligors!$G$15*Obligors!$H$15</f>
        <v/>
      </c>
      <c r="IX15" s="21">
        <f>Defaults!IX15*Obligors!$G$15*Obligors!$H$15</f>
        <v/>
      </c>
      <c r="IY15" s="21">
        <f>Defaults!IY15*Obligors!$G$15*Obligors!$H$15</f>
        <v/>
      </c>
      <c r="IZ15" s="21">
        <f>Defaults!IZ15*Obligors!$G$15*Obligors!$H$15</f>
        <v/>
      </c>
      <c r="JA15" s="21">
        <f>Defaults!JA15*Obligors!$G$15*Obligors!$H$15</f>
        <v/>
      </c>
      <c r="JB15" s="21">
        <f>Defaults!JB15*Obligors!$G$15*Obligors!$H$15</f>
        <v/>
      </c>
      <c r="JC15" s="21">
        <f>Defaults!JC15*Obligors!$G$15*Obligors!$H$15</f>
        <v/>
      </c>
      <c r="JD15" s="21">
        <f>Defaults!JD15*Obligors!$G$15*Obligors!$H$15</f>
        <v/>
      </c>
      <c r="JE15" s="21">
        <f>Defaults!JE15*Obligors!$G$15*Obligors!$H$15</f>
        <v/>
      </c>
      <c r="JF15" s="21">
        <f>Defaults!JF15*Obligors!$G$15*Obligors!$H$15</f>
        <v/>
      </c>
      <c r="JG15" s="21">
        <f>Defaults!JG15*Obligors!$G$15*Obligors!$H$15</f>
        <v/>
      </c>
      <c r="JH15" s="21">
        <f>Defaults!JH15*Obligors!$G$15*Obligors!$H$15</f>
        <v/>
      </c>
      <c r="JI15" s="21">
        <f>Defaults!JI15*Obligors!$G$15*Obligors!$H$15</f>
        <v/>
      </c>
      <c r="JJ15" s="21">
        <f>Defaults!JJ15*Obligors!$G$15*Obligors!$H$15</f>
        <v/>
      </c>
      <c r="JK15" s="21">
        <f>Defaults!JK15*Obligors!$G$15*Obligors!$H$15</f>
        <v/>
      </c>
      <c r="JL15" s="21">
        <f>Defaults!JL15*Obligors!$G$15*Obligors!$H$15</f>
        <v/>
      </c>
      <c r="JM15" s="21">
        <f>Defaults!JM15*Obligors!$G$15*Obligors!$H$15</f>
        <v/>
      </c>
      <c r="JN15" s="21">
        <f>Defaults!JN15*Obligors!$G$15*Obligors!$H$15</f>
        <v/>
      </c>
      <c r="JO15" s="21">
        <f>Defaults!JO15*Obligors!$G$15*Obligors!$H$15</f>
        <v/>
      </c>
      <c r="JP15" s="21">
        <f>Defaults!JP15*Obligors!$G$15*Obligors!$H$15</f>
        <v/>
      </c>
      <c r="JQ15" s="21">
        <f>Defaults!JQ15*Obligors!$G$15*Obligors!$H$15</f>
        <v/>
      </c>
      <c r="JR15" s="21">
        <f>Defaults!JR15*Obligors!$G$15*Obligors!$H$15</f>
        <v/>
      </c>
      <c r="JS15" s="21">
        <f>Defaults!JS15*Obligors!$G$15*Obligors!$H$15</f>
        <v/>
      </c>
      <c r="JT15" s="21">
        <f>Defaults!JT15*Obligors!$G$15*Obligors!$H$15</f>
        <v/>
      </c>
      <c r="JU15" s="21">
        <f>Defaults!JU15*Obligors!$G$15*Obligors!$H$15</f>
        <v/>
      </c>
      <c r="JV15" s="21">
        <f>Defaults!JV15*Obligors!$G$15*Obligors!$H$15</f>
        <v/>
      </c>
      <c r="JW15" s="21">
        <f>Defaults!JW15*Obligors!$G$15*Obligors!$H$15</f>
        <v/>
      </c>
      <c r="JX15" s="21">
        <f>Defaults!JX15*Obligors!$G$15*Obligors!$H$15</f>
        <v/>
      </c>
      <c r="JY15" s="21">
        <f>Defaults!JY15*Obligors!$G$15*Obligors!$H$15</f>
        <v/>
      </c>
      <c r="JZ15" s="21">
        <f>Defaults!JZ15*Obligors!$G$15*Obligors!$H$15</f>
        <v/>
      </c>
      <c r="KA15" s="21">
        <f>Defaults!KA15*Obligors!$G$15*Obligors!$H$15</f>
        <v/>
      </c>
      <c r="KB15" s="21">
        <f>Defaults!KB15*Obligors!$G$15*Obligors!$H$15</f>
        <v/>
      </c>
      <c r="KC15" s="21">
        <f>Defaults!KC15*Obligors!$G$15*Obligors!$H$15</f>
        <v/>
      </c>
      <c r="KD15" s="21">
        <f>Defaults!KD15*Obligors!$G$15*Obligors!$H$15</f>
        <v/>
      </c>
      <c r="KE15" s="21">
        <f>Defaults!KE15*Obligors!$G$15*Obligors!$H$15</f>
        <v/>
      </c>
      <c r="KF15" s="21">
        <f>Defaults!KF15*Obligors!$G$15*Obligors!$H$15</f>
        <v/>
      </c>
      <c r="KG15" s="21">
        <f>Defaults!KG15*Obligors!$G$15*Obligors!$H$15</f>
        <v/>
      </c>
      <c r="KH15" s="21">
        <f>Defaults!KH15*Obligors!$G$15*Obligors!$H$15</f>
        <v/>
      </c>
      <c r="KI15" s="21">
        <f>Defaults!KI15*Obligors!$G$15*Obligors!$H$15</f>
        <v/>
      </c>
      <c r="KJ15" s="21">
        <f>Defaults!KJ15*Obligors!$G$15*Obligors!$H$15</f>
        <v/>
      </c>
      <c r="KK15" s="21">
        <f>Defaults!KK15*Obligors!$G$15*Obligors!$H$15</f>
        <v/>
      </c>
      <c r="KL15" s="21">
        <f>Defaults!KL15*Obligors!$G$15*Obligors!$H$15</f>
        <v/>
      </c>
      <c r="KM15" s="21">
        <f>Defaults!KM15*Obligors!$G$15*Obligors!$H$15</f>
        <v/>
      </c>
      <c r="KN15" s="21">
        <f>Defaults!KN15*Obligors!$G$15*Obligors!$H$15</f>
        <v/>
      </c>
      <c r="KO15" s="21">
        <f>Defaults!KO15*Obligors!$G$15*Obligors!$H$15</f>
        <v/>
      </c>
      <c r="KP15" s="21">
        <f>Defaults!KP15*Obligors!$G$15*Obligors!$H$15</f>
        <v/>
      </c>
      <c r="KQ15" s="21">
        <f>Defaults!KQ15*Obligors!$G$15*Obligors!$H$15</f>
        <v/>
      </c>
      <c r="KR15" s="21">
        <f>Defaults!KR15*Obligors!$G$15*Obligors!$H$15</f>
        <v/>
      </c>
      <c r="KS15" s="21">
        <f>Defaults!KS15*Obligors!$G$15*Obligors!$H$15</f>
        <v/>
      </c>
      <c r="KT15" s="21">
        <f>Defaults!KT15*Obligors!$G$15*Obligors!$H$15</f>
        <v/>
      </c>
      <c r="KU15" s="21">
        <f>Defaults!KU15*Obligors!$G$15*Obligors!$H$15</f>
        <v/>
      </c>
      <c r="KV15" s="21">
        <f>Defaults!KV15*Obligors!$G$15*Obligors!$H$15</f>
        <v/>
      </c>
      <c r="KW15" s="21">
        <f>Defaults!KW15*Obligors!$G$15*Obligors!$H$15</f>
        <v/>
      </c>
      <c r="KX15" s="21">
        <f>Defaults!KX15*Obligors!$G$15*Obligors!$H$15</f>
        <v/>
      </c>
      <c r="KY15" s="21">
        <f>Defaults!KY15*Obligors!$G$15*Obligors!$H$15</f>
        <v/>
      </c>
      <c r="KZ15" s="21">
        <f>Defaults!KZ15*Obligors!$G$15*Obligors!$H$15</f>
        <v/>
      </c>
      <c r="LA15" s="21">
        <f>Defaults!LA15*Obligors!$G$15*Obligors!$H$15</f>
        <v/>
      </c>
      <c r="LB15" s="21">
        <f>Defaults!LB15*Obligors!$G$15*Obligors!$H$15</f>
        <v/>
      </c>
      <c r="LC15" s="21">
        <f>Defaults!LC15*Obligors!$G$15*Obligors!$H$15</f>
        <v/>
      </c>
      <c r="LD15" s="21">
        <f>Defaults!LD15*Obligors!$G$15*Obligors!$H$15</f>
        <v/>
      </c>
      <c r="LE15" s="21">
        <f>Defaults!LE15*Obligors!$G$15*Obligors!$H$15</f>
        <v/>
      </c>
      <c r="LF15" s="21">
        <f>Defaults!LF15*Obligors!$G$15*Obligors!$H$15</f>
        <v/>
      </c>
      <c r="LG15" s="21">
        <f>Defaults!LG15*Obligors!$G$15*Obligors!$H$15</f>
        <v/>
      </c>
      <c r="LH15" s="21">
        <f>Defaults!LH15*Obligors!$G$15*Obligors!$H$15</f>
        <v/>
      </c>
      <c r="LI15" s="21">
        <f>Defaults!LI15*Obligors!$G$15*Obligors!$H$15</f>
        <v/>
      </c>
      <c r="LJ15" s="21">
        <f>Defaults!LJ15*Obligors!$G$15*Obligors!$H$15</f>
        <v/>
      </c>
      <c r="LK15" s="21">
        <f>Defaults!LK15*Obligors!$G$15*Obligors!$H$15</f>
        <v/>
      </c>
      <c r="LL15" s="21">
        <f>Defaults!LL15*Obligors!$G$15*Obligors!$H$15</f>
        <v/>
      </c>
      <c r="LM15" s="21">
        <f>Defaults!LM15*Obligors!$G$15*Obligors!$H$15</f>
        <v/>
      </c>
      <c r="LN15" s="21">
        <f>Defaults!LN15*Obligors!$G$15*Obligors!$H$15</f>
        <v/>
      </c>
      <c r="LO15" s="21">
        <f>Defaults!LO15*Obligors!$G$15*Obligors!$H$15</f>
        <v/>
      </c>
      <c r="LP15" s="21">
        <f>Defaults!LP15*Obligors!$G$15*Obligors!$H$15</f>
        <v/>
      </c>
      <c r="LQ15" s="21">
        <f>Defaults!LQ15*Obligors!$G$15*Obligors!$H$15</f>
        <v/>
      </c>
      <c r="LR15" s="21">
        <f>Defaults!LR15*Obligors!$G$15*Obligors!$H$15</f>
        <v/>
      </c>
      <c r="LS15" s="21">
        <f>Defaults!LS15*Obligors!$G$15*Obligors!$H$15</f>
        <v/>
      </c>
      <c r="LT15" s="21">
        <f>Defaults!LT15*Obligors!$G$15*Obligors!$H$15</f>
        <v/>
      </c>
      <c r="LU15" s="21">
        <f>Defaults!LU15*Obligors!$G$15*Obligors!$H$15</f>
        <v/>
      </c>
      <c r="LV15" s="21">
        <f>Defaults!LV15*Obligors!$G$15*Obligors!$H$15</f>
        <v/>
      </c>
      <c r="LW15" s="21">
        <f>Defaults!LW15*Obligors!$G$15*Obligors!$H$15</f>
        <v/>
      </c>
      <c r="LX15" s="21">
        <f>Defaults!LX15*Obligors!$G$15*Obligors!$H$15</f>
        <v/>
      </c>
      <c r="LY15" s="21">
        <f>Defaults!LY15*Obligors!$G$15*Obligors!$H$15</f>
        <v/>
      </c>
      <c r="LZ15" s="21">
        <f>Defaults!LZ15*Obligors!$G$15*Obligors!$H$15</f>
        <v/>
      </c>
      <c r="MA15" s="21">
        <f>Defaults!MA15*Obligors!$G$15*Obligors!$H$15</f>
        <v/>
      </c>
      <c r="MB15" s="21">
        <f>Defaults!MB15*Obligors!$G$15*Obligors!$H$15</f>
        <v/>
      </c>
      <c r="MC15" s="21">
        <f>Defaults!MC15*Obligors!$G$15*Obligors!$H$15</f>
        <v/>
      </c>
      <c r="MD15" s="21">
        <f>Defaults!MD15*Obligors!$G$15*Obligors!$H$15</f>
        <v/>
      </c>
      <c r="ME15" s="21">
        <f>Defaults!ME15*Obligors!$G$15*Obligors!$H$15</f>
        <v/>
      </c>
      <c r="MF15" s="21">
        <f>Defaults!MF15*Obligors!$G$15*Obligors!$H$15</f>
        <v/>
      </c>
      <c r="MG15" s="21">
        <f>Defaults!MG15*Obligors!$G$15*Obligors!$H$15</f>
        <v/>
      </c>
      <c r="MH15" s="21">
        <f>Defaults!MH15*Obligors!$G$15*Obligors!$H$15</f>
        <v/>
      </c>
      <c r="MI15" s="21">
        <f>Defaults!MI15*Obligors!$G$15*Obligors!$H$15</f>
        <v/>
      </c>
      <c r="MJ15" s="21">
        <f>Defaults!MJ15*Obligors!$G$15*Obligors!$H$15</f>
        <v/>
      </c>
      <c r="MK15" s="21">
        <f>Defaults!MK15*Obligors!$G$15*Obligors!$H$15</f>
        <v/>
      </c>
      <c r="ML15" s="21">
        <f>Defaults!ML15*Obligors!$G$15*Obligors!$H$15</f>
        <v/>
      </c>
      <c r="MM15" s="21">
        <f>Defaults!MM15*Obligors!$G$15*Obligors!$H$15</f>
        <v/>
      </c>
      <c r="MN15" s="21">
        <f>Defaults!MN15*Obligors!$G$15*Obligors!$H$15</f>
        <v/>
      </c>
      <c r="MO15" s="21">
        <f>Defaults!MO15*Obligors!$G$15*Obligors!$H$15</f>
        <v/>
      </c>
      <c r="MP15" s="21">
        <f>Defaults!MP15*Obligors!$G$15*Obligors!$H$15</f>
        <v/>
      </c>
      <c r="MQ15" s="21">
        <f>Defaults!MQ15*Obligors!$G$15*Obligors!$H$15</f>
        <v/>
      </c>
      <c r="MR15" s="21">
        <f>Defaults!MR15*Obligors!$G$15*Obligors!$H$15</f>
        <v/>
      </c>
      <c r="MS15" s="21">
        <f>Defaults!MS15*Obligors!$G$15*Obligors!$H$15</f>
        <v/>
      </c>
      <c r="MT15" s="21">
        <f>Defaults!MT15*Obligors!$G$15*Obligors!$H$15</f>
        <v/>
      </c>
      <c r="MU15" s="21">
        <f>Defaults!MU15*Obligors!$G$15*Obligors!$H$15</f>
        <v/>
      </c>
      <c r="MV15" s="21">
        <f>Defaults!MV15*Obligors!$G$15*Obligors!$H$15</f>
        <v/>
      </c>
      <c r="MW15" s="21">
        <f>Defaults!MW15*Obligors!$G$15*Obligors!$H$15</f>
        <v/>
      </c>
      <c r="MX15" s="21">
        <f>Defaults!MX15*Obligors!$G$15*Obligors!$H$15</f>
        <v/>
      </c>
      <c r="MY15" s="21">
        <f>Defaults!MY15*Obligors!$G$15*Obligors!$H$15</f>
        <v/>
      </c>
      <c r="MZ15" s="21">
        <f>Defaults!MZ15*Obligors!$G$15*Obligors!$H$15</f>
        <v/>
      </c>
      <c r="NA15" s="21">
        <f>Defaults!NA15*Obligors!$G$15*Obligors!$H$15</f>
        <v/>
      </c>
      <c r="NB15" s="21">
        <f>Defaults!NB15*Obligors!$G$15*Obligors!$H$15</f>
        <v/>
      </c>
      <c r="NC15" s="21">
        <f>Defaults!NC15*Obligors!$G$15*Obligors!$H$15</f>
        <v/>
      </c>
      <c r="ND15" s="21">
        <f>Defaults!ND15*Obligors!$G$15*Obligors!$H$15</f>
        <v/>
      </c>
      <c r="NE15" s="21">
        <f>Defaults!NE15*Obligors!$G$15*Obligors!$H$15</f>
        <v/>
      </c>
      <c r="NF15" s="21">
        <f>Defaults!NF15*Obligors!$G$15*Obligors!$H$15</f>
        <v/>
      </c>
      <c r="NG15" s="21">
        <f>Defaults!NG15*Obligors!$G$15*Obligors!$H$15</f>
        <v/>
      </c>
      <c r="NH15" s="21">
        <f>Defaults!NH15*Obligors!$G$15*Obligors!$H$15</f>
        <v/>
      </c>
      <c r="NI15" s="21">
        <f>Defaults!NI15*Obligors!$G$15*Obligors!$H$15</f>
        <v/>
      </c>
      <c r="NJ15" s="21">
        <f>Defaults!NJ15*Obligors!$G$15*Obligors!$H$15</f>
        <v/>
      </c>
      <c r="NK15" s="21">
        <f>Defaults!NK15*Obligors!$G$15*Obligors!$H$15</f>
        <v/>
      </c>
      <c r="NL15" s="21">
        <f>Defaults!NL15*Obligors!$G$15*Obligors!$H$15</f>
        <v/>
      </c>
      <c r="NM15" s="21">
        <f>Defaults!NM15*Obligors!$G$15*Obligors!$H$15</f>
        <v/>
      </c>
      <c r="NN15" s="21">
        <f>Defaults!NN15*Obligors!$G$15*Obligors!$H$15</f>
        <v/>
      </c>
      <c r="NO15" s="21">
        <f>Defaults!NO15*Obligors!$G$15*Obligors!$H$15</f>
        <v/>
      </c>
      <c r="NP15" s="21">
        <f>Defaults!NP15*Obligors!$G$15*Obligors!$H$15</f>
        <v/>
      </c>
      <c r="NQ15" s="21">
        <f>Defaults!NQ15*Obligors!$G$15*Obligors!$H$15</f>
        <v/>
      </c>
      <c r="NR15" s="21">
        <f>Defaults!NR15*Obligors!$G$15*Obligors!$H$15</f>
        <v/>
      </c>
      <c r="NS15" s="21">
        <f>Defaults!NS15*Obligors!$G$15*Obligors!$H$15</f>
        <v/>
      </c>
      <c r="NT15" s="21">
        <f>Defaults!NT15*Obligors!$G$15*Obligors!$H$15</f>
        <v/>
      </c>
      <c r="NU15" s="21">
        <f>Defaults!NU15*Obligors!$G$15*Obligors!$H$15</f>
        <v/>
      </c>
      <c r="NV15" s="21">
        <f>Defaults!NV15*Obligors!$G$15*Obligors!$H$15</f>
        <v/>
      </c>
      <c r="NW15" s="21">
        <f>Defaults!NW15*Obligors!$G$15*Obligors!$H$15</f>
        <v/>
      </c>
      <c r="NX15" s="21">
        <f>Defaults!NX15*Obligors!$G$15*Obligors!$H$15</f>
        <v/>
      </c>
      <c r="NY15" s="21">
        <f>Defaults!NY15*Obligors!$G$15*Obligors!$H$15</f>
        <v/>
      </c>
      <c r="NZ15" s="21">
        <f>Defaults!NZ15*Obligors!$G$15*Obligors!$H$15</f>
        <v/>
      </c>
      <c r="OA15" s="21">
        <f>Defaults!OA15*Obligors!$G$15*Obligors!$H$15</f>
        <v/>
      </c>
      <c r="OB15" s="21">
        <f>Defaults!OB15*Obligors!$G$15*Obligors!$H$15</f>
        <v/>
      </c>
      <c r="OC15" s="21">
        <f>Defaults!OC15*Obligors!$G$15*Obligors!$H$15</f>
        <v/>
      </c>
      <c r="OD15" s="21">
        <f>Defaults!OD15*Obligors!$G$15*Obligors!$H$15</f>
        <v/>
      </c>
      <c r="OE15" s="21">
        <f>Defaults!OE15*Obligors!$G$15*Obligors!$H$15</f>
        <v/>
      </c>
      <c r="OF15" s="21">
        <f>Defaults!OF15*Obligors!$G$15*Obligors!$H$15</f>
        <v/>
      </c>
      <c r="OG15" s="21">
        <f>Defaults!OG15*Obligors!$G$15*Obligors!$H$15</f>
        <v/>
      </c>
      <c r="OH15" s="21">
        <f>Defaults!OH15*Obligors!$G$15*Obligors!$H$15</f>
        <v/>
      </c>
      <c r="OI15" s="21">
        <f>Defaults!OI15*Obligors!$G$15*Obligors!$H$15</f>
        <v/>
      </c>
      <c r="OJ15" s="21">
        <f>Defaults!OJ15*Obligors!$G$15*Obligors!$H$15</f>
        <v/>
      </c>
      <c r="OK15" s="21">
        <f>Defaults!OK15*Obligors!$G$15*Obligors!$H$15</f>
        <v/>
      </c>
      <c r="OL15" s="21">
        <f>Defaults!OL15*Obligors!$G$15*Obligors!$H$15</f>
        <v/>
      </c>
      <c r="OM15" s="21">
        <f>Defaults!OM15*Obligors!$G$15*Obligors!$H$15</f>
        <v/>
      </c>
      <c r="ON15" s="21">
        <f>Defaults!ON15*Obligors!$G$15*Obligors!$H$15</f>
        <v/>
      </c>
      <c r="OO15" s="21">
        <f>Defaults!OO15*Obligors!$G$15*Obligors!$H$15</f>
        <v/>
      </c>
      <c r="OP15" s="21">
        <f>Defaults!OP15*Obligors!$G$15*Obligors!$H$15</f>
        <v/>
      </c>
      <c r="OQ15" s="21">
        <f>Defaults!OQ15*Obligors!$G$15*Obligors!$H$15</f>
        <v/>
      </c>
      <c r="OR15" s="21">
        <f>Defaults!OR15*Obligors!$G$15*Obligors!$H$15</f>
        <v/>
      </c>
      <c r="OS15" s="21">
        <f>Defaults!OS15*Obligors!$G$15*Obligors!$H$15</f>
        <v/>
      </c>
      <c r="OT15" s="21">
        <f>Defaults!OT15*Obligors!$G$15*Obligors!$H$15</f>
        <v/>
      </c>
      <c r="OU15" s="21">
        <f>Defaults!OU15*Obligors!$G$15*Obligors!$H$15</f>
        <v/>
      </c>
      <c r="OV15" s="21">
        <f>Defaults!OV15*Obligors!$G$15*Obligors!$H$15</f>
        <v/>
      </c>
      <c r="OW15" s="21">
        <f>Defaults!OW15*Obligors!$G$15*Obligors!$H$15</f>
        <v/>
      </c>
      <c r="OX15" s="21">
        <f>Defaults!OX15*Obligors!$G$15*Obligors!$H$15</f>
        <v/>
      </c>
      <c r="OY15" s="21">
        <f>Defaults!OY15*Obligors!$G$15*Obligors!$H$15</f>
        <v/>
      </c>
      <c r="OZ15" s="21">
        <f>Defaults!OZ15*Obligors!$G$15*Obligors!$H$15</f>
        <v/>
      </c>
      <c r="PA15" s="21">
        <f>Defaults!PA15*Obligors!$G$15*Obligors!$H$15</f>
        <v/>
      </c>
      <c r="PB15" s="21">
        <f>Defaults!PB15*Obligors!$G$15*Obligors!$H$15</f>
        <v/>
      </c>
      <c r="PC15" s="21">
        <f>Defaults!PC15*Obligors!$G$15*Obligors!$H$15</f>
        <v/>
      </c>
      <c r="PD15" s="21">
        <f>Defaults!PD15*Obligors!$G$15*Obligors!$H$15</f>
        <v/>
      </c>
      <c r="PE15" s="21">
        <f>Defaults!PE15*Obligors!$G$15*Obligors!$H$15</f>
        <v/>
      </c>
      <c r="PF15" s="21">
        <f>Defaults!PF15*Obligors!$G$15*Obligors!$H$15</f>
        <v/>
      </c>
      <c r="PG15" s="21">
        <f>Defaults!PG15*Obligors!$G$15*Obligors!$H$15</f>
        <v/>
      </c>
      <c r="PH15" s="21">
        <f>Defaults!PH15*Obligors!$G$15*Obligors!$H$15</f>
        <v/>
      </c>
      <c r="PI15" s="21">
        <f>Defaults!PI15*Obligors!$G$15*Obligors!$H$15</f>
        <v/>
      </c>
      <c r="PJ15" s="21">
        <f>Defaults!PJ15*Obligors!$G$15*Obligors!$H$15</f>
        <v/>
      </c>
      <c r="PK15" s="21">
        <f>Defaults!PK15*Obligors!$G$15*Obligors!$H$15</f>
        <v/>
      </c>
      <c r="PL15" s="21">
        <f>Defaults!PL15*Obligors!$G$15*Obligors!$H$15</f>
        <v/>
      </c>
      <c r="PM15" s="21">
        <f>Defaults!PM15*Obligors!$G$15*Obligors!$H$15</f>
        <v/>
      </c>
      <c r="PN15" s="21">
        <f>Defaults!PN15*Obligors!$G$15*Obligors!$H$15</f>
        <v/>
      </c>
      <c r="PO15" s="21">
        <f>Defaults!PO15*Obligors!$G$15*Obligors!$H$15</f>
        <v/>
      </c>
      <c r="PP15" s="21">
        <f>Defaults!PP15*Obligors!$G$15*Obligors!$H$15</f>
        <v/>
      </c>
      <c r="PQ15" s="21">
        <f>Defaults!PQ15*Obligors!$G$15*Obligors!$H$15</f>
        <v/>
      </c>
      <c r="PR15" s="21">
        <f>Defaults!PR15*Obligors!$G$15*Obligors!$H$15</f>
        <v/>
      </c>
      <c r="PS15" s="21">
        <f>Defaults!PS15*Obligors!$G$15*Obligors!$H$15</f>
        <v/>
      </c>
      <c r="PT15" s="21">
        <f>Defaults!PT15*Obligors!$G$15*Obligors!$H$15</f>
        <v/>
      </c>
      <c r="PU15" s="21">
        <f>Defaults!PU15*Obligors!$G$15*Obligors!$H$15</f>
        <v/>
      </c>
      <c r="PV15" s="21">
        <f>Defaults!PV15*Obligors!$G$15*Obligors!$H$15</f>
        <v/>
      </c>
      <c r="PW15" s="21">
        <f>Defaults!PW15*Obligors!$G$15*Obligors!$H$15</f>
        <v/>
      </c>
      <c r="PX15" s="21">
        <f>Defaults!PX15*Obligors!$G$15*Obligors!$H$15</f>
        <v/>
      </c>
      <c r="PY15" s="21">
        <f>Defaults!PY15*Obligors!$G$15*Obligors!$H$15</f>
        <v/>
      </c>
      <c r="PZ15" s="21">
        <f>Defaults!PZ15*Obligors!$G$15*Obligors!$H$15</f>
        <v/>
      </c>
      <c r="QA15" s="21">
        <f>Defaults!QA15*Obligors!$G$15*Obligors!$H$15</f>
        <v/>
      </c>
      <c r="QB15" s="21">
        <f>Defaults!QB15*Obligors!$G$15*Obligors!$H$15</f>
        <v/>
      </c>
      <c r="QC15" s="21">
        <f>Defaults!QC15*Obligors!$G$15*Obligors!$H$15</f>
        <v/>
      </c>
      <c r="QD15" s="21">
        <f>Defaults!QD15*Obligors!$G$15*Obligors!$H$15</f>
        <v/>
      </c>
      <c r="QE15" s="21">
        <f>Defaults!QE15*Obligors!$G$15*Obligors!$H$15</f>
        <v/>
      </c>
      <c r="QF15" s="21">
        <f>Defaults!QF15*Obligors!$G$15*Obligors!$H$15</f>
        <v/>
      </c>
      <c r="QG15" s="21">
        <f>Defaults!QG15*Obligors!$G$15*Obligors!$H$15</f>
        <v/>
      </c>
      <c r="QH15" s="21">
        <f>Defaults!QH15*Obligors!$G$15*Obligors!$H$15</f>
        <v/>
      </c>
      <c r="QI15" s="21">
        <f>Defaults!QI15*Obligors!$G$15*Obligors!$H$15</f>
        <v/>
      </c>
      <c r="QJ15" s="21">
        <f>Defaults!QJ15*Obligors!$G$15*Obligors!$H$15</f>
        <v/>
      </c>
      <c r="QK15" s="21">
        <f>Defaults!QK15*Obligors!$G$15*Obligors!$H$15</f>
        <v/>
      </c>
      <c r="QL15" s="21">
        <f>Defaults!QL15*Obligors!$G$15*Obligors!$H$15</f>
        <v/>
      </c>
      <c r="QM15" s="21">
        <f>Defaults!QM15*Obligors!$G$15*Obligors!$H$15</f>
        <v/>
      </c>
      <c r="QN15" s="21">
        <f>Defaults!QN15*Obligors!$G$15*Obligors!$H$15</f>
        <v/>
      </c>
      <c r="QO15" s="21">
        <f>Defaults!QO15*Obligors!$G$15*Obligors!$H$15</f>
        <v/>
      </c>
      <c r="QP15" s="21">
        <f>Defaults!QP15*Obligors!$G$15*Obligors!$H$15</f>
        <v/>
      </c>
      <c r="QQ15" s="21">
        <f>Defaults!QQ15*Obligors!$G$15*Obligors!$H$15</f>
        <v/>
      </c>
      <c r="QR15" s="21">
        <f>Defaults!QR15*Obligors!$G$15*Obligors!$H$15</f>
        <v/>
      </c>
      <c r="QS15" s="21">
        <f>Defaults!QS15*Obligors!$G$15*Obligors!$H$15</f>
        <v/>
      </c>
      <c r="QT15" s="21">
        <f>Defaults!QT15*Obligors!$G$15*Obligors!$H$15</f>
        <v/>
      </c>
      <c r="QU15" s="21">
        <f>Defaults!QU15*Obligors!$G$15*Obligors!$H$15</f>
        <v/>
      </c>
      <c r="QV15" s="21">
        <f>Defaults!QV15*Obligors!$G$15*Obligors!$H$15</f>
        <v/>
      </c>
      <c r="QW15" s="21">
        <f>Defaults!QW15*Obligors!$G$15*Obligors!$H$15</f>
        <v/>
      </c>
      <c r="QX15" s="21">
        <f>Defaults!QX15*Obligors!$G$15*Obligors!$H$15</f>
        <v/>
      </c>
      <c r="QY15" s="21">
        <f>Defaults!QY15*Obligors!$G$15*Obligors!$H$15</f>
        <v/>
      </c>
      <c r="QZ15" s="21">
        <f>Defaults!QZ15*Obligors!$G$15*Obligors!$H$15</f>
        <v/>
      </c>
      <c r="RA15" s="21">
        <f>Defaults!RA15*Obligors!$G$15*Obligors!$H$15</f>
        <v/>
      </c>
      <c r="RB15" s="21">
        <f>Defaults!RB15*Obligors!$G$15*Obligors!$H$15</f>
        <v/>
      </c>
      <c r="RC15" s="21">
        <f>Defaults!RC15*Obligors!$G$15*Obligors!$H$15</f>
        <v/>
      </c>
      <c r="RD15" s="21">
        <f>Defaults!RD15*Obligors!$G$15*Obligors!$H$15</f>
        <v/>
      </c>
      <c r="RE15" s="21">
        <f>Defaults!RE15*Obligors!$G$15*Obligors!$H$15</f>
        <v/>
      </c>
      <c r="RF15" s="21">
        <f>Defaults!RF15*Obligors!$G$15*Obligors!$H$15</f>
        <v/>
      </c>
      <c r="RG15" s="21">
        <f>Defaults!RG15*Obligors!$G$15*Obligors!$H$15</f>
        <v/>
      </c>
      <c r="RH15" s="21">
        <f>Defaults!RH15*Obligors!$G$15*Obligors!$H$15</f>
        <v/>
      </c>
      <c r="RI15" s="21">
        <f>Defaults!RI15*Obligors!$G$15*Obligors!$H$15</f>
        <v/>
      </c>
      <c r="RJ15" s="21">
        <f>Defaults!RJ15*Obligors!$G$15*Obligors!$H$15</f>
        <v/>
      </c>
      <c r="RK15" s="21">
        <f>Defaults!RK15*Obligors!$G$15*Obligors!$H$15</f>
        <v/>
      </c>
      <c r="RL15" s="21">
        <f>Defaults!RL15*Obligors!$G$15*Obligors!$H$15</f>
        <v/>
      </c>
      <c r="RM15" s="21">
        <f>Defaults!RM15*Obligors!$G$15*Obligors!$H$15</f>
        <v/>
      </c>
      <c r="RN15" s="21">
        <f>Defaults!RN15*Obligors!$G$15*Obligors!$H$15</f>
        <v/>
      </c>
      <c r="RO15" s="21">
        <f>Defaults!RO15*Obligors!$G$15*Obligors!$H$15</f>
        <v/>
      </c>
      <c r="RP15" s="21">
        <f>Defaults!RP15*Obligors!$G$15*Obligors!$H$15</f>
        <v/>
      </c>
      <c r="RQ15" s="21">
        <f>Defaults!RQ15*Obligors!$G$15*Obligors!$H$15</f>
        <v/>
      </c>
      <c r="RR15" s="21">
        <f>Defaults!RR15*Obligors!$G$15*Obligors!$H$15</f>
        <v/>
      </c>
      <c r="RS15" s="21">
        <f>Defaults!RS15*Obligors!$G$15*Obligors!$H$15</f>
        <v/>
      </c>
      <c r="RT15" s="21">
        <f>Defaults!RT15*Obligors!$G$15*Obligors!$H$15</f>
        <v/>
      </c>
      <c r="RU15" s="21">
        <f>Defaults!RU15*Obligors!$G$15*Obligors!$H$15</f>
        <v/>
      </c>
      <c r="RV15" s="21">
        <f>Defaults!RV15*Obligors!$G$15*Obligors!$H$15</f>
        <v/>
      </c>
      <c r="RW15" s="21">
        <f>Defaults!RW15*Obligors!$G$15*Obligors!$H$15</f>
        <v/>
      </c>
      <c r="RX15" s="21">
        <f>Defaults!RX15*Obligors!$G$15*Obligors!$H$15</f>
        <v/>
      </c>
      <c r="RY15" s="21">
        <f>Defaults!RY15*Obligors!$G$15*Obligors!$H$15</f>
        <v/>
      </c>
      <c r="RZ15" s="21">
        <f>Defaults!RZ15*Obligors!$G$15*Obligors!$H$15</f>
        <v/>
      </c>
      <c r="SA15" s="21">
        <f>Defaults!SA15*Obligors!$G$15*Obligors!$H$15</f>
        <v/>
      </c>
      <c r="SB15" s="21">
        <f>Defaults!SB15*Obligors!$G$15*Obligors!$H$15</f>
        <v/>
      </c>
      <c r="SC15" s="21">
        <f>Defaults!SC15*Obligors!$G$15*Obligors!$H$15</f>
        <v/>
      </c>
      <c r="SD15" s="21">
        <f>Defaults!SD15*Obligors!$G$15*Obligors!$H$15</f>
        <v/>
      </c>
      <c r="SE15" s="21">
        <f>Defaults!SE15*Obligors!$G$15*Obligors!$H$15</f>
        <v/>
      </c>
      <c r="SF15" s="21">
        <f>Defaults!SF15*Obligors!$G$15*Obligors!$H$15</f>
        <v/>
      </c>
      <c r="SG15" s="21">
        <f>Defaults!SG15*Obligors!$G$15*Obligors!$H$15</f>
        <v/>
      </c>
    </row>
    <row r="16">
      <c r="A16" s="17" t="inlineStr">
        <is>
          <t>OBL-015</t>
        </is>
      </c>
      <c r="B16" s="21">
        <f>Defaults!B16*Obligors!$G$16*Obligors!$H$16</f>
        <v/>
      </c>
      <c r="C16" s="21">
        <f>Defaults!C16*Obligors!$G$16*Obligors!$H$16</f>
        <v/>
      </c>
      <c r="D16" s="21">
        <f>Defaults!D16*Obligors!$G$16*Obligors!$H$16</f>
        <v/>
      </c>
      <c r="E16" s="21">
        <f>Defaults!E16*Obligors!$G$16*Obligors!$H$16</f>
        <v/>
      </c>
      <c r="F16" s="21">
        <f>Defaults!F16*Obligors!$G$16*Obligors!$H$16</f>
        <v/>
      </c>
      <c r="G16" s="21">
        <f>Defaults!G16*Obligors!$G$16*Obligors!$H$16</f>
        <v/>
      </c>
      <c r="H16" s="21">
        <f>Defaults!H16*Obligors!$G$16*Obligors!$H$16</f>
        <v/>
      </c>
      <c r="I16" s="21">
        <f>Defaults!I16*Obligors!$G$16*Obligors!$H$16</f>
        <v/>
      </c>
      <c r="J16" s="21">
        <f>Defaults!J16*Obligors!$G$16*Obligors!$H$16</f>
        <v/>
      </c>
      <c r="K16" s="21">
        <f>Defaults!K16*Obligors!$G$16*Obligors!$H$16</f>
        <v/>
      </c>
      <c r="L16" s="21">
        <f>Defaults!L16*Obligors!$G$16*Obligors!$H$16</f>
        <v/>
      </c>
      <c r="M16" s="21">
        <f>Defaults!M16*Obligors!$G$16*Obligors!$H$16</f>
        <v/>
      </c>
      <c r="N16" s="21">
        <f>Defaults!N16*Obligors!$G$16*Obligors!$H$16</f>
        <v/>
      </c>
      <c r="O16" s="21">
        <f>Defaults!O16*Obligors!$G$16*Obligors!$H$16</f>
        <v/>
      </c>
      <c r="P16" s="21">
        <f>Defaults!P16*Obligors!$G$16*Obligors!$H$16</f>
        <v/>
      </c>
      <c r="Q16" s="21">
        <f>Defaults!Q16*Obligors!$G$16*Obligors!$H$16</f>
        <v/>
      </c>
      <c r="R16" s="21">
        <f>Defaults!R16*Obligors!$G$16*Obligors!$H$16</f>
        <v/>
      </c>
      <c r="S16" s="21">
        <f>Defaults!S16*Obligors!$G$16*Obligors!$H$16</f>
        <v/>
      </c>
      <c r="T16" s="21">
        <f>Defaults!T16*Obligors!$G$16*Obligors!$H$16</f>
        <v/>
      </c>
      <c r="U16" s="21">
        <f>Defaults!U16*Obligors!$G$16*Obligors!$H$16</f>
        <v/>
      </c>
      <c r="V16" s="21">
        <f>Defaults!V16*Obligors!$G$16*Obligors!$H$16</f>
        <v/>
      </c>
      <c r="W16" s="21">
        <f>Defaults!W16*Obligors!$G$16*Obligors!$H$16</f>
        <v/>
      </c>
      <c r="X16" s="21">
        <f>Defaults!X16*Obligors!$G$16*Obligors!$H$16</f>
        <v/>
      </c>
      <c r="Y16" s="21">
        <f>Defaults!Y16*Obligors!$G$16*Obligors!$H$16</f>
        <v/>
      </c>
      <c r="Z16" s="21">
        <f>Defaults!Z16*Obligors!$G$16*Obligors!$H$16</f>
        <v/>
      </c>
      <c r="AA16" s="21">
        <f>Defaults!AA16*Obligors!$G$16*Obligors!$H$16</f>
        <v/>
      </c>
      <c r="AB16" s="21">
        <f>Defaults!AB16*Obligors!$G$16*Obligors!$H$16</f>
        <v/>
      </c>
      <c r="AC16" s="21">
        <f>Defaults!AC16*Obligors!$G$16*Obligors!$H$16</f>
        <v/>
      </c>
      <c r="AD16" s="21">
        <f>Defaults!AD16*Obligors!$G$16*Obligors!$H$16</f>
        <v/>
      </c>
      <c r="AE16" s="21">
        <f>Defaults!AE16*Obligors!$G$16*Obligors!$H$16</f>
        <v/>
      </c>
      <c r="AF16" s="21">
        <f>Defaults!AF16*Obligors!$G$16*Obligors!$H$16</f>
        <v/>
      </c>
      <c r="AG16" s="21">
        <f>Defaults!AG16*Obligors!$G$16*Obligors!$H$16</f>
        <v/>
      </c>
      <c r="AH16" s="21">
        <f>Defaults!AH16*Obligors!$G$16*Obligors!$H$16</f>
        <v/>
      </c>
      <c r="AI16" s="21">
        <f>Defaults!AI16*Obligors!$G$16*Obligors!$H$16</f>
        <v/>
      </c>
      <c r="AJ16" s="21">
        <f>Defaults!AJ16*Obligors!$G$16*Obligors!$H$16</f>
        <v/>
      </c>
      <c r="AK16" s="21">
        <f>Defaults!AK16*Obligors!$G$16*Obligors!$H$16</f>
        <v/>
      </c>
      <c r="AL16" s="21">
        <f>Defaults!AL16*Obligors!$G$16*Obligors!$H$16</f>
        <v/>
      </c>
      <c r="AM16" s="21">
        <f>Defaults!AM16*Obligors!$G$16*Obligors!$H$16</f>
        <v/>
      </c>
      <c r="AN16" s="21">
        <f>Defaults!AN16*Obligors!$G$16*Obligors!$H$16</f>
        <v/>
      </c>
      <c r="AO16" s="21">
        <f>Defaults!AO16*Obligors!$G$16*Obligors!$H$16</f>
        <v/>
      </c>
      <c r="AP16" s="21">
        <f>Defaults!AP16*Obligors!$G$16*Obligors!$H$16</f>
        <v/>
      </c>
      <c r="AQ16" s="21">
        <f>Defaults!AQ16*Obligors!$G$16*Obligors!$H$16</f>
        <v/>
      </c>
      <c r="AR16" s="21">
        <f>Defaults!AR16*Obligors!$G$16*Obligors!$H$16</f>
        <v/>
      </c>
      <c r="AS16" s="21">
        <f>Defaults!AS16*Obligors!$G$16*Obligors!$H$16</f>
        <v/>
      </c>
      <c r="AT16" s="21">
        <f>Defaults!AT16*Obligors!$G$16*Obligors!$H$16</f>
        <v/>
      </c>
      <c r="AU16" s="21">
        <f>Defaults!AU16*Obligors!$G$16*Obligors!$H$16</f>
        <v/>
      </c>
      <c r="AV16" s="21">
        <f>Defaults!AV16*Obligors!$G$16*Obligors!$H$16</f>
        <v/>
      </c>
      <c r="AW16" s="21">
        <f>Defaults!AW16*Obligors!$G$16*Obligors!$H$16</f>
        <v/>
      </c>
      <c r="AX16" s="21">
        <f>Defaults!AX16*Obligors!$G$16*Obligors!$H$16</f>
        <v/>
      </c>
      <c r="AY16" s="21">
        <f>Defaults!AY16*Obligors!$G$16*Obligors!$H$16</f>
        <v/>
      </c>
      <c r="AZ16" s="21">
        <f>Defaults!AZ16*Obligors!$G$16*Obligors!$H$16</f>
        <v/>
      </c>
      <c r="BA16" s="21">
        <f>Defaults!BA16*Obligors!$G$16*Obligors!$H$16</f>
        <v/>
      </c>
      <c r="BB16" s="21">
        <f>Defaults!BB16*Obligors!$G$16*Obligors!$H$16</f>
        <v/>
      </c>
      <c r="BC16" s="21">
        <f>Defaults!BC16*Obligors!$G$16*Obligors!$H$16</f>
        <v/>
      </c>
      <c r="BD16" s="21">
        <f>Defaults!BD16*Obligors!$G$16*Obligors!$H$16</f>
        <v/>
      </c>
      <c r="BE16" s="21">
        <f>Defaults!BE16*Obligors!$G$16*Obligors!$H$16</f>
        <v/>
      </c>
      <c r="BF16" s="21">
        <f>Defaults!BF16*Obligors!$G$16*Obligors!$H$16</f>
        <v/>
      </c>
      <c r="BG16" s="21">
        <f>Defaults!BG16*Obligors!$G$16*Obligors!$H$16</f>
        <v/>
      </c>
      <c r="BH16" s="21">
        <f>Defaults!BH16*Obligors!$G$16*Obligors!$H$16</f>
        <v/>
      </c>
      <c r="BI16" s="21">
        <f>Defaults!BI16*Obligors!$G$16*Obligors!$H$16</f>
        <v/>
      </c>
      <c r="BJ16" s="21">
        <f>Defaults!BJ16*Obligors!$G$16*Obligors!$H$16</f>
        <v/>
      </c>
      <c r="BK16" s="21">
        <f>Defaults!BK16*Obligors!$G$16*Obligors!$H$16</f>
        <v/>
      </c>
      <c r="BL16" s="21">
        <f>Defaults!BL16*Obligors!$G$16*Obligors!$H$16</f>
        <v/>
      </c>
      <c r="BM16" s="21">
        <f>Defaults!BM16*Obligors!$G$16*Obligors!$H$16</f>
        <v/>
      </c>
      <c r="BN16" s="21">
        <f>Defaults!BN16*Obligors!$G$16*Obligors!$H$16</f>
        <v/>
      </c>
      <c r="BO16" s="21">
        <f>Defaults!BO16*Obligors!$G$16*Obligors!$H$16</f>
        <v/>
      </c>
      <c r="BP16" s="21">
        <f>Defaults!BP16*Obligors!$G$16*Obligors!$H$16</f>
        <v/>
      </c>
      <c r="BQ16" s="21">
        <f>Defaults!BQ16*Obligors!$G$16*Obligors!$H$16</f>
        <v/>
      </c>
      <c r="BR16" s="21">
        <f>Defaults!BR16*Obligors!$G$16*Obligors!$H$16</f>
        <v/>
      </c>
      <c r="BS16" s="21">
        <f>Defaults!BS16*Obligors!$G$16*Obligors!$H$16</f>
        <v/>
      </c>
      <c r="BT16" s="21">
        <f>Defaults!BT16*Obligors!$G$16*Obligors!$H$16</f>
        <v/>
      </c>
      <c r="BU16" s="21">
        <f>Defaults!BU16*Obligors!$G$16*Obligors!$H$16</f>
        <v/>
      </c>
      <c r="BV16" s="21">
        <f>Defaults!BV16*Obligors!$G$16*Obligors!$H$16</f>
        <v/>
      </c>
      <c r="BW16" s="21">
        <f>Defaults!BW16*Obligors!$G$16*Obligors!$H$16</f>
        <v/>
      </c>
      <c r="BX16" s="21">
        <f>Defaults!BX16*Obligors!$G$16*Obligors!$H$16</f>
        <v/>
      </c>
      <c r="BY16" s="21">
        <f>Defaults!BY16*Obligors!$G$16*Obligors!$H$16</f>
        <v/>
      </c>
      <c r="BZ16" s="21">
        <f>Defaults!BZ16*Obligors!$G$16*Obligors!$H$16</f>
        <v/>
      </c>
      <c r="CA16" s="21">
        <f>Defaults!CA16*Obligors!$G$16*Obligors!$H$16</f>
        <v/>
      </c>
      <c r="CB16" s="21">
        <f>Defaults!CB16*Obligors!$G$16*Obligors!$H$16</f>
        <v/>
      </c>
      <c r="CC16" s="21">
        <f>Defaults!CC16*Obligors!$G$16*Obligors!$H$16</f>
        <v/>
      </c>
      <c r="CD16" s="21">
        <f>Defaults!CD16*Obligors!$G$16*Obligors!$H$16</f>
        <v/>
      </c>
      <c r="CE16" s="21">
        <f>Defaults!CE16*Obligors!$G$16*Obligors!$H$16</f>
        <v/>
      </c>
      <c r="CF16" s="21">
        <f>Defaults!CF16*Obligors!$G$16*Obligors!$H$16</f>
        <v/>
      </c>
      <c r="CG16" s="21">
        <f>Defaults!CG16*Obligors!$G$16*Obligors!$H$16</f>
        <v/>
      </c>
      <c r="CH16" s="21">
        <f>Defaults!CH16*Obligors!$G$16*Obligors!$H$16</f>
        <v/>
      </c>
      <c r="CI16" s="21">
        <f>Defaults!CI16*Obligors!$G$16*Obligors!$H$16</f>
        <v/>
      </c>
      <c r="CJ16" s="21">
        <f>Defaults!CJ16*Obligors!$G$16*Obligors!$H$16</f>
        <v/>
      </c>
      <c r="CK16" s="21">
        <f>Defaults!CK16*Obligors!$G$16*Obligors!$H$16</f>
        <v/>
      </c>
      <c r="CL16" s="21">
        <f>Defaults!CL16*Obligors!$G$16*Obligors!$H$16</f>
        <v/>
      </c>
      <c r="CM16" s="21">
        <f>Defaults!CM16*Obligors!$G$16*Obligors!$H$16</f>
        <v/>
      </c>
      <c r="CN16" s="21">
        <f>Defaults!CN16*Obligors!$G$16*Obligors!$H$16</f>
        <v/>
      </c>
      <c r="CO16" s="21">
        <f>Defaults!CO16*Obligors!$G$16*Obligors!$H$16</f>
        <v/>
      </c>
      <c r="CP16" s="21">
        <f>Defaults!CP16*Obligors!$G$16*Obligors!$H$16</f>
        <v/>
      </c>
      <c r="CQ16" s="21">
        <f>Defaults!CQ16*Obligors!$G$16*Obligors!$H$16</f>
        <v/>
      </c>
      <c r="CR16" s="21">
        <f>Defaults!CR16*Obligors!$G$16*Obligors!$H$16</f>
        <v/>
      </c>
      <c r="CS16" s="21">
        <f>Defaults!CS16*Obligors!$G$16*Obligors!$H$16</f>
        <v/>
      </c>
      <c r="CT16" s="21">
        <f>Defaults!CT16*Obligors!$G$16*Obligors!$H$16</f>
        <v/>
      </c>
      <c r="CU16" s="21">
        <f>Defaults!CU16*Obligors!$G$16*Obligors!$H$16</f>
        <v/>
      </c>
      <c r="CV16" s="21">
        <f>Defaults!CV16*Obligors!$G$16*Obligors!$H$16</f>
        <v/>
      </c>
      <c r="CW16" s="21">
        <f>Defaults!CW16*Obligors!$G$16*Obligors!$H$16</f>
        <v/>
      </c>
      <c r="CX16" s="21">
        <f>Defaults!CX16*Obligors!$G$16*Obligors!$H$16</f>
        <v/>
      </c>
      <c r="CY16" s="21">
        <f>Defaults!CY16*Obligors!$G$16*Obligors!$H$16</f>
        <v/>
      </c>
      <c r="CZ16" s="21">
        <f>Defaults!CZ16*Obligors!$G$16*Obligors!$H$16</f>
        <v/>
      </c>
      <c r="DA16" s="21">
        <f>Defaults!DA16*Obligors!$G$16*Obligors!$H$16</f>
        <v/>
      </c>
      <c r="DB16" s="21">
        <f>Defaults!DB16*Obligors!$G$16*Obligors!$H$16</f>
        <v/>
      </c>
      <c r="DC16" s="21">
        <f>Defaults!DC16*Obligors!$G$16*Obligors!$H$16</f>
        <v/>
      </c>
      <c r="DD16" s="21">
        <f>Defaults!DD16*Obligors!$G$16*Obligors!$H$16</f>
        <v/>
      </c>
      <c r="DE16" s="21">
        <f>Defaults!DE16*Obligors!$G$16*Obligors!$H$16</f>
        <v/>
      </c>
      <c r="DF16" s="21">
        <f>Defaults!DF16*Obligors!$G$16*Obligors!$H$16</f>
        <v/>
      </c>
      <c r="DG16" s="21">
        <f>Defaults!DG16*Obligors!$G$16*Obligors!$H$16</f>
        <v/>
      </c>
      <c r="DH16" s="21">
        <f>Defaults!DH16*Obligors!$G$16*Obligors!$H$16</f>
        <v/>
      </c>
      <c r="DI16" s="21">
        <f>Defaults!DI16*Obligors!$G$16*Obligors!$H$16</f>
        <v/>
      </c>
      <c r="DJ16" s="21">
        <f>Defaults!DJ16*Obligors!$G$16*Obligors!$H$16</f>
        <v/>
      </c>
      <c r="DK16" s="21">
        <f>Defaults!DK16*Obligors!$G$16*Obligors!$H$16</f>
        <v/>
      </c>
      <c r="DL16" s="21">
        <f>Defaults!DL16*Obligors!$G$16*Obligors!$H$16</f>
        <v/>
      </c>
      <c r="DM16" s="21">
        <f>Defaults!DM16*Obligors!$G$16*Obligors!$H$16</f>
        <v/>
      </c>
      <c r="DN16" s="21">
        <f>Defaults!DN16*Obligors!$G$16*Obligors!$H$16</f>
        <v/>
      </c>
      <c r="DO16" s="21">
        <f>Defaults!DO16*Obligors!$G$16*Obligors!$H$16</f>
        <v/>
      </c>
      <c r="DP16" s="21">
        <f>Defaults!DP16*Obligors!$G$16*Obligors!$H$16</f>
        <v/>
      </c>
      <c r="DQ16" s="21">
        <f>Defaults!DQ16*Obligors!$G$16*Obligors!$H$16</f>
        <v/>
      </c>
      <c r="DR16" s="21">
        <f>Defaults!DR16*Obligors!$G$16*Obligors!$H$16</f>
        <v/>
      </c>
      <c r="DS16" s="21">
        <f>Defaults!DS16*Obligors!$G$16*Obligors!$H$16</f>
        <v/>
      </c>
      <c r="DT16" s="21">
        <f>Defaults!DT16*Obligors!$G$16*Obligors!$H$16</f>
        <v/>
      </c>
      <c r="DU16" s="21">
        <f>Defaults!DU16*Obligors!$G$16*Obligors!$H$16</f>
        <v/>
      </c>
      <c r="DV16" s="21">
        <f>Defaults!DV16*Obligors!$G$16*Obligors!$H$16</f>
        <v/>
      </c>
      <c r="DW16" s="21">
        <f>Defaults!DW16*Obligors!$G$16*Obligors!$H$16</f>
        <v/>
      </c>
      <c r="DX16" s="21">
        <f>Defaults!DX16*Obligors!$G$16*Obligors!$H$16</f>
        <v/>
      </c>
      <c r="DY16" s="21">
        <f>Defaults!DY16*Obligors!$G$16*Obligors!$H$16</f>
        <v/>
      </c>
      <c r="DZ16" s="21">
        <f>Defaults!DZ16*Obligors!$G$16*Obligors!$H$16</f>
        <v/>
      </c>
      <c r="EA16" s="21">
        <f>Defaults!EA16*Obligors!$G$16*Obligors!$H$16</f>
        <v/>
      </c>
      <c r="EB16" s="21">
        <f>Defaults!EB16*Obligors!$G$16*Obligors!$H$16</f>
        <v/>
      </c>
      <c r="EC16" s="21">
        <f>Defaults!EC16*Obligors!$G$16*Obligors!$H$16</f>
        <v/>
      </c>
      <c r="ED16" s="21">
        <f>Defaults!ED16*Obligors!$G$16*Obligors!$H$16</f>
        <v/>
      </c>
      <c r="EE16" s="21">
        <f>Defaults!EE16*Obligors!$G$16*Obligors!$H$16</f>
        <v/>
      </c>
      <c r="EF16" s="21">
        <f>Defaults!EF16*Obligors!$G$16*Obligors!$H$16</f>
        <v/>
      </c>
      <c r="EG16" s="21">
        <f>Defaults!EG16*Obligors!$G$16*Obligors!$H$16</f>
        <v/>
      </c>
      <c r="EH16" s="21">
        <f>Defaults!EH16*Obligors!$G$16*Obligors!$H$16</f>
        <v/>
      </c>
      <c r="EI16" s="21">
        <f>Defaults!EI16*Obligors!$G$16*Obligors!$H$16</f>
        <v/>
      </c>
      <c r="EJ16" s="21">
        <f>Defaults!EJ16*Obligors!$G$16*Obligors!$H$16</f>
        <v/>
      </c>
      <c r="EK16" s="21">
        <f>Defaults!EK16*Obligors!$G$16*Obligors!$H$16</f>
        <v/>
      </c>
      <c r="EL16" s="21">
        <f>Defaults!EL16*Obligors!$G$16*Obligors!$H$16</f>
        <v/>
      </c>
      <c r="EM16" s="21">
        <f>Defaults!EM16*Obligors!$G$16*Obligors!$H$16</f>
        <v/>
      </c>
      <c r="EN16" s="21">
        <f>Defaults!EN16*Obligors!$G$16*Obligors!$H$16</f>
        <v/>
      </c>
      <c r="EO16" s="21">
        <f>Defaults!EO16*Obligors!$G$16*Obligors!$H$16</f>
        <v/>
      </c>
      <c r="EP16" s="21">
        <f>Defaults!EP16*Obligors!$G$16*Obligors!$H$16</f>
        <v/>
      </c>
      <c r="EQ16" s="21">
        <f>Defaults!EQ16*Obligors!$G$16*Obligors!$H$16</f>
        <v/>
      </c>
      <c r="ER16" s="21">
        <f>Defaults!ER16*Obligors!$G$16*Obligors!$H$16</f>
        <v/>
      </c>
      <c r="ES16" s="21">
        <f>Defaults!ES16*Obligors!$G$16*Obligors!$H$16</f>
        <v/>
      </c>
      <c r="ET16" s="21">
        <f>Defaults!ET16*Obligors!$G$16*Obligors!$H$16</f>
        <v/>
      </c>
      <c r="EU16" s="21">
        <f>Defaults!EU16*Obligors!$G$16*Obligors!$H$16</f>
        <v/>
      </c>
      <c r="EV16" s="21">
        <f>Defaults!EV16*Obligors!$G$16*Obligors!$H$16</f>
        <v/>
      </c>
      <c r="EW16" s="21">
        <f>Defaults!EW16*Obligors!$G$16*Obligors!$H$16</f>
        <v/>
      </c>
      <c r="EX16" s="21">
        <f>Defaults!EX16*Obligors!$G$16*Obligors!$H$16</f>
        <v/>
      </c>
      <c r="EY16" s="21">
        <f>Defaults!EY16*Obligors!$G$16*Obligors!$H$16</f>
        <v/>
      </c>
      <c r="EZ16" s="21">
        <f>Defaults!EZ16*Obligors!$G$16*Obligors!$H$16</f>
        <v/>
      </c>
      <c r="FA16" s="21">
        <f>Defaults!FA16*Obligors!$G$16*Obligors!$H$16</f>
        <v/>
      </c>
      <c r="FB16" s="21">
        <f>Defaults!FB16*Obligors!$G$16*Obligors!$H$16</f>
        <v/>
      </c>
      <c r="FC16" s="21">
        <f>Defaults!FC16*Obligors!$G$16*Obligors!$H$16</f>
        <v/>
      </c>
      <c r="FD16" s="21">
        <f>Defaults!FD16*Obligors!$G$16*Obligors!$H$16</f>
        <v/>
      </c>
      <c r="FE16" s="21">
        <f>Defaults!FE16*Obligors!$G$16*Obligors!$H$16</f>
        <v/>
      </c>
      <c r="FF16" s="21">
        <f>Defaults!FF16*Obligors!$G$16*Obligors!$H$16</f>
        <v/>
      </c>
      <c r="FG16" s="21">
        <f>Defaults!FG16*Obligors!$G$16*Obligors!$H$16</f>
        <v/>
      </c>
      <c r="FH16" s="21">
        <f>Defaults!FH16*Obligors!$G$16*Obligors!$H$16</f>
        <v/>
      </c>
      <c r="FI16" s="21">
        <f>Defaults!FI16*Obligors!$G$16*Obligors!$H$16</f>
        <v/>
      </c>
      <c r="FJ16" s="21">
        <f>Defaults!FJ16*Obligors!$G$16*Obligors!$H$16</f>
        <v/>
      </c>
      <c r="FK16" s="21">
        <f>Defaults!FK16*Obligors!$G$16*Obligors!$H$16</f>
        <v/>
      </c>
      <c r="FL16" s="21">
        <f>Defaults!FL16*Obligors!$G$16*Obligors!$H$16</f>
        <v/>
      </c>
      <c r="FM16" s="21">
        <f>Defaults!FM16*Obligors!$G$16*Obligors!$H$16</f>
        <v/>
      </c>
      <c r="FN16" s="21">
        <f>Defaults!FN16*Obligors!$G$16*Obligors!$H$16</f>
        <v/>
      </c>
      <c r="FO16" s="21">
        <f>Defaults!FO16*Obligors!$G$16*Obligors!$H$16</f>
        <v/>
      </c>
      <c r="FP16" s="21">
        <f>Defaults!FP16*Obligors!$G$16*Obligors!$H$16</f>
        <v/>
      </c>
      <c r="FQ16" s="21">
        <f>Defaults!FQ16*Obligors!$G$16*Obligors!$H$16</f>
        <v/>
      </c>
      <c r="FR16" s="21">
        <f>Defaults!FR16*Obligors!$G$16*Obligors!$H$16</f>
        <v/>
      </c>
      <c r="FS16" s="21">
        <f>Defaults!FS16*Obligors!$G$16*Obligors!$H$16</f>
        <v/>
      </c>
      <c r="FT16" s="21">
        <f>Defaults!FT16*Obligors!$G$16*Obligors!$H$16</f>
        <v/>
      </c>
      <c r="FU16" s="21">
        <f>Defaults!FU16*Obligors!$G$16*Obligors!$H$16</f>
        <v/>
      </c>
      <c r="FV16" s="21">
        <f>Defaults!FV16*Obligors!$G$16*Obligors!$H$16</f>
        <v/>
      </c>
      <c r="FW16" s="21">
        <f>Defaults!FW16*Obligors!$G$16*Obligors!$H$16</f>
        <v/>
      </c>
      <c r="FX16" s="21">
        <f>Defaults!FX16*Obligors!$G$16*Obligors!$H$16</f>
        <v/>
      </c>
      <c r="FY16" s="21">
        <f>Defaults!FY16*Obligors!$G$16*Obligors!$H$16</f>
        <v/>
      </c>
      <c r="FZ16" s="21">
        <f>Defaults!FZ16*Obligors!$G$16*Obligors!$H$16</f>
        <v/>
      </c>
      <c r="GA16" s="21">
        <f>Defaults!GA16*Obligors!$G$16*Obligors!$H$16</f>
        <v/>
      </c>
      <c r="GB16" s="21">
        <f>Defaults!GB16*Obligors!$G$16*Obligors!$H$16</f>
        <v/>
      </c>
      <c r="GC16" s="21">
        <f>Defaults!GC16*Obligors!$G$16*Obligors!$H$16</f>
        <v/>
      </c>
      <c r="GD16" s="21">
        <f>Defaults!GD16*Obligors!$G$16*Obligors!$H$16</f>
        <v/>
      </c>
      <c r="GE16" s="21">
        <f>Defaults!GE16*Obligors!$G$16*Obligors!$H$16</f>
        <v/>
      </c>
      <c r="GF16" s="21">
        <f>Defaults!GF16*Obligors!$G$16*Obligors!$H$16</f>
        <v/>
      </c>
      <c r="GG16" s="21">
        <f>Defaults!GG16*Obligors!$G$16*Obligors!$H$16</f>
        <v/>
      </c>
      <c r="GH16" s="21">
        <f>Defaults!GH16*Obligors!$G$16*Obligors!$H$16</f>
        <v/>
      </c>
      <c r="GI16" s="21">
        <f>Defaults!GI16*Obligors!$G$16*Obligors!$H$16</f>
        <v/>
      </c>
      <c r="GJ16" s="21">
        <f>Defaults!GJ16*Obligors!$G$16*Obligors!$H$16</f>
        <v/>
      </c>
      <c r="GK16" s="21">
        <f>Defaults!GK16*Obligors!$G$16*Obligors!$H$16</f>
        <v/>
      </c>
      <c r="GL16" s="21">
        <f>Defaults!GL16*Obligors!$G$16*Obligors!$H$16</f>
        <v/>
      </c>
      <c r="GM16" s="21">
        <f>Defaults!GM16*Obligors!$G$16*Obligors!$H$16</f>
        <v/>
      </c>
      <c r="GN16" s="21">
        <f>Defaults!GN16*Obligors!$G$16*Obligors!$H$16</f>
        <v/>
      </c>
      <c r="GO16" s="21">
        <f>Defaults!GO16*Obligors!$G$16*Obligors!$H$16</f>
        <v/>
      </c>
      <c r="GP16" s="21">
        <f>Defaults!GP16*Obligors!$G$16*Obligors!$H$16</f>
        <v/>
      </c>
      <c r="GQ16" s="21">
        <f>Defaults!GQ16*Obligors!$G$16*Obligors!$H$16</f>
        <v/>
      </c>
      <c r="GR16" s="21">
        <f>Defaults!GR16*Obligors!$G$16*Obligors!$H$16</f>
        <v/>
      </c>
      <c r="GS16" s="21">
        <f>Defaults!GS16*Obligors!$G$16*Obligors!$H$16</f>
        <v/>
      </c>
      <c r="GT16" s="21">
        <f>Defaults!GT16*Obligors!$G$16*Obligors!$H$16</f>
        <v/>
      </c>
      <c r="GU16" s="21">
        <f>Defaults!GU16*Obligors!$G$16*Obligors!$H$16</f>
        <v/>
      </c>
      <c r="GV16" s="21">
        <f>Defaults!GV16*Obligors!$G$16*Obligors!$H$16</f>
        <v/>
      </c>
      <c r="GW16" s="21">
        <f>Defaults!GW16*Obligors!$G$16*Obligors!$H$16</f>
        <v/>
      </c>
      <c r="GX16" s="21">
        <f>Defaults!GX16*Obligors!$G$16*Obligors!$H$16</f>
        <v/>
      </c>
      <c r="GY16" s="21">
        <f>Defaults!GY16*Obligors!$G$16*Obligors!$H$16</f>
        <v/>
      </c>
      <c r="GZ16" s="21">
        <f>Defaults!GZ16*Obligors!$G$16*Obligors!$H$16</f>
        <v/>
      </c>
      <c r="HA16" s="21">
        <f>Defaults!HA16*Obligors!$G$16*Obligors!$H$16</f>
        <v/>
      </c>
      <c r="HB16" s="21">
        <f>Defaults!HB16*Obligors!$G$16*Obligors!$H$16</f>
        <v/>
      </c>
      <c r="HC16" s="21">
        <f>Defaults!HC16*Obligors!$G$16*Obligors!$H$16</f>
        <v/>
      </c>
      <c r="HD16" s="21">
        <f>Defaults!HD16*Obligors!$G$16*Obligors!$H$16</f>
        <v/>
      </c>
      <c r="HE16" s="21">
        <f>Defaults!HE16*Obligors!$G$16*Obligors!$H$16</f>
        <v/>
      </c>
      <c r="HF16" s="21">
        <f>Defaults!HF16*Obligors!$G$16*Obligors!$H$16</f>
        <v/>
      </c>
      <c r="HG16" s="21">
        <f>Defaults!HG16*Obligors!$G$16*Obligors!$H$16</f>
        <v/>
      </c>
      <c r="HH16" s="21">
        <f>Defaults!HH16*Obligors!$G$16*Obligors!$H$16</f>
        <v/>
      </c>
      <c r="HI16" s="21">
        <f>Defaults!HI16*Obligors!$G$16*Obligors!$H$16</f>
        <v/>
      </c>
      <c r="HJ16" s="21">
        <f>Defaults!HJ16*Obligors!$G$16*Obligors!$H$16</f>
        <v/>
      </c>
      <c r="HK16" s="21">
        <f>Defaults!HK16*Obligors!$G$16*Obligors!$H$16</f>
        <v/>
      </c>
      <c r="HL16" s="21">
        <f>Defaults!HL16*Obligors!$G$16*Obligors!$H$16</f>
        <v/>
      </c>
      <c r="HM16" s="21">
        <f>Defaults!HM16*Obligors!$G$16*Obligors!$H$16</f>
        <v/>
      </c>
      <c r="HN16" s="21">
        <f>Defaults!HN16*Obligors!$G$16*Obligors!$H$16</f>
        <v/>
      </c>
      <c r="HO16" s="21">
        <f>Defaults!HO16*Obligors!$G$16*Obligors!$H$16</f>
        <v/>
      </c>
      <c r="HP16" s="21">
        <f>Defaults!HP16*Obligors!$G$16*Obligors!$H$16</f>
        <v/>
      </c>
      <c r="HQ16" s="21">
        <f>Defaults!HQ16*Obligors!$G$16*Obligors!$H$16</f>
        <v/>
      </c>
      <c r="HR16" s="21">
        <f>Defaults!HR16*Obligors!$G$16*Obligors!$H$16</f>
        <v/>
      </c>
      <c r="HS16" s="21">
        <f>Defaults!HS16*Obligors!$G$16*Obligors!$H$16</f>
        <v/>
      </c>
      <c r="HT16" s="21">
        <f>Defaults!HT16*Obligors!$G$16*Obligors!$H$16</f>
        <v/>
      </c>
      <c r="HU16" s="21">
        <f>Defaults!HU16*Obligors!$G$16*Obligors!$H$16</f>
        <v/>
      </c>
      <c r="HV16" s="21">
        <f>Defaults!HV16*Obligors!$G$16*Obligors!$H$16</f>
        <v/>
      </c>
      <c r="HW16" s="21">
        <f>Defaults!HW16*Obligors!$G$16*Obligors!$H$16</f>
        <v/>
      </c>
      <c r="HX16" s="21">
        <f>Defaults!HX16*Obligors!$G$16*Obligors!$H$16</f>
        <v/>
      </c>
      <c r="HY16" s="21">
        <f>Defaults!HY16*Obligors!$G$16*Obligors!$H$16</f>
        <v/>
      </c>
      <c r="HZ16" s="21">
        <f>Defaults!HZ16*Obligors!$G$16*Obligors!$H$16</f>
        <v/>
      </c>
      <c r="IA16" s="21">
        <f>Defaults!IA16*Obligors!$G$16*Obligors!$H$16</f>
        <v/>
      </c>
      <c r="IB16" s="21">
        <f>Defaults!IB16*Obligors!$G$16*Obligors!$H$16</f>
        <v/>
      </c>
      <c r="IC16" s="21">
        <f>Defaults!IC16*Obligors!$G$16*Obligors!$H$16</f>
        <v/>
      </c>
      <c r="ID16" s="21">
        <f>Defaults!ID16*Obligors!$G$16*Obligors!$H$16</f>
        <v/>
      </c>
      <c r="IE16" s="21">
        <f>Defaults!IE16*Obligors!$G$16*Obligors!$H$16</f>
        <v/>
      </c>
      <c r="IF16" s="21">
        <f>Defaults!IF16*Obligors!$G$16*Obligors!$H$16</f>
        <v/>
      </c>
      <c r="IG16" s="21">
        <f>Defaults!IG16*Obligors!$G$16*Obligors!$H$16</f>
        <v/>
      </c>
      <c r="IH16" s="21">
        <f>Defaults!IH16*Obligors!$G$16*Obligors!$H$16</f>
        <v/>
      </c>
      <c r="II16" s="21">
        <f>Defaults!II16*Obligors!$G$16*Obligors!$H$16</f>
        <v/>
      </c>
      <c r="IJ16" s="21">
        <f>Defaults!IJ16*Obligors!$G$16*Obligors!$H$16</f>
        <v/>
      </c>
      <c r="IK16" s="21">
        <f>Defaults!IK16*Obligors!$G$16*Obligors!$H$16</f>
        <v/>
      </c>
      <c r="IL16" s="21">
        <f>Defaults!IL16*Obligors!$G$16*Obligors!$H$16</f>
        <v/>
      </c>
      <c r="IM16" s="21">
        <f>Defaults!IM16*Obligors!$G$16*Obligors!$H$16</f>
        <v/>
      </c>
      <c r="IN16" s="21">
        <f>Defaults!IN16*Obligors!$G$16*Obligors!$H$16</f>
        <v/>
      </c>
      <c r="IO16" s="21">
        <f>Defaults!IO16*Obligors!$G$16*Obligors!$H$16</f>
        <v/>
      </c>
      <c r="IP16" s="21">
        <f>Defaults!IP16*Obligors!$G$16*Obligors!$H$16</f>
        <v/>
      </c>
      <c r="IQ16" s="21">
        <f>Defaults!IQ16*Obligors!$G$16*Obligors!$H$16</f>
        <v/>
      </c>
      <c r="IR16" s="21">
        <f>Defaults!IR16*Obligors!$G$16*Obligors!$H$16</f>
        <v/>
      </c>
      <c r="IS16" s="21">
        <f>Defaults!IS16*Obligors!$G$16*Obligors!$H$16</f>
        <v/>
      </c>
      <c r="IT16" s="21">
        <f>Defaults!IT16*Obligors!$G$16*Obligors!$H$16</f>
        <v/>
      </c>
      <c r="IU16" s="21">
        <f>Defaults!IU16*Obligors!$G$16*Obligors!$H$16</f>
        <v/>
      </c>
      <c r="IV16" s="21">
        <f>Defaults!IV16*Obligors!$G$16*Obligors!$H$16</f>
        <v/>
      </c>
      <c r="IW16" s="21">
        <f>Defaults!IW16*Obligors!$G$16*Obligors!$H$16</f>
        <v/>
      </c>
      <c r="IX16" s="21">
        <f>Defaults!IX16*Obligors!$G$16*Obligors!$H$16</f>
        <v/>
      </c>
      <c r="IY16" s="21">
        <f>Defaults!IY16*Obligors!$G$16*Obligors!$H$16</f>
        <v/>
      </c>
      <c r="IZ16" s="21">
        <f>Defaults!IZ16*Obligors!$G$16*Obligors!$H$16</f>
        <v/>
      </c>
      <c r="JA16" s="21">
        <f>Defaults!JA16*Obligors!$G$16*Obligors!$H$16</f>
        <v/>
      </c>
      <c r="JB16" s="21">
        <f>Defaults!JB16*Obligors!$G$16*Obligors!$H$16</f>
        <v/>
      </c>
      <c r="JC16" s="21">
        <f>Defaults!JC16*Obligors!$G$16*Obligors!$H$16</f>
        <v/>
      </c>
      <c r="JD16" s="21">
        <f>Defaults!JD16*Obligors!$G$16*Obligors!$H$16</f>
        <v/>
      </c>
      <c r="JE16" s="21">
        <f>Defaults!JE16*Obligors!$G$16*Obligors!$H$16</f>
        <v/>
      </c>
      <c r="JF16" s="21">
        <f>Defaults!JF16*Obligors!$G$16*Obligors!$H$16</f>
        <v/>
      </c>
      <c r="JG16" s="21">
        <f>Defaults!JG16*Obligors!$G$16*Obligors!$H$16</f>
        <v/>
      </c>
      <c r="JH16" s="21">
        <f>Defaults!JH16*Obligors!$G$16*Obligors!$H$16</f>
        <v/>
      </c>
      <c r="JI16" s="21">
        <f>Defaults!JI16*Obligors!$G$16*Obligors!$H$16</f>
        <v/>
      </c>
      <c r="JJ16" s="21">
        <f>Defaults!JJ16*Obligors!$G$16*Obligors!$H$16</f>
        <v/>
      </c>
      <c r="JK16" s="21">
        <f>Defaults!JK16*Obligors!$G$16*Obligors!$H$16</f>
        <v/>
      </c>
      <c r="JL16" s="21">
        <f>Defaults!JL16*Obligors!$G$16*Obligors!$H$16</f>
        <v/>
      </c>
      <c r="JM16" s="21">
        <f>Defaults!JM16*Obligors!$G$16*Obligors!$H$16</f>
        <v/>
      </c>
      <c r="JN16" s="21">
        <f>Defaults!JN16*Obligors!$G$16*Obligors!$H$16</f>
        <v/>
      </c>
      <c r="JO16" s="21">
        <f>Defaults!JO16*Obligors!$G$16*Obligors!$H$16</f>
        <v/>
      </c>
      <c r="JP16" s="21">
        <f>Defaults!JP16*Obligors!$G$16*Obligors!$H$16</f>
        <v/>
      </c>
      <c r="JQ16" s="21">
        <f>Defaults!JQ16*Obligors!$G$16*Obligors!$H$16</f>
        <v/>
      </c>
      <c r="JR16" s="21">
        <f>Defaults!JR16*Obligors!$G$16*Obligors!$H$16</f>
        <v/>
      </c>
      <c r="JS16" s="21">
        <f>Defaults!JS16*Obligors!$G$16*Obligors!$H$16</f>
        <v/>
      </c>
      <c r="JT16" s="21">
        <f>Defaults!JT16*Obligors!$G$16*Obligors!$H$16</f>
        <v/>
      </c>
      <c r="JU16" s="21">
        <f>Defaults!JU16*Obligors!$G$16*Obligors!$H$16</f>
        <v/>
      </c>
      <c r="JV16" s="21">
        <f>Defaults!JV16*Obligors!$G$16*Obligors!$H$16</f>
        <v/>
      </c>
      <c r="JW16" s="21">
        <f>Defaults!JW16*Obligors!$G$16*Obligors!$H$16</f>
        <v/>
      </c>
      <c r="JX16" s="21">
        <f>Defaults!JX16*Obligors!$G$16*Obligors!$H$16</f>
        <v/>
      </c>
      <c r="JY16" s="21">
        <f>Defaults!JY16*Obligors!$G$16*Obligors!$H$16</f>
        <v/>
      </c>
      <c r="JZ16" s="21">
        <f>Defaults!JZ16*Obligors!$G$16*Obligors!$H$16</f>
        <v/>
      </c>
      <c r="KA16" s="21">
        <f>Defaults!KA16*Obligors!$G$16*Obligors!$H$16</f>
        <v/>
      </c>
      <c r="KB16" s="21">
        <f>Defaults!KB16*Obligors!$G$16*Obligors!$H$16</f>
        <v/>
      </c>
      <c r="KC16" s="21">
        <f>Defaults!KC16*Obligors!$G$16*Obligors!$H$16</f>
        <v/>
      </c>
      <c r="KD16" s="21">
        <f>Defaults!KD16*Obligors!$G$16*Obligors!$H$16</f>
        <v/>
      </c>
      <c r="KE16" s="21">
        <f>Defaults!KE16*Obligors!$G$16*Obligors!$H$16</f>
        <v/>
      </c>
      <c r="KF16" s="21">
        <f>Defaults!KF16*Obligors!$G$16*Obligors!$H$16</f>
        <v/>
      </c>
      <c r="KG16" s="21">
        <f>Defaults!KG16*Obligors!$G$16*Obligors!$H$16</f>
        <v/>
      </c>
      <c r="KH16" s="21">
        <f>Defaults!KH16*Obligors!$G$16*Obligors!$H$16</f>
        <v/>
      </c>
      <c r="KI16" s="21">
        <f>Defaults!KI16*Obligors!$G$16*Obligors!$H$16</f>
        <v/>
      </c>
      <c r="KJ16" s="21">
        <f>Defaults!KJ16*Obligors!$G$16*Obligors!$H$16</f>
        <v/>
      </c>
      <c r="KK16" s="21">
        <f>Defaults!KK16*Obligors!$G$16*Obligors!$H$16</f>
        <v/>
      </c>
      <c r="KL16" s="21">
        <f>Defaults!KL16*Obligors!$G$16*Obligors!$H$16</f>
        <v/>
      </c>
      <c r="KM16" s="21">
        <f>Defaults!KM16*Obligors!$G$16*Obligors!$H$16</f>
        <v/>
      </c>
      <c r="KN16" s="21">
        <f>Defaults!KN16*Obligors!$G$16*Obligors!$H$16</f>
        <v/>
      </c>
      <c r="KO16" s="21">
        <f>Defaults!KO16*Obligors!$G$16*Obligors!$H$16</f>
        <v/>
      </c>
      <c r="KP16" s="21">
        <f>Defaults!KP16*Obligors!$G$16*Obligors!$H$16</f>
        <v/>
      </c>
      <c r="KQ16" s="21">
        <f>Defaults!KQ16*Obligors!$G$16*Obligors!$H$16</f>
        <v/>
      </c>
      <c r="KR16" s="21">
        <f>Defaults!KR16*Obligors!$G$16*Obligors!$H$16</f>
        <v/>
      </c>
      <c r="KS16" s="21">
        <f>Defaults!KS16*Obligors!$G$16*Obligors!$H$16</f>
        <v/>
      </c>
      <c r="KT16" s="21">
        <f>Defaults!KT16*Obligors!$G$16*Obligors!$H$16</f>
        <v/>
      </c>
      <c r="KU16" s="21">
        <f>Defaults!KU16*Obligors!$G$16*Obligors!$H$16</f>
        <v/>
      </c>
      <c r="KV16" s="21">
        <f>Defaults!KV16*Obligors!$G$16*Obligors!$H$16</f>
        <v/>
      </c>
      <c r="KW16" s="21">
        <f>Defaults!KW16*Obligors!$G$16*Obligors!$H$16</f>
        <v/>
      </c>
      <c r="KX16" s="21">
        <f>Defaults!KX16*Obligors!$G$16*Obligors!$H$16</f>
        <v/>
      </c>
      <c r="KY16" s="21">
        <f>Defaults!KY16*Obligors!$G$16*Obligors!$H$16</f>
        <v/>
      </c>
      <c r="KZ16" s="21">
        <f>Defaults!KZ16*Obligors!$G$16*Obligors!$H$16</f>
        <v/>
      </c>
      <c r="LA16" s="21">
        <f>Defaults!LA16*Obligors!$G$16*Obligors!$H$16</f>
        <v/>
      </c>
      <c r="LB16" s="21">
        <f>Defaults!LB16*Obligors!$G$16*Obligors!$H$16</f>
        <v/>
      </c>
      <c r="LC16" s="21">
        <f>Defaults!LC16*Obligors!$G$16*Obligors!$H$16</f>
        <v/>
      </c>
      <c r="LD16" s="21">
        <f>Defaults!LD16*Obligors!$G$16*Obligors!$H$16</f>
        <v/>
      </c>
      <c r="LE16" s="21">
        <f>Defaults!LE16*Obligors!$G$16*Obligors!$H$16</f>
        <v/>
      </c>
      <c r="LF16" s="21">
        <f>Defaults!LF16*Obligors!$G$16*Obligors!$H$16</f>
        <v/>
      </c>
      <c r="LG16" s="21">
        <f>Defaults!LG16*Obligors!$G$16*Obligors!$H$16</f>
        <v/>
      </c>
      <c r="LH16" s="21">
        <f>Defaults!LH16*Obligors!$G$16*Obligors!$H$16</f>
        <v/>
      </c>
      <c r="LI16" s="21">
        <f>Defaults!LI16*Obligors!$G$16*Obligors!$H$16</f>
        <v/>
      </c>
      <c r="LJ16" s="21">
        <f>Defaults!LJ16*Obligors!$G$16*Obligors!$H$16</f>
        <v/>
      </c>
      <c r="LK16" s="21">
        <f>Defaults!LK16*Obligors!$G$16*Obligors!$H$16</f>
        <v/>
      </c>
      <c r="LL16" s="21">
        <f>Defaults!LL16*Obligors!$G$16*Obligors!$H$16</f>
        <v/>
      </c>
      <c r="LM16" s="21">
        <f>Defaults!LM16*Obligors!$G$16*Obligors!$H$16</f>
        <v/>
      </c>
      <c r="LN16" s="21">
        <f>Defaults!LN16*Obligors!$G$16*Obligors!$H$16</f>
        <v/>
      </c>
      <c r="LO16" s="21">
        <f>Defaults!LO16*Obligors!$G$16*Obligors!$H$16</f>
        <v/>
      </c>
      <c r="LP16" s="21">
        <f>Defaults!LP16*Obligors!$G$16*Obligors!$H$16</f>
        <v/>
      </c>
      <c r="LQ16" s="21">
        <f>Defaults!LQ16*Obligors!$G$16*Obligors!$H$16</f>
        <v/>
      </c>
      <c r="LR16" s="21">
        <f>Defaults!LR16*Obligors!$G$16*Obligors!$H$16</f>
        <v/>
      </c>
      <c r="LS16" s="21">
        <f>Defaults!LS16*Obligors!$G$16*Obligors!$H$16</f>
        <v/>
      </c>
      <c r="LT16" s="21">
        <f>Defaults!LT16*Obligors!$G$16*Obligors!$H$16</f>
        <v/>
      </c>
      <c r="LU16" s="21">
        <f>Defaults!LU16*Obligors!$G$16*Obligors!$H$16</f>
        <v/>
      </c>
      <c r="LV16" s="21">
        <f>Defaults!LV16*Obligors!$G$16*Obligors!$H$16</f>
        <v/>
      </c>
      <c r="LW16" s="21">
        <f>Defaults!LW16*Obligors!$G$16*Obligors!$H$16</f>
        <v/>
      </c>
      <c r="LX16" s="21">
        <f>Defaults!LX16*Obligors!$G$16*Obligors!$H$16</f>
        <v/>
      </c>
      <c r="LY16" s="21">
        <f>Defaults!LY16*Obligors!$G$16*Obligors!$H$16</f>
        <v/>
      </c>
      <c r="LZ16" s="21">
        <f>Defaults!LZ16*Obligors!$G$16*Obligors!$H$16</f>
        <v/>
      </c>
      <c r="MA16" s="21">
        <f>Defaults!MA16*Obligors!$G$16*Obligors!$H$16</f>
        <v/>
      </c>
      <c r="MB16" s="21">
        <f>Defaults!MB16*Obligors!$G$16*Obligors!$H$16</f>
        <v/>
      </c>
      <c r="MC16" s="21">
        <f>Defaults!MC16*Obligors!$G$16*Obligors!$H$16</f>
        <v/>
      </c>
      <c r="MD16" s="21">
        <f>Defaults!MD16*Obligors!$G$16*Obligors!$H$16</f>
        <v/>
      </c>
      <c r="ME16" s="21">
        <f>Defaults!ME16*Obligors!$G$16*Obligors!$H$16</f>
        <v/>
      </c>
      <c r="MF16" s="21">
        <f>Defaults!MF16*Obligors!$G$16*Obligors!$H$16</f>
        <v/>
      </c>
      <c r="MG16" s="21">
        <f>Defaults!MG16*Obligors!$G$16*Obligors!$H$16</f>
        <v/>
      </c>
      <c r="MH16" s="21">
        <f>Defaults!MH16*Obligors!$G$16*Obligors!$H$16</f>
        <v/>
      </c>
      <c r="MI16" s="21">
        <f>Defaults!MI16*Obligors!$G$16*Obligors!$H$16</f>
        <v/>
      </c>
      <c r="MJ16" s="21">
        <f>Defaults!MJ16*Obligors!$G$16*Obligors!$H$16</f>
        <v/>
      </c>
      <c r="MK16" s="21">
        <f>Defaults!MK16*Obligors!$G$16*Obligors!$H$16</f>
        <v/>
      </c>
      <c r="ML16" s="21">
        <f>Defaults!ML16*Obligors!$G$16*Obligors!$H$16</f>
        <v/>
      </c>
      <c r="MM16" s="21">
        <f>Defaults!MM16*Obligors!$G$16*Obligors!$H$16</f>
        <v/>
      </c>
      <c r="MN16" s="21">
        <f>Defaults!MN16*Obligors!$G$16*Obligors!$H$16</f>
        <v/>
      </c>
      <c r="MO16" s="21">
        <f>Defaults!MO16*Obligors!$G$16*Obligors!$H$16</f>
        <v/>
      </c>
      <c r="MP16" s="21">
        <f>Defaults!MP16*Obligors!$G$16*Obligors!$H$16</f>
        <v/>
      </c>
      <c r="MQ16" s="21">
        <f>Defaults!MQ16*Obligors!$G$16*Obligors!$H$16</f>
        <v/>
      </c>
      <c r="MR16" s="21">
        <f>Defaults!MR16*Obligors!$G$16*Obligors!$H$16</f>
        <v/>
      </c>
      <c r="MS16" s="21">
        <f>Defaults!MS16*Obligors!$G$16*Obligors!$H$16</f>
        <v/>
      </c>
      <c r="MT16" s="21">
        <f>Defaults!MT16*Obligors!$G$16*Obligors!$H$16</f>
        <v/>
      </c>
      <c r="MU16" s="21">
        <f>Defaults!MU16*Obligors!$G$16*Obligors!$H$16</f>
        <v/>
      </c>
      <c r="MV16" s="21">
        <f>Defaults!MV16*Obligors!$G$16*Obligors!$H$16</f>
        <v/>
      </c>
      <c r="MW16" s="21">
        <f>Defaults!MW16*Obligors!$G$16*Obligors!$H$16</f>
        <v/>
      </c>
      <c r="MX16" s="21">
        <f>Defaults!MX16*Obligors!$G$16*Obligors!$H$16</f>
        <v/>
      </c>
      <c r="MY16" s="21">
        <f>Defaults!MY16*Obligors!$G$16*Obligors!$H$16</f>
        <v/>
      </c>
      <c r="MZ16" s="21">
        <f>Defaults!MZ16*Obligors!$G$16*Obligors!$H$16</f>
        <v/>
      </c>
      <c r="NA16" s="21">
        <f>Defaults!NA16*Obligors!$G$16*Obligors!$H$16</f>
        <v/>
      </c>
      <c r="NB16" s="21">
        <f>Defaults!NB16*Obligors!$G$16*Obligors!$H$16</f>
        <v/>
      </c>
      <c r="NC16" s="21">
        <f>Defaults!NC16*Obligors!$G$16*Obligors!$H$16</f>
        <v/>
      </c>
      <c r="ND16" s="21">
        <f>Defaults!ND16*Obligors!$G$16*Obligors!$H$16</f>
        <v/>
      </c>
      <c r="NE16" s="21">
        <f>Defaults!NE16*Obligors!$G$16*Obligors!$H$16</f>
        <v/>
      </c>
      <c r="NF16" s="21">
        <f>Defaults!NF16*Obligors!$G$16*Obligors!$H$16</f>
        <v/>
      </c>
      <c r="NG16" s="21">
        <f>Defaults!NG16*Obligors!$G$16*Obligors!$H$16</f>
        <v/>
      </c>
      <c r="NH16" s="21">
        <f>Defaults!NH16*Obligors!$G$16*Obligors!$H$16</f>
        <v/>
      </c>
      <c r="NI16" s="21">
        <f>Defaults!NI16*Obligors!$G$16*Obligors!$H$16</f>
        <v/>
      </c>
      <c r="NJ16" s="21">
        <f>Defaults!NJ16*Obligors!$G$16*Obligors!$H$16</f>
        <v/>
      </c>
      <c r="NK16" s="21">
        <f>Defaults!NK16*Obligors!$G$16*Obligors!$H$16</f>
        <v/>
      </c>
      <c r="NL16" s="21">
        <f>Defaults!NL16*Obligors!$G$16*Obligors!$H$16</f>
        <v/>
      </c>
      <c r="NM16" s="21">
        <f>Defaults!NM16*Obligors!$G$16*Obligors!$H$16</f>
        <v/>
      </c>
      <c r="NN16" s="21">
        <f>Defaults!NN16*Obligors!$G$16*Obligors!$H$16</f>
        <v/>
      </c>
      <c r="NO16" s="21">
        <f>Defaults!NO16*Obligors!$G$16*Obligors!$H$16</f>
        <v/>
      </c>
      <c r="NP16" s="21">
        <f>Defaults!NP16*Obligors!$G$16*Obligors!$H$16</f>
        <v/>
      </c>
      <c r="NQ16" s="21">
        <f>Defaults!NQ16*Obligors!$G$16*Obligors!$H$16</f>
        <v/>
      </c>
      <c r="NR16" s="21">
        <f>Defaults!NR16*Obligors!$G$16*Obligors!$H$16</f>
        <v/>
      </c>
      <c r="NS16" s="21">
        <f>Defaults!NS16*Obligors!$G$16*Obligors!$H$16</f>
        <v/>
      </c>
      <c r="NT16" s="21">
        <f>Defaults!NT16*Obligors!$G$16*Obligors!$H$16</f>
        <v/>
      </c>
      <c r="NU16" s="21">
        <f>Defaults!NU16*Obligors!$G$16*Obligors!$H$16</f>
        <v/>
      </c>
      <c r="NV16" s="21">
        <f>Defaults!NV16*Obligors!$G$16*Obligors!$H$16</f>
        <v/>
      </c>
      <c r="NW16" s="21">
        <f>Defaults!NW16*Obligors!$G$16*Obligors!$H$16</f>
        <v/>
      </c>
      <c r="NX16" s="21">
        <f>Defaults!NX16*Obligors!$G$16*Obligors!$H$16</f>
        <v/>
      </c>
      <c r="NY16" s="21">
        <f>Defaults!NY16*Obligors!$G$16*Obligors!$H$16</f>
        <v/>
      </c>
      <c r="NZ16" s="21">
        <f>Defaults!NZ16*Obligors!$G$16*Obligors!$H$16</f>
        <v/>
      </c>
      <c r="OA16" s="21">
        <f>Defaults!OA16*Obligors!$G$16*Obligors!$H$16</f>
        <v/>
      </c>
      <c r="OB16" s="21">
        <f>Defaults!OB16*Obligors!$G$16*Obligors!$H$16</f>
        <v/>
      </c>
      <c r="OC16" s="21">
        <f>Defaults!OC16*Obligors!$G$16*Obligors!$H$16</f>
        <v/>
      </c>
      <c r="OD16" s="21">
        <f>Defaults!OD16*Obligors!$G$16*Obligors!$H$16</f>
        <v/>
      </c>
      <c r="OE16" s="21">
        <f>Defaults!OE16*Obligors!$G$16*Obligors!$H$16</f>
        <v/>
      </c>
      <c r="OF16" s="21">
        <f>Defaults!OF16*Obligors!$G$16*Obligors!$H$16</f>
        <v/>
      </c>
      <c r="OG16" s="21">
        <f>Defaults!OG16*Obligors!$G$16*Obligors!$H$16</f>
        <v/>
      </c>
      <c r="OH16" s="21">
        <f>Defaults!OH16*Obligors!$G$16*Obligors!$H$16</f>
        <v/>
      </c>
      <c r="OI16" s="21">
        <f>Defaults!OI16*Obligors!$G$16*Obligors!$H$16</f>
        <v/>
      </c>
      <c r="OJ16" s="21">
        <f>Defaults!OJ16*Obligors!$G$16*Obligors!$H$16</f>
        <v/>
      </c>
      <c r="OK16" s="21">
        <f>Defaults!OK16*Obligors!$G$16*Obligors!$H$16</f>
        <v/>
      </c>
      <c r="OL16" s="21">
        <f>Defaults!OL16*Obligors!$G$16*Obligors!$H$16</f>
        <v/>
      </c>
      <c r="OM16" s="21">
        <f>Defaults!OM16*Obligors!$G$16*Obligors!$H$16</f>
        <v/>
      </c>
      <c r="ON16" s="21">
        <f>Defaults!ON16*Obligors!$G$16*Obligors!$H$16</f>
        <v/>
      </c>
      <c r="OO16" s="21">
        <f>Defaults!OO16*Obligors!$G$16*Obligors!$H$16</f>
        <v/>
      </c>
      <c r="OP16" s="21">
        <f>Defaults!OP16*Obligors!$G$16*Obligors!$H$16</f>
        <v/>
      </c>
      <c r="OQ16" s="21">
        <f>Defaults!OQ16*Obligors!$G$16*Obligors!$H$16</f>
        <v/>
      </c>
      <c r="OR16" s="21">
        <f>Defaults!OR16*Obligors!$G$16*Obligors!$H$16</f>
        <v/>
      </c>
      <c r="OS16" s="21">
        <f>Defaults!OS16*Obligors!$G$16*Obligors!$H$16</f>
        <v/>
      </c>
      <c r="OT16" s="21">
        <f>Defaults!OT16*Obligors!$G$16*Obligors!$H$16</f>
        <v/>
      </c>
      <c r="OU16" s="21">
        <f>Defaults!OU16*Obligors!$G$16*Obligors!$H$16</f>
        <v/>
      </c>
      <c r="OV16" s="21">
        <f>Defaults!OV16*Obligors!$G$16*Obligors!$H$16</f>
        <v/>
      </c>
      <c r="OW16" s="21">
        <f>Defaults!OW16*Obligors!$G$16*Obligors!$H$16</f>
        <v/>
      </c>
      <c r="OX16" s="21">
        <f>Defaults!OX16*Obligors!$G$16*Obligors!$H$16</f>
        <v/>
      </c>
      <c r="OY16" s="21">
        <f>Defaults!OY16*Obligors!$G$16*Obligors!$H$16</f>
        <v/>
      </c>
      <c r="OZ16" s="21">
        <f>Defaults!OZ16*Obligors!$G$16*Obligors!$H$16</f>
        <v/>
      </c>
      <c r="PA16" s="21">
        <f>Defaults!PA16*Obligors!$G$16*Obligors!$H$16</f>
        <v/>
      </c>
      <c r="PB16" s="21">
        <f>Defaults!PB16*Obligors!$G$16*Obligors!$H$16</f>
        <v/>
      </c>
      <c r="PC16" s="21">
        <f>Defaults!PC16*Obligors!$G$16*Obligors!$H$16</f>
        <v/>
      </c>
      <c r="PD16" s="21">
        <f>Defaults!PD16*Obligors!$G$16*Obligors!$H$16</f>
        <v/>
      </c>
      <c r="PE16" s="21">
        <f>Defaults!PE16*Obligors!$G$16*Obligors!$H$16</f>
        <v/>
      </c>
      <c r="PF16" s="21">
        <f>Defaults!PF16*Obligors!$G$16*Obligors!$H$16</f>
        <v/>
      </c>
      <c r="PG16" s="21">
        <f>Defaults!PG16*Obligors!$G$16*Obligors!$H$16</f>
        <v/>
      </c>
      <c r="PH16" s="21">
        <f>Defaults!PH16*Obligors!$G$16*Obligors!$H$16</f>
        <v/>
      </c>
      <c r="PI16" s="21">
        <f>Defaults!PI16*Obligors!$G$16*Obligors!$H$16</f>
        <v/>
      </c>
      <c r="PJ16" s="21">
        <f>Defaults!PJ16*Obligors!$G$16*Obligors!$H$16</f>
        <v/>
      </c>
      <c r="PK16" s="21">
        <f>Defaults!PK16*Obligors!$G$16*Obligors!$H$16</f>
        <v/>
      </c>
      <c r="PL16" s="21">
        <f>Defaults!PL16*Obligors!$G$16*Obligors!$H$16</f>
        <v/>
      </c>
      <c r="PM16" s="21">
        <f>Defaults!PM16*Obligors!$G$16*Obligors!$H$16</f>
        <v/>
      </c>
      <c r="PN16" s="21">
        <f>Defaults!PN16*Obligors!$G$16*Obligors!$H$16</f>
        <v/>
      </c>
      <c r="PO16" s="21">
        <f>Defaults!PO16*Obligors!$G$16*Obligors!$H$16</f>
        <v/>
      </c>
      <c r="PP16" s="21">
        <f>Defaults!PP16*Obligors!$G$16*Obligors!$H$16</f>
        <v/>
      </c>
      <c r="PQ16" s="21">
        <f>Defaults!PQ16*Obligors!$G$16*Obligors!$H$16</f>
        <v/>
      </c>
      <c r="PR16" s="21">
        <f>Defaults!PR16*Obligors!$G$16*Obligors!$H$16</f>
        <v/>
      </c>
      <c r="PS16" s="21">
        <f>Defaults!PS16*Obligors!$G$16*Obligors!$H$16</f>
        <v/>
      </c>
      <c r="PT16" s="21">
        <f>Defaults!PT16*Obligors!$G$16*Obligors!$H$16</f>
        <v/>
      </c>
      <c r="PU16" s="21">
        <f>Defaults!PU16*Obligors!$G$16*Obligors!$H$16</f>
        <v/>
      </c>
      <c r="PV16" s="21">
        <f>Defaults!PV16*Obligors!$G$16*Obligors!$H$16</f>
        <v/>
      </c>
      <c r="PW16" s="21">
        <f>Defaults!PW16*Obligors!$G$16*Obligors!$H$16</f>
        <v/>
      </c>
      <c r="PX16" s="21">
        <f>Defaults!PX16*Obligors!$G$16*Obligors!$H$16</f>
        <v/>
      </c>
      <c r="PY16" s="21">
        <f>Defaults!PY16*Obligors!$G$16*Obligors!$H$16</f>
        <v/>
      </c>
      <c r="PZ16" s="21">
        <f>Defaults!PZ16*Obligors!$G$16*Obligors!$H$16</f>
        <v/>
      </c>
      <c r="QA16" s="21">
        <f>Defaults!QA16*Obligors!$G$16*Obligors!$H$16</f>
        <v/>
      </c>
      <c r="QB16" s="21">
        <f>Defaults!QB16*Obligors!$G$16*Obligors!$H$16</f>
        <v/>
      </c>
      <c r="QC16" s="21">
        <f>Defaults!QC16*Obligors!$G$16*Obligors!$H$16</f>
        <v/>
      </c>
      <c r="QD16" s="21">
        <f>Defaults!QD16*Obligors!$G$16*Obligors!$H$16</f>
        <v/>
      </c>
      <c r="QE16" s="21">
        <f>Defaults!QE16*Obligors!$G$16*Obligors!$H$16</f>
        <v/>
      </c>
      <c r="QF16" s="21">
        <f>Defaults!QF16*Obligors!$G$16*Obligors!$H$16</f>
        <v/>
      </c>
      <c r="QG16" s="21">
        <f>Defaults!QG16*Obligors!$G$16*Obligors!$H$16</f>
        <v/>
      </c>
      <c r="QH16" s="21">
        <f>Defaults!QH16*Obligors!$G$16*Obligors!$H$16</f>
        <v/>
      </c>
      <c r="QI16" s="21">
        <f>Defaults!QI16*Obligors!$G$16*Obligors!$H$16</f>
        <v/>
      </c>
      <c r="QJ16" s="21">
        <f>Defaults!QJ16*Obligors!$G$16*Obligors!$H$16</f>
        <v/>
      </c>
      <c r="QK16" s="21">
        <f>Defaults!QK16*Obligors!$G$16*Obligors!$H$16</f>
        <v/>
      </c>
      <c r="QL16" s="21">
        <f>Defaults!QL16*Obligors!$G$16*Obligors!$H$16</f>
        <v/>
      </c>
      <c r="QM16" s="21">
        <f>Defaults!QM16*Obligors!$G$16*Obligors!$H$16</f>
        <v/>
      </c>
      <c r="QN16" s="21">
        <f>Defaults!QN16*Obligors!$G$16*Obligors!$H$16</f>
        <v/>
      </c>
      <c r="QO16" s="21">
        <f>Defaults!QO16*Obligors!$G$16*Obligors!$H$16</f>
        <v/>
      </c>
      <c r="QP16" s="21">
        <f>Defaults!QP16*Obligors!$G$16*Obligors!$H$16</f>
        <v/>
      </c>
      <c r="QQ16" s="21">
        <f>Defaults!QQ16*Obligors!$G$16*Obligors!$H$16</f>
        <v/>
      </c>
      <c r="QR16" s="21">
        <f>Defaults!QR16*Obligors!$G$16*Obligors!$H$16</f>
        <v/>
      </c>
      <c r="QS16" s="21">
        <f>Defaults!QS16*Obligors!$G$16*Obligors!$H$16</f>
        <v/>
      </c>
      <c r="QT16" s="21">
        <f>Defaults!QT16*Obligors!$G$16*Obligors!$H$16</f>
        <v/>
      </c>
      <c r="QU16" s="21">
        <f>Defaults!QU16*Obligors!$G$16*Obligors!$H$16</f>
        <v/>
      </c>
      <c r="QV16" s="21">
        <f>Defaults!QV16*Obligors!$G$16*Obligors!$H$16</f>
        <v/>
      </c>
      <c r="QW16" s="21">
        <f>Defaults!QW16*Obligors!$G$16*Obligors!$H$16</f>
        <v/>
      </c>
      <c r="QX16" s="21">
        <f>Defaults!QX16*Obligors!$G$16*Obligors!$H$16</f>
        <v/>
      </c>
      <c r="QY16" s="21">
        <f>Defaults!QY16*Obligors!$G$16*Obligors!$H$16</f>
        <v/>
      </c>
      <c r="QZ16" s="21">
        <f>Defaults!QZ16*Obligors!$G$16*Obligors!$H$16</f>
        <v/>
      </c>
      <c r="RA16" s="21">
        <f>Defaults!RA16*Obligors!$G$16*Obligors!$H$16</f>
        <v/>
      </c>
      <c r="RB16" s="21">
        <f>Defaults!RB16*Obligors!$G$16*Obligors!$H$16</f>
        <v/>
      </c>
      <c r="RC16" s="21">
        <f>Defaults!RC16*Obligors!$G$16*Obligors!$H$16</f>
        <v/>
      </c>
      <c r="RD16" s="21">
        <f>Defaults!RD16*Obligors!$G$16*Obligors!$H$16</f>
        <v/>
      </c>
      <c r="RE16" s="21">
        <f>Defaults!RE16*Obligors!$G$16*Obligors!$H$16</f>
        <v/>
      </c>
      <c r="RF16" s="21">
        <f>Defaults!RF16*Obligors!$G$16*Obligors!$H$16</f>
        <v/>
      </c>
      <c r="RG16" s="21">
        <f>Defaults!RG16*Obligors!$G$16*Obligors!$H$16</f>
        <v/>
      </c>
      <c r="RH16" s="21">
        <f>Defaults!RH16*Obligors!$G$16*Obligors!$H$16</f>
        <v/>
      </c>
      <c r="RI16" s="21">
        <f>Defaults!RI16*Obligors!$G$16*Obligors!$H$16</f>
        <v/>
      </c>
      <c r="RJ16" s="21">
        <f>Defaults!RJ16*Obligors!$G$16*Obligors!$H$16</f>
        <v/>
      </c>
      <c r="RK16" s="21">
        <f>Defaults!RK16*Obligors!$G$16*Obligors!$H$16</f>
        <v/>
      </c>
      <c r="RL16" s="21">
        <f>Defaults!RL16*Obligors!$G$16*Obligors!$H$16</f>
        <v/>
      </c>
      <c r="RM16" s="21">
        <f>Defaults!RM16*Obligors!$G$16*Obligors!$H$16</f>
        <v/>
      </c>
      <c r="RN16" s="21">
        <f>Defaults!RN16*Obligors!$G$16*Obligors!$H$16</f>
        <v/>
      </c>
      <c r="RO16" s="21">
        <f>Defaults!RO16*Obligors!$G$16*Obligors!$H$16</f>
        <v/>
      </c>
      <c r="RP16" s="21">
        <f>Defaults!RP16*Obligors!$G$16*Obligors!$H$16</f>
        <v/>
      </c>
      <c r="RQ16" s="21">
        <f>Defaults!RQ16*Obligors!$G$16*Obligors!$H$16</f>
        <v/>
      </c>
      <c r="RR16" s="21">
        <f>Defaults!RR16*Obligors!$G$16*Obligors!$H$16</f>
        <v/>
      </c>
      <c r="RS16" s="21">
        <f>Defaults!RS16*Obligors!$G$16*Obligors!$H$16</f>
        <v/>
      </c>
      <c r="RT16" s="21">
        <f>Defaults!RT16*Obligors!$G$16*Obligors!$H$16</f>
        <v/>
      </c>
      <c r="RU16" s="21">
        <f>Defaults!RU16*Obligors!$G$16*Obligors!$H$16</f>
        <v/>
      </c>
      <c r="RV16" s="21">
        <f>Defaults!RV16*Obligors!$G$16*Obligors!$H$16</f>
        <v/>
      </c>
      <c r="RW16" s="21">
        <f>Defaults!RW16*Obligors!$G$16*Obligors!$H$16</f>
        <v/>
      </c>
      <c r="RX16" s="21">
        <f>Defaults!RX16*Obligors!$G$16*Obligors!$H$16</f>
        <v/>
      </c>
      <c r="RY16" s="21">
        <f>Defaults!RY16*Obligors!$G$16*Obligors!$H$16</f>
        <v/>
      </c>
      <c r="RZ16" s="21">
        <f>Defaults!RZ16*Obligors!$G$16*Obligors!$H$16</f>
        <v/>
      </c>
      <c r="SA16" s="21">
        <f>Defaults!SA16*Obligors!$G$16*Obligors!$H$16</f>
        <v/>
      </c>
      <c r="SB16" s="21">
        <f>Defaults!SB16*Obligors!$G$16*Obligors!$H$16</f>
        <v/>
      </c>
      <c r="SC16" s="21">
        <f>Defaults!SC16*Obligors!$G$16*Obligors!$H$16</f>
        <v/>
      </c>
      <c r="SD16" s="21">
        <f>Defaults!SD16*Obligors!$G$16*Obligors!$H$16</f>
        <v/>
      </c>
      <c r="SE16" s="21">
        <f>Defaults!SE16*Obligors!$G$16*Obligors!$H$16</f>
        <v/>
      </c>
      <c r="SF16" s="21">
        <f>Defaults!SF16*Obligors!$G$16*Obligors!$H$16</f>
        <v/>
      </c>
      <c r="SG16" s="21">
        <f>Defaults!SG16*Obligors!$G$16*Obligors!$H$16</f>
        <v/>
      </c>
    </row>
    <row r="18">
      <c r="A18" s="22" t="inlineStr">
        <is>
          <t>Portfolio Loss</t>
        </is>
      </c>
      <c r="B18" s="23">
        <f>SUM(B2:B16)</f>
        <v/>
      </c>
      <c r="C18" s="23">
        <f>SUM(C2:C16)</f>
        <v/>
      </c>
      <c r="D18" s="23">
        <f>SUM(D2:D16)</f>
        <v/>
      </c>
      <c r="E18" s="23">
        <f>SUM(E2:E16)</f>
        <v/>
      </c>
      <c r="F18" s="23">
        <f>SUM(F2:F16)</f>
        <v/>
      </c>
      <c r="G18" s="23">
        <f>SUM(G2:G16)</f>
        <v/>
      </c>
      <c r="H18" s="23">
        <f>SUM(H2:H16)</f>
        <v/>
      </c>
      <c r="I18" s="23">
        <f>SUM(I2:I16)</f>
        <v/>
      </c>
      <c r="J18" s="23">
        <f>SUM(J2:J16)</f>
        <v/>
      </c>
      <c r="K18" s="23">
        <f>SUM(K2:K16)</f>
        <v/>
      </c>
      <c r="L18" s="23">
        <f>SUM(L2:L16)</f>
        <v/>
      </c>
      <c r="M18" s="23">
        <f>SUM(M2:M16)</f>
        <v/>
      </c>
      <c r="N18" s="23">
        <f>SUM(N2:N16)</f>
        <v/>
      </c>
      <c r="O18" s="23">
        <f>SUM(O2:O16)</f>
        <v/>
      </c>
      <c r="P18" s="23">
        <f>SUM(P2:P16)</f>
        <v/>
      </c>
      <c r="Q18" s="23">
        <f>SUM(Q2:Q16)</f>
        <v/>
      </c>
      <c r="R18" s="23">
        <f>SUM(R2:R16)</f>
        <v/>
      </c>
      <c r="S18" s="23">
        <f>SUM(S2:S16)</f>
        <v/>
      </c>
      <c r="T18" s="23">
        <f>SUM(T2:T16)</f>
        <v/>
      </c>
      <c r="U18" s="23">
        <f>SUM(U2:U16)</f>
        <v/>
      </c>
      <c r="V18" s="23">
        <f>SUM(V2:V16)</f>
        <v/>
      </c>
      <c r="W18" s="23">
        <f>SUM(W2:W16)</f>
        <v/>
      </c>
      <c r="X18" s="23">
        <f>SUM(X2:X16)</f>
        <v/>
      </c>
      <c r="Y18" s="23">
        <f>SUM(Y2:Y16)</f>
        <v/>
      </c>
      <c r="Z18" s="23">
        <f>SUM(Z2:Z16)</f>
        <v/>
      </c>
      <c r="AA18" s="23">
        <f>SUM(AA2:AA16)</f>
        <v/>
      </c>
      <c r="AB18" s="23">
        <f>SUM(AB2:AB16)</f>
        <v/>
      </c>
      <c r="AC18" s="23">
        <f>SUM(AC2:AC16)</f>
        <v/>
      </c>
      <c r="AD18" s="23">
        <f>SUM(AD2:AD16)</f>
        <v/>
      </c>
      <c r="AE18" s="23">
        <f>SUM(AE2:AE16)</f>
        <v/>
      </c>
      <c r="AF18" s="23">
        <f>SUM(AF2:AF16)</f>
        <v/>
      </c>
      <c r="AG18" s="23">
        <f>SUM(AG2:AG16)</f>
        <v/>
      </c>
      <c r="AH18" s="23">
        <f>SUM(AH2:AH16)</f>
        <v/>
      </c>
      <c r="AI18" s="23">
        <f>SUM(AI2:AI16)</f>
        <v/>
      </c>
      <c r="AJ18" s="23">
        <f>SUM(AJ2:AJ16)</f>
        <v/>
      </c>
      <c r="AK18" s="23">
        <f>SUM(AK2:AK16)</f>
        <v/>
      </c>
      <c r="AL18" s="23">
        <f>SUM(AL2:AL16)</f>
        <v/>
      </c>
      <c r="AM18" s="23">
        <f>SUM(AM2:AM16)</f>
        <v/>
      </c>
      <c r="AN18" s="23">
        <f>SUM(AN2:AN16)</f>
        <v/>
      </c>
      <c r="AO18" s="23">
        <f>SUM(AO2:AO16)</f>
        <v/>
      </c>
      <c r="AP18" s="23">
        <f>SUM(AP2:AP16)</f>
        <v/>
      </c>
      <c r="AQ18" s="23">
        <f>SUM(AQ2:AQ16)</f>
        <v/>
      </c>
      <c r="AR18" s="23">
        <f>SUM(AR2:AR16)</f>
        <v/>
      </c>
      <c r="AS18" s="23">
        <f>SUM(AS2:AS16)</f>
        <v/>
      </c>
      <c r="AT18" s="23">
        <f>SUM(AT2:AT16)</f>
        <v/>
      </c>
      <c r="AU18" s="23">
        <f>SUM(AU2:AU16)</f>
        <v/>
      </c>
      <c r="AV18" s="23">
        <f>SUM(AV2:AV16)</f>
        <v/>
      </c>
      <c r="AW18" s="23">
        <f>SUM(AW2:AW16)</f>
        <v/>
      </c>
      <c r="AX18" s="23">
        <f>SUM(AX2:AX16)</f>
        <v/>
      </c>
      <c r="AY18" s="23">
        <f>SUM(AY2:AY16)</f>
        <v/>
      </c>
      <c r="AZ18" s="23">
        <f>SUM(AZ2:AZ16)</f>
        <v/>
      </c>
      <c r="BA18" s="23">
        <f>SUM(BA2:BA16)</f>
        <v/>
      </c>
      <c r="BB18" s="23">
        <f>SUM(BB2:BB16)</f>
        <v/>
      </c>
      <c r="BC18" s="23">
        <f>SUM(BC2:BC16)</f>
        <v/>
      </c>
      <c r="BD18" s="23">
        <f>SUM(BD2:BD16)</f>
        <v/>
      </c>
      <c r="BE18" s="23">
        <f>SUM(BE2:BE16)</f>
        <v/>
      </c>
      <c r="BF18" s="23">
        <f>SUM(BF2:BF16)</f>
        <v/>
      </c>
      <c r="BG18" s="23">
        <f>SUM(BG2:BG16)</f>
        <v/>
      </c>
      <c r="BH18" s="23">
        <f>SUM(BH2:BH16)</f>
        <v/>
      </c>
      <c r="BI18" s="23">
        <f>SUM(BI2:BI16)</f>
        <v/>
      </c>
      <c r="BJ18" s="23">
        <f>SUM(BJ2:BJ16)</f>
        <v/>
      </c>
      <c r="BK18" s="23">
        <f>SUM(BK2:BK16)</f>
        <v/>
      </c>
      <c r="BL18" s="23">
        <f>SUM(BL2:BL16)</f>
        <v/>
      </c>
      <c r="BM18" s="23">
        <f>SUM(BM2:BM16)</f>
        <v/>
      </c>
      <c r="BN18" s="23">
        <f>SUM(BN2:BN16)</f>
        <v/>
      </c>
      <c r="BO18" s="23">
        <f>SUM(BO2:BO16)</f>
        <v/>
      </c>
      <c r="BP18" s="23">
        <f>SUM(BP2:BP16)</f>
        <v/>
      </c>
      <c r="BQ18" s="23">
        <f>SUM(BQ2:BQ16)</f>
        <v/>
      </c>
      <c r="BR18" s="23">
        <f>SUM(BR2:BR16)</f>
        <v/>
      </c>
      <c r="BS18" s="23">
        <f>SUM(BS2:BS16)</f>
        <v/>
      </c>
      <c r="BT18" s="23">
        <f>SUM(BT2:BT16)</f>
        <v/>
      </c>
      <c r="BU18" s="23">
        <f>SUM(BU2:BU16)</f>
        <v/>
      </c>
      <c r="BV18" s="23">
        <f>SUM(BV2:BV16)</f>
        <v/>
      </c>
      <c r="BW18" s="23">
        <f>SUM(BW2:BW16)</f>
        <v/>
      </c>
      <c r="BX18" s="23">
        <f>SUM(BX2:BX16)</f>
        <v/>
      </c>
      <c r="BY18" s="23">
        <f>SUM(BY2:BY16)</f>
        <v/>
      </c>
      <c r="BZ18" s="23">
        <f>SUM(BZ2:BZ16)</f>
        <v/>
      </c>
      <c r="CA18" s="23">
        <f>SUM(CA2:CA16)</f>
        <v/>
      </c>
      <c r="CB18" s="23">
        <f>SUM(CB2:CB16)</f>
        <v/>
      </c>
      <c r="CC18" s="23">
        <f>SUM(CC2:CC16)</f>
        <v/>
      </c>
      <c r="CD18" s="23">
        <f>SUM(CD2:CD16)</f>
        <v/>
      </c>
      <c r="CE18" s="23">
        <f>SUM(CE2:CE16)</f>
        <v/>
      </c>
      <c r="CF18" s="23">
        <f>SUM(CF2:CF16)</f>
        <v/>
      </c>
      <c r="CG18" s="23">
        <f>SUM(CG2:CG16)</f>
        <v/>
      </c>
      <c r="CH18" s="23">
        <f>SUM(CH2:CH16)</f>
        <v/>
      </c>
      <c r="CI18" s="23">
        <f>SUM(CI2:CI16)</f>
        <v/>
      </c>
      <c r="CJ18" s="23">
        <f>SUM(CJ2:CJ16)</f>
        <v/>
      </c>
      <c r="CK18" s="23">
        <f>SUM(CK2:CK16)</f>
        <v/>
      </c>
      <c r="CL18" s="23">
        <f>SUM(CL2:CL16)</f>
        <v/>
      </c>
      <c r="CM18" s="23">
        <f>SUM(CM2:CM16)</f>
        <v/>
      </c>
      <c r="CN18" s="23">
        <f>SUM(CN2:CN16)</f>
        <v/>
      </c>
      <c r="CO18" s="23">
        <f>SUM(CO2:CO16)</f>
        <v/>
      </c>
      <c r="CP18" s="23">
        <f>SUM(CP2:CP16)</f>
        <v/>
      </c>
      <c r="CQ18" s="23">
        <f>SUM(CQ2:CQ16)</f>
        <v/>
      </c>
      <c r="CR18" s="23">
        <f>SUM(CR2:CR16)</f>
        <v/>
      </c>
      <c r="CS18" s="23">
        <f>SUM(CS2:CS16)</f>
        <v/>
      </c>
      <c r="CT18" s="23">
        <f>SUM(CT2:CT16)</f>
        <v/>
      </c>
      <c r="CU18" s="23">
        <f>SUM(CU2:CU16)</f>
        <v/>
      </c>
      <c r="CV18" s="23">
        <f>SUM(CV2:CV16)</f>
        <v/>
      </c>
      <c r="CW18" s="23">
        <f>SUM(CW2:CW16)</f>
        <v/>
      </c>
      <c r="CX18" s="23">
        <f>SUM(CX2:CX16)</f>
        <v/>
      </c>
      <c r="CY18" s="23">
        <f>SUM(CY2:CY16)</f>
        <v/>
      </c>
      <c r="CZ18" s="23">
        <f>SUM(CZ2:CZ16)</f>
        <v/>
      </c>
      <c r="DA18" s="23">
        <f>SUM(DA2:DA16)</f>
        <v/>
      </c>
      <c r="DB18" s="23">
        <f>SUM(DB2:DB16)</f>
        <v/>
      </c>
      <c r="DC18" s="23">
        <f>SUM(DC2:DC16)</f>
        <v/>
      </c>
      <c r="DD18" s="23">
        <f>SUM(DD2:DD16)</f>
        <v/>
      </c>
      <c r="DE18" s="23">
        <f>SUM(DE2:DE16)</f>
        <v/>
      </c>
      <c r="DF18" s="23">
        <f>SUM(DF2:DF16)</f>
        <v/>
      </c>
      <c r="DG18" s="23">
        <f>SUM(DG2:DG16)</f>
        <v/>
      </c>
      <c r="DH18" s="23">
        <f>SUM(DH2:DH16)</f>
        <v/>
      </c>
      <c r="DI18" s="23">
        <f>SUM(DI2:DI16)</f>
        <v/>
      </c>
      <c r="DJ18" s="23">
        <f>SUM(DJ2:DJ16)</f>
        <v/>
      </c>
      <c r="DK18" s="23">
        <f>SUM(DK2:DK16)</f>
        <v/>
      </c>
      <c r="DL18" s="23">
        <f>SUM(DL2:DL16)</f>
        <v/>
      </c>
      <c r="DM18" s="23">
        <f>SUM(DM2:DM16)</f>
        <v/>
      </c>
      <c r="DN18" s="23">
        <f>SUM(DN2:DN16)</f>
        <v/>
      </c>
      <c r="DO18" s="23">
        <f>SUM(DO2:DO16)</f>
        <v/>
      </c>
      <c r="DP18" s="23">
        <f>SUM(DP2:DP16)</f>
        <v/>
      </c>
      <c r="DQ18" s="23">
        <f>SUM(DQ2:DQ16)</f>
        <v/>
      </c>
      <c r="DR18" s="23">
        <f>SUM(DR2:DR16)</f>
        <v/>
      </c>
      <c r="DS18" s="23">
        <f>SUM(DS2:DS16)</f>
        <v/>
      </c>
      <c r="DT18" s="23">
        <f>SUM(DT2:DT16)</f>
        <v/>
      </c>
      <c r="DU18" s="23">
        <f>SUM(DU2:DU16)</f>
        <v/>
      </c>
      <c r="DV18" s="23">
        <f>SUM(DV2:DV16)</f>
        <v/>
      </c>
      <c r="DW18" s="23">
        <f>SUM(DW2:DW16)</f>
        <v/>
      </c>
      <c r="DX18" s="23">
        <f>SUM(DX2:DX16)</f>
        <v/>
      </c>
      <c r="DY18" s="23">
        <f>SUM(DY2:DY16)</f>
        <v/>
      </c>
      <c r="DZ18" s="23">
        <f>SUM(DZ2:DZ16)</f>
        <v/>
      </c>
      <c r="EA18" s="23">
        <f>SUM(EA2:EA16)</f>
        <v/>
      </c>
      <c r="EB18" s="23">
        <f>SUM(EB2:EB16)</f>
        <v/>
      </c>
      <c r="EC18" s="23">
        <f>SUM(EC2:EC16)</f>
        <v/>
      </c>
      <c r="ED18" s="23">
        <f>SUM(ED2:ED16)</f>
        <v/>
      </c>
      <c r="EE18" s="23">
        <f>SUM(EE2:EE16)</f>
        <v/>
      </c>
      <c r="EF18" s="23">
        <f>SUM(EF2:EF16)</f>
        <v/>
      </c>
      <c r="EG18" s="23">
        <f>SUM(EG2:EG16)</f>
        <v/>
      </c>
      <c r="EH18" s="23">
        <f>SUM(EH2:EH16)</f>
        <v/>
      </c>
      <c r="EI18" s="23">
        <f>SUM(EI2:EI16)</f>
        <v/>
      </c>
      <c r="EJ18" s="23">
        <f>SUM(EJ2:EJ16)</f>
        <v/>
      </c>
      <c r="EK18" s="23">
        <f>SUM(EK2:EK16)</f>
        <v/>
      </c>
      <c r="EL18" s="23">
        <f>SUM(EL2:EL16)</f>
        <v/>
      </c>
      <c r="EM18" s="23">
        <f>SUM(EM2:EM16)</f>
        <v/>
      </c>
      <c r="EN18" s="23">
        <f>SUM(EN2:EN16)</f>
        <v/>
      </c>
      <c r="EO18" s="23">
        <f>SUM(EO2:EO16)</f>
        <v/>
      </c>
      <c r="EP18" s="23">
        <f>SUM(EP2:EP16)</f>
        <v/>
      </c>
      <c r="EQ18" s="23">
        <f>SUM(EQ2:EQ16)</f>
        <v/>
      </c>
      <c r="ER18" s="23">
        <f>SUM(ER2:ER16)</f>
        <v/>
      </c>
      <c r="ES18" s="23">
        <f>SUM(ES2:ES16)</f>
        <v/>
      </c>
      <c r="ET18" s="23">
        <f>SUM(ET2:ET16)</f>
        <v/>
      </c>
      <c r="EU18" s="23">
        <f>SUM(EU2:EU16)</f>
        <v/>
      </c>
      <c r="EV18" s="23">
        <f>SUM(EV2:EV16)</f>
        <v/>
      </c>
      <c r="EW18" s="23">
        <f>SUM(EW2:EW16)</f>
        <v/>
      </c>
      <c r="EX18" s="23">
        <f>SUM(EX2:EX16)</f>
        <v/>
      </c>
      <c r="EY18" s="23">
        <f>SUM(EY2:EY16)</f>
        <v/>
      </c>
      <c r="EZ18" s="23">
        <f>SUM(EZ2:EZ16)</f>
        <v/>
      </c>
      <c r="FA18" s="23">
        <f>SUM(FA2:FA16)</f>
        <v/>
      </c>
      <c r="FB18" s="23">
        <f>SUM(FB2:FB16)</f>
        <v/>
      </c>
      <c r="FC18" s="23">
        <f>SUM(FC2:FC16)</f>
        <v/>
      </c>
      <c r="FD18" s="23">
        <f>SUM(FD2:FD16)</f>
        <v/>
      </c>
      <c r="FE18" s="23">
        <f>SUM(FE2:FE16)</f>
        <v/>
      </c>
      <c r="FF18" s="23">
        <f>SUM(FF2:FF16)</f>
        <v/>
      </c>
      <c r="FG18" s="23">
        <f>SUM(FG2:FG16)</f>
        <v/>
      </c>
      <c r="FH18" s="23">
        <f>SUM(FH2:FH16)</f>
        <v/>
      </c>
      <c r="FI18" s="23">
        <f>SUM(FI2:FI16)</f>
        <v/>
      </c>
      <c r="FJ18" s="23">
        <f>SUM(FJ2:FJ16)</f>
        <v/>
      </c>
      <c r="FK18" s="23">
        <f>SUM(FK2:FK16)</f>
        <v/>
      </c>
      <c r="FL18" s="23">
        <f>SUM(FL2:FL16)</f>
        <v/>
      </c>
      <c r="FM18" s="23">
        <f>SUM(FM2:FM16)</f>
        <v/>
      </c>
      <c r="FN18" s="23">
        <f>SUM(FN2:FN16)</f>
        <v/>
      </c>
      <c r="FO18" s="23">
        <f>SUM(FO2:FO16)</f>
        <v/>
      </c>
      <c r="FP18" s="23">
        <f>SUM(FP2:FP16)</f>
        <v/>
      </c>
      <c r="FQ18" s="23">
        <f>SUM(FQ2:FQ16)</f>
        <v/>
      </c>
      <c r="FR18" s="23">
        <f>SUM(FR2:FR16)</f>
        <v/>
      </c>
      <c r="FS18" s="23">
        <f>SUM(FS2:FS16)</f>
        <v/>
      </c>
      <c r="FT18" s="23">
        <f>SUM(FT2:FT16)</f>
        <v/>
      </c>
      <c r="FU18" s="23">
        <f>SUM(FU2:FU16)</f>
        <v/>
      </c>
      <c r="FV18" s="23">
        <f>SUM(FV2:FV16)</f>
        <v/>
      </c>
      <c r="FW18" s="23">
        <f>SUM(FW2:FW16)</f>
        <v/>
      </c>
      <c r="FX18" s="23">
        <f>SUM(FX2:FX16)</f>
        <v/>
      </c>
      <c r="FY18" s="23">
        <f>SUM(FY2:FY16)</f>
        <v/>
      </c>
      <c r="FZ18" s="23">
        <f>SUM(FZ2:FZ16)</f>
        <v/>
      </c>
      <c r="GA18" s="23">
        <f>SUM(GA2:GA16)</f>
        <v/>
      </c>
      <c r="GB18" s="23">
        <f>SUM(GB2:GB16)</f>
        <v/>
      </c>
      <c r="GC18" s="23">
        <f>SUM(GC2:GC16)</f>
        <v/>
      </c>
      <c r="GD18" s="23">
        <f>SUM(GD2:GD16)</f>
        <v/>
      </c>
      <c r="GE18" s="23">
        <f>SUM(GE2:GE16)</f>
        <v/>
      </c>
      <c r="GF18" s="23">
        <f>SUM(GF2:GF16)</f>
        <v/>
      </c>
      <c r="GG18" s="23">
        <f>SUM(GG2:GG16)</f>
        <v/>
      </c>
      <c r="GH18" s="23">
        <f>SUM(GH2:GH16)</f>
        <v/>
      </c>
      <c r="GI18" s="23">
        <f>SUM(GI2:GI16)</f>
        <v/>
      </c>
      <c r="GJ18" s="23">
        <f>SUM(GJ2:GJ16)</f>
        <v/>
      </c>
      <c r="GK18" s="23">
        <f>SUM(GK2:GK16)</f>
        <v/>
      </c>
      <c r="GL18" s="23">
        <f>SUM(GL2:GL16)</f>
        <v/>
      </c>
      <c r="GM18" s="23">
        <f>SUM(GM2:GM16)</f>
        <v/>
      </c>
      <c r="GN18" s="23">
        <f>SUM(GN2:GN16)</f>
        <v/>
      </c>
      <c r="GO18" s="23">
        <f>SUM(GO2:GO16)</f>
        <v/>
      </c>
      <c r="GP18" s="23">
        <f>SUM(GP2:GP16)</f>
        <v/>
      </c>
      <c r="GQ18" s="23">
        <f>SUM(GQ2:GQ16)</f>
        <v/>
      </c>
      <c r="GR18" s="23">
        <f>SUM(GR2:GR16)</f>
        <v/>
      </c>
      <c r="GS18" s="23">
        <f>SUM(GS2:GS16)</f>
        <v/>
      </c>
      <c r="GT18" s="23">
        <f>SUM(GT2:GT16)</f>
        <v/>
      </c>
      <c r="GU18" s="23">
        <f>SUM(GU2:GU16)</f>
        <v/>
      </c>
      <c r="GV18" s="23">
        <f>SUM(GV2:GV16)</f>
        <v/>
      </c>
      <c r="GW18" s="23">
        <f>SUM(GW2:GW16)</f>
        <v/>
      </c>
      <c r="GX18" s="23">
        <f>SUM(GX2:GX16)</f>
        <v/>
      </c>
      <c r="GY18" s="23">
        <f>SUM(GY2:GY16)</f>
        <v/>
      </c>
      <c r="GZ18" s="23">
        <f>SUM(GZ2:GZ16)</f>
        <v/>
      </c>
      <c r="HA18" s="23">
        <f>SUM(HA2:HA16)</f>
        <v/>
      </c>
      <c r="HB18" s="23">
        <f>SUM(HB2:HB16)</f>
        <v/>
      </c>
      <c r="HC18" s="23">
        <f>SUM(HC2:HC16)</f>
        <v/>
      </c>
      <c r="HD18" s="23">
        <f>SUM(HD2:HD16)</f>
        <v/>
      </c>
      <c r="HE18" s="23">
        <f>SUM(HE2:HE16)</f>
        <v/>
      </c>
      <c r="HF18" s="23">
        <f>SUM(HF2:HF16)</f>
        <v/>
      </c>
      <c r="HG18" s="23">
        <f>SUM(HG2:HG16)</f>
        <v/>
      </c>
      <c r="HH18" s="23">
        <f>SUM(HH2:HH16)</f>
        <v/>
      </c>
      <c r="HI18" s="23">
        <f>SUM(HI2:HI16)</f>
        <v/>
      </c>
      <c r="HJ18" s="23">
        <f>SUM(HJ2:HJ16)</f>
        <v/>
      </c>
      <c r="HK18" s="23">
        <f>SUM(HK2:HK16)</f>
        <v/>
      </c>
      <c r="HL18" s="23">
        <f>SUM(HL2:HL16)</f>
        <v/>
      </c>
      <c r="HM18" s="23">
        <f>SUM(HM2:HM16)</f>
        <v/>
      </c>
      <c r="HN18" s="23">
        <f>SUM(HN2:HN16)</f>
        <v/>
      </c>
      <c r="HO18" s="23">
        <f>SUM(HO2:HO16)</f>
        <v/>
      </c>
      <c r="HP18" s="23">
        <f>SUM(HP2:HP16)</f>
        <v/>
      </c>
      <c r="HQ18" s="23">
        <f>SUM(HQ2:HQ16)</f>
        <v/>
      </c>
      <c r="HR18" s="23">
        <f>SUM(HR2:HR16)</f>
        <v/>
      </c>
      <c r="HS18" s="23">
        <f>SUM(HS2:HS16)</f>
        <v/>
      </c>
      <c r="HT18" s="23">
        <f>SUM(HT2:HT16)</f>
        <v/>
      </c>
      <c r="HU18" s="23">
        <f>SUM(HU2:HU16)</f>
        <v/>
      </c>
      <c r="HV18" s="23">
        <f>SUM(HV2:HV16)</f>
        <v/>
      </c>
      <c r="HW18" s="23">
        <f>SUM(HW2:HW16)</f>
        <v/>
      </c>
      <c r="HX18" s="23">
        <f>SUM(HX2:HX16)</f>
        <v/>
      </c>
      <c r="HY18" s="23">
        <f>SUM(HY2:HY16)</f>
        <v/>
      </c>
      <c r="HZ18" s="23">
        <f>SUM(HZ2:HZ16)</f>
        <v/>
      </c>
      <c r="IA18" s="23">
        <f>SUM(IA2:IA16)</f>
        <v/>
      </c>
      <c r="IB18" s="23">
        <f>SUM(IB2:IB16)</f>
        <v/>
      </c>
      <c r="IC18" s="23">
        <f>SUM(IC2:IC16)</f>
        <v/>
      </c>
      <c r="ID18" s="23">
        <f>SUM(ID2:ID16)</f>
        <v/>
      </c>
      <c r="IE18" s="23">
        <f>SUM(IE2:IE16)</f>
        <v/>
      </c>
      <c r="IF18" s="23">
        <f>SUM(IF2:IF16)</f>
        <v/>
      </c>
      <c r="IG18" s="23">
        <f>SUM(IG2:IG16)</f>
        <v/>
      </c>
      <c r="IH18" s="23">
        <f>SUM(IH2:IH16)</f>
        <v/>
      </c>
      <c r="II18" s="23">
        <f>SUM(II2:II16)</f>
        <v/>
      </c>
      <c r="IJ18" s="23">
        <f>SUM(IJ2:IJ16)</f>
        <v/>
      </c>
      <c r="IK18" s="23">
        <f>SUM(IK2:IK16)</f>
        <v/>
      </c>
      <c r="IL18" s="23">
        <f>SUM(IL2:IL16)</f>
        <v/>
      </c>
      <c r="IM18" s="23">
        <f>SUM(IM2:IM16)</f>
        <v/>
      </c>
      <c r="IN18" s="23">
        <f>SUM(IN2:IN16)</f>
        <v/>
      </c>
      <c r="IO18" s="23">
        <f>SUM(IO2:IO16)</f>
        <v/>
      </c>
      <c r="IP18" s="23">
        <f>SUM(IP2:IP16)</f>
        <v/>
      </c>
      <c r="IQ18" s="23">
        <f>SUM(IQ2:IQ16)</f>
        <v/>
      </c>
      <c r="IR18" s="23">
        <f>SUM(IR2:IR16)</f>
        <v/>
      </c>
      <c r="IS18" s="23">
        <f>SUM(IS2:IS16)</f>
        <v/>
      </c>
      <c r="IT18" s="23">
        <f>SUM(IT2:IT16)</f>
        <v/>
      </c>
      <c r="IU18" s="23">
        <f>SUM(IU2:IU16)</f>
        <v/>
      </c>
      <c r="IV18" s="23">
        <f>SUM(IV2:IV16)</f>
        <v/>
      </c>
      <c r="IW18" s="23">
        <f>SUM(IW2:IW16)</f>
        <v/>
      </c>
      <c r="IX18" s="23">
        <f>SUM(IX2:IX16)</f>
        <v/>
      </c>
      <c r="IY18" s="23">
        <f>SUM(IY2:IY16)</f>
        <v/>
      </c>
      <c r="IZ18" s="23">
        <f>SUM(IZ2:IZ16)</f>
        <v/>
      </c>
      <c r="JA18" s="23">
        <f>SUM(JA2:JA16)</f>
        <v/>
      </c>
      <c r="JB18" s="23">
        <f>SUM(JB2:JB16)</f>
        <v/>
      </c>
      <c r="JC18" s="23">
        <f>SUM(JC2:JC16)</f>
        <v/>
      </c>
      <c r="JD18" s="23">
        <f>SUM(JD2:JD16)</f>
        <v/>
      </c>
      <c r="JE18" s="23">
        <f>SUM(JE2:JE16)</f>
        <v/>
      </c>
      <c r="JF18" s="23">
        <f>SUM(JF2:JF16)</f>
        <v/>
      </c>
      <c r="JG18" s="23">
        <f>SUM(JG2:JG16)</f>
        <v/>
      </c>
      <c r="JH18" s="23">
        <f>SUM(JH2:JH16)</f>
        <v/>
      </c>
      <c r="JI18" s="23">
        <f>SUM(JI2:JI16)</f>
        <v/>
      </c>
      <c r="JJ18" s="23">
        <f>SUM(JJ2:JJ16)</f>
        <v/>
      </c>
      <c r="JK18" s="23">
        <f>SUM(JK2:JK16)</f>
        <v/>
      </c>
      <c r="JL18" s="23">
        <f>SUM(JL2:JL16)</f>
        <v/>
      </c>
      <c r="JM18" s="23">
        <f>SUM(JM2:JM16)</f>
        <v/>
      </c>
      <c r="JN18" s="23">
        <f>SUM(JN2:JN16)</f>
        <v/>
      </c>
      <c r="JO18" s="23">
        <f>SUM(JO2:JO16)</f>
        <v/>
      </c>
      <c r="JP18" s="23">
        <f>SUM(JP2:JP16)</f>
        <v/>
      </c>
      <c r="JQ18" s="23">
        <f>SUM(JQ2:JQ16)</f>
        <v/>
      </c>
      <c r="JR18" s="23">
        <f>SUM(JR2:JR16)</f>
        <v/>
      </c>
      <c r="JS18" s="23">
        <f>SUM(JS2:JS16)</f>
        <v/>
      </c>
      <c r="JT18" s="23">
        <f>SUM(JT2:JT16)</f>
        <v/>
      </c>
      <c r="JU18" s="23">
        <f>SUM(JU2:JU16)</f>
        <v/>
      </c>
      <c r="JV18" s="23">
        <f>SUM(JV2:JV16)</f>
        <v/>
      </c>
      <c r="JW18" s="23">
        <f>SUM(JW2:JW16)</f>
        <v/>
      </c>
      <c r="JX18" s="23">
        <f>SUM(JX2:JX16)</f>
        <v/>
      </c>
      <c r="JY18" s="23">
        <f>SUM(JY2:JY16)</f>
        <v/>
      </c>
      <c r="JZ18" s="23">
        <f>SUM(JZ2:JZ16)</f>
        <v/>
      </c>
      <c r="KA18" s="23">
        <f>SUM(KA2:KA16)</f>
        <v/>
      </c>
      <c r="KB18" s="23">
        <f>SUM(KB2:KB16)</f>
        <v/>
      </c>
      <c r="KC18" s="23">
        <f>SUM(KC2:KC16)</f>
        <v/>
      </c>
      <c r="KD18" s="23">
        <f>SUM(KD2:KD16)</f>
        <v/>
      </c>
      <c r="KE18" s="23">
        <f>SUM(KE2:KE16)</f>
        <v/>
      </c>
      <c r="KF18" s="23">
        <f>SUM(KF2:KF16)</f>
        <v/>
      </c>
      <c r="KG18" s="23">
        <f>SUM(KG2:KG16)</f>
        <v/>
      </c>
      <c r="KH18" s="23">
        <f>SUM(KH2:KH16)</f>
        <v/>
      </c>
      <c r="KI18" s="23">
        <f>SUM(KI2:KI16)</f>
        <v/>
      </c>
      <c r="KJ18" s="23">
        <f>SUM(KJ2:KJ16)</f>
        <v/>
      </c>
      <c r="KK18" s="23">
        <f>SUM(KK2:KK16)</f>
        <v/>
      </c>
      <c r="KL18" s="23">
        <f>SUM(KL2:KL16)</f>
        <v/>
      </c>
      <c r="KM18" s="23">
        <f>SUM(KM2:KM16)</f>
        <v/>
      </c>
      <c r="KN18" s="23">
        <f>SUM(KN2:KN16)</f>
        <v/>
      </c>
      <c r="KO18" s="23">
        <f>SUM(KO2:KO16)</f>
        <v/>
      </c>
      <c r="KP18" s="23">
        <f>SUM(KP2:KP16)</f>
        <v/>
      </c>
      <c r="KQ18" s="23">
        <f>SUM(KQ2:KQ16)</f>
        <v/>
      </c>
      <c r="KR18" s="23">
        <f>SUM(KR2:KR16)</f>
        <v/>
      </c>
      <c r="KS18" s="23">
        <f>SUM(KS2:KS16)</f>
        <v/>
      </c>
      <c r="KT18" s="23">
        <f>SUM(KT2:KT16)</f>
        <v/>
      </c>
      <c r="KU18" s="23">
        <f>SUM(KU2:KU16)</f>
        <v/>
      </c>
      <c r="KV18" s="23">
        <f>SUM(KV2:KV16)</f>
        <v/>
      </c>
      <c r="KW18" s="23">
        <f>SUM(KW2:KW16)</f>
        <v/>
      </c>
      <c r="KX18" s="23">
        <f>SUM(KX2:KX16)</f>
        <v/>
      </c>
      <c r="KY18" s="23">
        <f>SUM(KY2:KY16)</f>
        <v/>
      </c>
      <c r="KZ18" s="23">
        <f>SUM(KZ2:KZ16)</f>
        <v/>
      </c>
      <c r="LA18" s="23">
        <f>SUM(LA2:LA16)</f>
        <v/>
      </c>
      <c r="LB18" s="23">
        <f>SUM(LB2:LB16)</f>
        <v/>
      </c>
      <c r="LC18" s="23">
        <f>SUM(LC2:LC16)</f>
        <v/>
      </c>
      <c r="LD18" s="23">
        <f>SUM(LD2:LD16)</f>
        <v/>
      </c>
      <c r="LE18" s="23">
        <f>SUM(LE2:LE16)</f>
        <v/>
      </c>
      <c r="LF18" s="23">
        <f>SUM(LF2:LF16)</f>
        <v/>
      </c>
      <c r="LG18" s="23">
        <f>SUM(LG2:LG16)</f>
        <v/>
      </c>
      <c r="LH18" s="23">
        <f>SUM(LH2:LH16)</f>
        <v/>
      </c>
      <c r="LI18" s="23">
        <f>SUM(LI2:LI16)</f>
        <v/>
      </c>
      <c r="LJ18" s="23">
        <f>SUM(LJ2:LJ16)</f>
        <v/>
      </c>
      <c r="LK18" s="23">
        <f>SUM(LK2:LK16)</f>
        <v/>
      </c>
      <c r="LL18" s="23">
        <f>SUM(LL2:LL16)</f>
        <v/>
      </c>
      <c r="LM18" s="23">
        <f>SUM(LM2:LM16)</f>
        <v/>
      </c>
      <c r="LN18" s="23">
        <f>SUM(LN2:LN16)</f>
        <v/>
      </c>
      <c r="LO18" s="23">
        <f>SUM(LO2:LO16)</f>
        <v/>
      </c>
      <c r="LP18" s="23">
        <f>SUM(LP2:LP16)</f>
        <v/>
      </c>
      <c r="LQ18" s="23">
        <f>SUM(LQ2:LQ16)</f>
        <v/>
      </c>
      <c r="LR18" s="23">
        <f>SUM(LR2:LR16)</f>
        <v/>
      </c>
      <c r="LS18" s="23">
        <f>SUM(LS2:LS16)</f>
        <v/>
      </c>
      <c r="LT18" s="23">
        <f>SUM(LT2:LT16)</f>
        <v/>
      </c>
      <c r="LU18" s="23">
        <f>SUM(LU2:LU16)</f>
        <v/>
      </c>
      <c r="LV18" s="23">
        <f>SUM(LV2:LV16)</f>
        <v/>
      </c>
      <c r="LW18" s="23">
        <f>SUM(LW2:LW16)</f>
        <v/>
      </c>
      <c r="LX18" s="23">
        <f>SUM(LX2:LX16)</f>
        <v/>
      </c>
      <c r="LY18" s="23">
        <f>SUM(LY2:LY16)</f>
        <v/>
      </c>
      <c r="LZ18" s="23">
        <f>SUM(LZ2:LZ16)</f>
        <v/>
      </c>
      <c r="MA18" s="23">
        <f>SUM(MA2:MA16)</f>
        <v/>
      </c>
      <c r="MB18" s="23">
        <f>SUM(MB2:MB16)</f>
        <v/>
      </c>
      <c r="MC18" s="23">
        <f>SUM(MC2:MC16)</f>
        <v/>
      </c>
      <c r="MD18" s="23">
        <f>SUM(MD2:MD16)</f>
        <v/>
      </c>
      <c r="ME18" s="23">
        <f>SUM(ME2:ME16)</f>
        <v/>
      </c>
      <c r="MF18" s="23">
        <f>SUM(MF2:MF16)</f>
        <v/>
      </c>
      <c r="MG18" s="23">
        <f>SUM(MG2:MG16)</f>
        <v/>
      </c>
      <c r="MH18" s="23">
        <f>SUM(MH2:MH16)</f>
        <v/>
      </c>
      <c r="MI18" s="23">
        <f>SUM(MI2:MI16)</f>
        <v/>
      </c>
      <c r="MJ18" s="23">
        <f>SUM(MJ2:MJ16)</f>
        <v/>
      </c>
      <c r="MK18" s="23">
        <f>SUM(MK2:MK16)</f>
        <v/>
      </c>
      <c r="ML18" s="23">
        <f>SUM(ML2:ML16)</f>
        <v/>
      </c>
      <c r="MM18" s="23">
        <f>SUM(MM2:MM16)</f>
        <v/>
      </c>
      <c r="MN18" s="23">
        <f>SUM(MN2:MN16)</f>
        <v/>
      </c>
      <c r="MO18" s="23">
        <f>SUM(MO2:MO16)</f>
        <v/>
      </c>
      <c r="MP18" s="23">
        <f>SUM(MP2:MP16)</f>
        <v/>
      </c>
      <c r="MQ18" s="23">
        <f>SUM(MQ2:MQ16)</f>
        <v/>
      </c>
      <c r="MR18" s="23">
        <f>SUM(MR2:MR16)</f>
        <v/>
      </c>
      <c r="MS18" s="23">
        <f>SUM(MS2:MS16)</f>
        <v/>
      </c>
      <c r="MT18" s="23">
        <f>SUM(MT2:MT16)</f>
        <v/>
      </c>
      <c r="MU18" s="23">
        <f>SUM(MU2:MU16)</f>
        <v/>
      </c>
      <c r="MV18" s="23">
        <f>SUM(MV2:MV16)</f>
        <v/>
      </c>
      <c r="MW18" s="23">
        <f>SUM(MW2:MW16)</f>
        <v/>
      </c>
      <c r="MX18" s="23">
        <f>SUM(MX2:MX16)</f>
        <v/>
      </c>
      <c r="MY18" s="23">
        <f>SUM(MY2:MY16)</f>
        <v/>
      </c>
      <c r="MZ18" s="23">
        <f>SUM(MZ2:MZ16)</f>
        <v/>
      </c>
      <c r="NA18" s="23">
        <f>SUM(NA2:NA16)</f>
        <v/>
      </c>
      <c r="NB18" s="23">
        <f>SUM(NB2:NB16)</f>
        <v/>
      </c>
      <c r="NC18" s="23">
        <f>SUM(NC2:NC16)</f>
        <v/>
      </c>
      <c r="ND18" s="23">
        <f>SUM(ND2:ND16)</f>
        <v/>
      </c>
      <c r="NE18" s="23">
        <f>SUM(NE2:NE16)</f>
        <v/>
      </c>
      <c r="NF18" s="23">
        <f>SUM(NF2:NF16)</f>
        <v/>
      </c>
      <c r="NG18" s="23">
        <f>SUM(NG2:NG16)</f>
        <v/>
      </c>
      <c r="NH18" s="23">
        <f>SUM(NH2:NH16)</f>
        <v/>
      </c>
      <c r="NI18" s="23">
        <f>SUM(NI2:NI16)</f>
        <v/>
      </c>
      <c r="NJ18" s="23">
        <f>SUM(NJ2:NJ16)</f>
        <v/>
      </c>
      <c r="NK18" s="23">
        <f>SUM(NK2:NK16)</f>
        <v/>
      </c>
      <c r="NL18" s="23">
        <f>SUM(NL2:NL16)</f>
        <v/>
      </c>
      <c r="NM18" s="23">
        <f>SUM(NM2:NM16)</f>
        <v/>
      </c>
      <c r="NN18" s="23">
        <f>SUM(NN2:NN16)</f>
        <v/>
      </c>
      <c r="NO18" s="23">
        <f>SUM(NO2:NO16)</f>
        <v/>
      </c>
      <c r="NP18" s="23">
        <f>SUM(NP2:NP16)</f>
        <v/>
      </c>
      <c r="NQ18" s="23">
        <f>SUM(NQ2:NQ16)</f>
        <v/>
      </c>
      <c r="NR18" s="23">
        <f>SUM(NR2:NR16)</f>
        <v/>
      </c>
      <c r="NS18" s="23">
        <f>SUM(NS2:NS16)</f>
        <v/>
      </c>
      <c r="NT18" s="23">
        <f>SUM(NT2:NT16)</f>
        <v/>
      </c>
      <c r="NU18" s="23">
        <f>SUM(NU2:NU16)</f>
        <v/>
      </c>
      <c r="NV18" s="23">
        <f>SUM(NV2:NV16)</f>
        <v/>
      </c>
      <c r="NW18" s="23">
        <f>SUM(NW2:NW16)</f>
        <v/>
      </c>
      <c r="NX18" s="23">
        <f>SUM(NX2:NX16)</f>
        <v/>
      </c>
      <c r="NY18" s="23">
        <f>SUM(NY2:NY16)</f>
        <v/>
      </c>
      <c r="NZ18" s="23">
        <f>SUM(NZ2:NZ16)</f>
        <v/>
      </c>
      <c r="OA18" s="23">
        <f>SUM(OA2:OA16)</f>
        <v/>
      </c>
      <c r="OB18" s="23">
        <f>SUM(OB2:OB16)</f>
        <v/>
      </c>
      <c r="OC18" s="23">
        <f>SUM(OC2:OC16)</f>
        <v/>
      </c>
      <c r="OD18" s="23">
        <f>SUM(OD2:OD16)</f>
        <v/>
      </c>
      <c r="OE18" s="23">
        <f>SUM(OE2:OE16)</f>
        <v/>
      </c>
      <c r="OF18" s="23">
        <f>SUM(OF2:OF16)</f>
        <v/>
      </c>
      <c r="OG18" s="23">
        <f>SUM(OG2:OG16)</f>
        <v/>
      </c>
      <c r="OH18" s="23">
        <f>SUM(OH2:OH16)</f>
        <v/>
      </c>
      <c r="OI18" s="23">
        <f>SUM(OI2:OI16)</f>
        <v/>
      </c>
      <c r="OJ18" s="23">
        <f>SUM(OJ2:OJ16)</f>
        <v/>
      </c>
      <c r="OK18" s="23">
        <f>SUM(OK2:OK16)</f>
        <v/>
      </c>
      <c r="OL18" s="23">
        <f>SUM(OL2:OL16)</f>
        <v/>
      </c>
      <c r="OM18" s="23">
        <f>SUM(OM2:OM16)</f>
        <v/>
      </c>
      <c r="ON18" s="23">
        <f>SUM(ON2:ON16)</f>
        <v/>
      </c>
      <c r="OO18" s="23">
        <f>SUM(OO2:OO16)</f>
        <v/>
      </c>
      <c r="OP18" s="23">
        <f>SUM(OP2:OP16)</f>
        <v/>
      </c>
      <c r="OQ18" s="23">
        <f>SUM(OQ2:OQ16)</f>
        <v/>
      </c>
      <c r="OR18" s="23">
        <f>SUM(OR2:OR16)</f>
        <v/>
      </c>
      <c r="OS18" s="23">
        <f>SUM(OS2:OS16)</f>
        <v/>
      </c>
      <c r="OT18" s="23">
        <f>SUM(OT2:OT16)</f>
        <v/>
      </c>
      <c r="OU18" s="23">
        <f>SUM(OU2:OU16)</f>
        <v/>
      </c>
      <c r="OV18" s="23">
        <f>SUM(OV2:OV16)</f>
        <v/>
      </c>
      <c r="OW18" s="23">
        <f>SUM(OW2:OW16)</f>
        <v/>
      </c>
      <c r="OX18" s="23">
        <f>SUM(OX2:OX16)</f>
        <v/>
      </c>
      <c r="OY18" s="23">
        <f>SUM(OY2:OY16)</f>
        <v/>
      </c>
      <c r="OZ18" s="23">
        <f>SUM(OZ2:OZ16)</f>
        <v/>
      </c>
      <c r="PA18" s="23">
        <f>SUM(PA2:PA16)</f>
        <v/>
      </c>
      <c r="PB18" s="23">
        <f>SUM(PB2:PB16)</f>
        <v/>
      </c>
      <c r="PC18" s="23">
        <f>SUM(PC2:PC16)</f>
        <v/>
      </c>
      <c r="PD18" s="23">
        <f>SUM(PD2:PD16)</f>
        <v/>
      </c>
      <c r="PE18" s="23">
        <f>SUM(PE2:PE16)</f>
        <v/>
      </c>
      <c r="PF18" s="23">
        <f>SUM(PF2:PF16)</f>
        <v/>
      </c>
      <c r="PG18" s="23">
        <f>SUM(PG2:PG16)</f>
        <v/>
      </c>
      <c r="PH18" s="23">
        <f>SUM(PH2:PH16)</f>
        <v/>
      </c>
      <c r="PI18" s="23">
        <f>SUM(PI2:PI16)</f>
        <v/>
      </c>
      <c r="PJ18" s="23">
        <f>SUM(PJ2:PJ16)</f>
        <v/>
      </c>
      <c r="PK18" s="23">
        <f>SUM(PK2:PK16)</f>
        <v/>
      </c>
      <c r="PL18" s="23">
        <f>SUM(PL2:PL16)</f>
        <v/>
      </c>
      <c r="PM18" s="23">
        <f>SUM(PM2:PM16)</f>
        <v/>
      </c>
      <c r="PN18" s="23">
        <f>SUM(PN2:PN16)</f>
        <v/>
      </c>
      <c r="PO18" s="23">
        <f>SUM(PO2:PO16)</f>
        <v/>
      </c>
      <c r="PP18" s="23">
        <f>SUM(PP2:PP16)</f>
        <v/>
      </c>
      <c r="PQ18" s="23">
        <f>SUM(PQ2:PQ16)</f>
        <v/>
      </c>
      <c r="PR18" s="23">
        <f>SUM(PR2:PR16)</f>
        <v/>
      </c>
      <c r="PS18" s="23">
        <f>SUM(PS2:PS16)</f>
        <v/>
      </c>
      <c r="PT18" s="23">
        <f>SUM(PT2:PT16)</f>
        <v/>
      </c>
      <c r="PU18" s="23">
        <f>SUM(PU2:PU16)</f>
        <v/>
      </c>
      <c r="PV18" s="23">
        <f>SUM(PV2:PV16)</f>
        <v/>
      </c>
      <c r="PW18" s="23">
        <f>SUM(PW2:PW16)</f>
        <v/>
      </c>
      <c r="PX18" s="23">
        <f>SUM(PX2:PX16)</f>
        <v/>
      </c>
      <c r="PY18" s="23">
        <f>SUM(PY2:PY16)</f>
        <v/>
      </c>
      <c r="PZ18" s="23">
        <f>SUM(PZ2:PZ16)</f>
        <v/>
      </c>
      <c r="QA18" s="23">
        <f>SUM(QA2:QA16)</f>
        <v/>
      </c>
      <c r="QB18" s="23">
        <f>SUM(QB2:QB16)</f>
        <v/>
      </c>
      <c r="QC18" s="23">
        <f>SUM(QC2:QC16)</f>
        <v/>
      </c>
      <c r="QD18" s="23">
        <f>SUM(QD2:QD16)</f>
        <v/>
      </c>
      <c r="QE18" s="23">
        <f>SUM(QE2:QE16)</f>
        <v/>
      </c>
      <c r="QF18" s="23">
        <f>SUM(QF2:QF16)</f>
        <v/>
      </c>
      <c r="QG18" s="23">
        <f>SUM(QG2:QG16)</f>
        <v/>
      </c>
      <c r="QH18" s="23">
        <f>SUM(QH2:QH16)</f>
        <v/>
      </c>
      <c r="QI18" s="23">
        <f>SUM(QI2:QI16)</f>
        <v/>
      </c>
      <c r="QJ18" s="23">
        <f>SUM(QJ2:QJ16)</f>
        <v/>
      </c>
      <c r="QK18" s="23">
        <f>SUM(QK2:QK16)</f>
        <v/>
      </c>
      <c r="QL18" s="23">
        <f>SUM(QL2:QL16)</f>
        <v/>
      </c>
      <c r="QM18" s="23">
        <f>SUM(QM2:QM16)</f>
        <v/>
      </c>
      <c r="QN18" s="23">
        <f>SUM(QN2:QN16)</f>
        <v/>
      </c>
      <c r="QO18" s="23">
        <f>SUM(QO2:QO16)</f>
        <v/>
      </c>
      <c r="QP18" s="23">
        <f>SUM(QP2:QP16)</f>
        <v/>
      </c>
      <c r="QQ18" s="23">
        <f>SUM(QQ2:QQ16)</f>
        <v/>
      </c>
      <c r="QR18" s="23">
        <f>SUM(QR2:QR16)</f>
        <v/>
      </c>
      <c r="QS18" s="23">
        <f>SUM(QS2:QS16)</f>
        <v/>
      </c>
      <c r="QT18" s="23">
        <f>SUM(QT2:QT16)</f>
        <v/>
      </c>
      <c r="QU18" s="23">
        <f>SUM(QU2:QU16)</f>
        <v/>
      </c>
      <c r="QV18" s="23">
        <f>SUM(QV2:QV16)</f>
        <v/>
      </c>
      <c r="QW18" s="23">
        <f>SUM(QW2:QW16)</f>
        <v/>
      </c>
      <c r="QX18" s="23">
        <f>SUM(QX2:QX16)</f>
        <v/>
      </c>
      <c r="QY18" s="23">
        <f>SUM(QY2:QY16)</f>
        <v/>
      </c>
      <c r="QZ18" s="23">
        <f>SUM(QZ2:QZ16)</f>
        <v/>
      </c>
      <c r="RA18" s="23">
        <f>SUM(RA2:RA16)</f>
        <v/>
      </c>
      <c r="RB18" s="23">
        <f>SUM(RB2:RB16)</f>
        <v/>
      </c>
      <c r="RC18" s="23">
        <f>SUM(RC2:RC16)</f>
        <v/>
      </c>
      <c r="RD18" s="23">
        <f>SUM(RD2:RD16)</f>
        <v/>
      </c>
      <c r="RE18" s="23">
        <f>SUM(RE2:RE16)</f>
        <v/>
      </c>
      <c r="RF18" s="23">
        <f>SUM(RF2:RF16)</f>
        <v/>
      </c>
      <c r="RG18" s="23">
        <f>SUM(RG2:RG16)</f>
        <v/>
      </c>
      <c r="RH18" s="23">
        <f>SUM(RH2:RH16)</f>
        <v/>
      </c>
      <c r="RI18" s="23">
        <f>SUM(RI2:RI16)</f>
        <v/>
      </c>
      <c r="RJ18" s="23">
        <f>SUM(RJ2:RJ16)</f>
        <v/>
      </c>
      <c r="RK18" s="23">
        <f>SUM(RK2:RK16)</f>
        <v/>
      </c>
      <c r="RL18" s="23">
        <f>SUM(RL2:RL16)</f>
        <v/>
      </c>
      <c r="RM18" s="23">
        <f>SUM(RM2:RM16)</f>
        <v/>
      </c>
      <c r="RN18" s="23">
        <f>SUM(RN2:RN16)</f>
        <v/>
      </c>
      <c r="RO18" s="23">
        <f>SUM(RO2:RO16)</f>
        <v/>
      </c>
      <c r="RP18" s="23">
        <f>SUM(RP2:RP16)</f>
        <v/>
      </c>
      <c r="RQ18" s="23">
        <f>SUM(RQ2:RQ16)</f>
        <v/>
      </c>
      <c r="RR18" s="23">
        <f>SUM(RR2:RR16)</f>
        <v/>
      </c>
      <c r="RS18" s="23">
        <f>SUM(RS2:RS16)</f>
        <v/>
      </c>
      <c r="RT18" s="23">
        <f>SUM(RT2:RT16)</f>
        <v/>
      </c>
      <c r="RU18" s="23">
        <f>SUM(RU2:RU16)</f>
        <v/>
      </c>
      <c r="RV18" s="23">
        <f>SUM(RV2:RV16)</f>
        <v/>
      </c>
      <c r="RW18" s="23">
        <f>SUM(RW2:RW16)</f>
        <v/>
      </c>
      <c r="RX18" s="23">
        <f>SUM(RX2:RX16)</f>
        <v/>
      </c>
      <c r="RY18" s="23">
        <f>SUM(RY2:RY16)</f>
        <v/>
      </c>
      <c r="RZ18" s="23">
        <f>SUM(RZ2:RZ16)</f>
        <v/>
      </c>
      <c r="SA18" s="23">
        <f>SUM(SA2:SA16)</f>
        <v/>
      </c>
      <c r="SB18" s="23">
        <f>SUM(SB2:SB16)</f>
        <v/>
      </c>
      <c r="SC18" s="23">
        <f>SUM(SC2:SC16)</f>
        <v/>
      </c>
      <c r="SD18" s="23">
        <f>SUM(SD2:SD16)</f>
        <v/>
      </c>
      <c r="SE18" s="23">
        <f>SUM(SE2:SE16)</f>
        <v/>
      </c>
      <c r="SF18" s="23">
        <f>SUM(SF2:SF16)</f>
        <v/>
      </c>
      <c r="SG18" s="23">
        <f>SUM(SG2:SG16)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Monte Carlo Simulation Results</t>
        </is>
      </c>
    </row>
    <row r="3">
      <c r="A3" s="8" t="inlineStr">
        <is>
          <t>Summary Statistics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Unit</t>
        </is>
      </c>
    </row>
    <row r="5">
      <c r="A5" s="3" t="inlineStr">
        <is>
          <t>Expected Loss (Mean)</t>
        </is>
      </c>
      <c r="B5" s="24">
        <f>AVERAGE(Losses!B18:SG18)</f>
        <v/>
      </c>
      <c r="C5" s="5" t="inlineStr">
        <is>
          <t>M</t>
        </is>
      </c>
    </row>
    <row r="6">
      <c r="A6" s="3" t="inlineStr">
        <is>
          <t>Loss Std Dev</t>
        </is>
      </c>
      <c r="B6" s="24">
        <f>STDEV(Losses!B18:SG18)</f>
        <v/>
      </c>
      <c r="C6" s="5" t="inlineStr">
        <is>
          <t>M</t>
        </is>
      </c>
    </row>
    <row r="7">
      <c r="A7" s="3" t="inlineStr">
        <is>
          <t>VaR (99%)</t>
        </is>
      </c>
      <c r="B7" s="24">
        <f>PERCENTILE(Losses!B18:SG18,Parameters!B8)</f>
        <v/>
      </c>
      <c r="C7" s="5" t="inlineStr">
        <is>
          <t>M</t>
        </is>
      </c>
    </row>
    <row r="8">
      <c r="A8" s="3" t="inlineStr">
        <is>
          <t>Expected Shortfall (CVaR)</t>
        </is>
      </c>
      <c r="B8" s="24">
        <f>AVERAGEIF(Losses!B18:SG18,"&gt;="&amp;B6)</f>
        <v/>
      </c>
      <c r="C8" s="5" t="inlineStr">
        <is>
          <t>M</t>
        </is>
      </c>
    </row>
    <row r="9">
      <c r="A9" s="3" t="inlineStr">
        <is>
          <t>Max Loss</t>
        </is>
      </c>
      <c r="B9" s="24">
        <f>MAX(Losses!B18:SG18)</f>
        <v/>
      </c>
      <c r="C9" s="5" t="inlineStr">
        <is>
          <t>M</t>
        </is>
      </c>
    </row>
    <row r="10">
      <c r="A10" s="3" t="inlineStr">
        <is>
          <t>Min Loss</t>
        </is>
      </c>
      <c r="B10" s="24">
        <f>MIN(Losses!B18:SG18)</f>
        <v/>
      </c>
      <c r="C10" s="5" t="inlineStr">
        <is>
          <t>M</t>
        </is>
      </c>
    </row>
    <row r="11">
      <c r="A11" s="3" t="inlineStr">
        <is>
          <t>Median Loss</t>
        </is>
      </c>
      <c r="B11" s="24">
        <f>MEDIAN(Losses!B18:SG18)</f>
        <v/>
      </c>
      <c r="C11" s="5" t="inlineStr">
        <is>
          <t>M</t>
        </is>
      </c>
    </row>
    <row r="12">
      <c r="A12" s="3" t="inlineStr">
        <is>
          <t>Total Portfolio EAD</t>
        </is>
      </c>
      <c r="B12" s="25">
        <f>Obligors!G18</f>
        <v/>
      </c>
      <c r="C12" s="5" t="inlineStr">
        <is>
          <t>M</t>
        </is>
      </c>
    </row>
    <row r="13">
      <c r="A13" s="3" t="inlineStr">
        <is>
          <t>Expected Loss Rate</t>
        </is>
      </c>
      <c r="B13" s="7">
        <f>B4/B11</f>
        <v/>
      </c>
      <c r="C13" s="5" t="inlineStr">
        <is>
          <t>%</t>
        </is>
      </c>
    </row>
    <row r="16">
      <c r="A16" s="8" t="inlineStr">
        <is>
          <t>Default Count Statistics</t>
        </is>
      </c>
    </row>
    <row r="17">
      <c r="A17" s="2" t="inlineStr">
        <is>
          <t>Metric</t>
        </is>
      </c>
      <c r="B17" s="2" t="inlineStr">
        <is>
          <t>Value</t>
        </is>
      </c>
    </row>
    <row r="18">
      <c r="A18" s="3" t="inlineStr">
        <is>
          <t>Avg Defaults per Trial</t>
        </is>
      </c>
      <c r="B18" s="26">
        <f>SUMPRODUCT(Defaults!B2:SG16)/500</f>
        <v/>
      </c>
    </row>
    <row r="19">
      <c r="A19" s="3" t="inlineStr">
        <is>
          <t>Avg Default Rate</t>
        </is>
      </c>
      <c r="B19" s="27">
        <f>B18/15</f>
        <v/>
      </c>
    </row>
    <row r="22">
      <c r="A22" s="8" t="inlineStr">
        <is>
          <t>Loss Distribution</t>
        </is>
      </c>
    </row>
    <row r="23">
      <c r="A23" s="2" t="inlineStr">
        <is>
          <t>Bucket Upper</t>
        </is>
      </c>
      <c r="B23" s="2" t="inlineStr">
        <is>
          <t>Frequency</t>
        </is>
      </c>
      <c r="C23" s="2" t="inlineStr">
        <is>
          <t>Cumulative %</t>
        </is>
      </c>
    </row>
    <row r="24">
      <c r="A24" s="28">
        <f>(1)*B9/25</f>
        <v/>
      </c>
      <c r="B24" s="29">
        <f>COUNTIF(Losses!B18:SG18,"&lt;="&amp;A24)</f>
        <v/>
      </c>
      <c r="C24" s="30">
        <f>B24/500</f>
        <v/>
      </c>
    </row>
    <row r="25">
      <c r="A25" s="28">
        <f>(2)*B9/25</f>
        <v/>
      </c>
      <c r="B25" s="29">
        <f>COUNTIFS(Losses!B18:SG18,"&lt;="&amp;A25)-COUNTIFS(Losses!B18:SG18,"&lt;="&amp;A24)</f>
        <v/>
      </c>
      <c r="C25" s="30">
        <f>C24+B25/500</f>
        <v/>
      </c>
    </row>
    <row r="26">
      <c r="A26" s="28">
        <f>(3)*B9/25</f>
        <v/>
      </c>
      <c r="B26" s="29">
        <f>COUNTIFS(Losses!B18:SG18,"&lt;="&amp;A26)-COUNTIFS(Losses!B18:SG18,"&lt;="&amp;A25)</f>
        <v/>
      </c>
      <c r="C26" s="30">
        <f>C25+B26/500</f>
        <v/>
      </c>
    </row>
    <row r="27">
      <c r="A27" s="28">
        <f>(4)*B9/25</f>
        <v/>
      </c>
      <c r="B27" s="29">
        <f>COUNTIFS(Losses!B18:SG18,"&lt;="&amp;A27)-COUNTIFS(Losses!B18:SG18,"&lt;="&amp;A26)</f>
        <v/>
      </c>
      <c r="C27" s="30">
        <f>C26+B27/500</f>
        <v/>
      </c>
    </row>
    <row r="28">
      <c r="A28" s="28">
        <f>(5)*B9/25</f>
        <v/>
      </c>
      <c r="B28" s="29">
        <f>COUNTIFS(Losses!B18:SG18,"&lt;="&amp;A28)-COUNTIFS(Losses!B18:SG18,"&lt;="&amp;A27)</f>
        <v/>
      </c>
      <c r="C28" s="30">
        <f>C27+B28/500</f>
        <v/>
      </c>
    </row>
    <row r="29">
      <c r="A29" s="28">
        <f>(6)*B9/25</f>
        <v/>
      </c>
      <c r="B29" s="29">
        <f>COUNTIFS(Losses!B18:SG18,"&lt;="&amp;A29)-COUNTIFS(Losses!B18:SG18,"&lt;="&amp;A28)</f>
        <v/>
      </c>
      <c r="C29" s="30">
        <f>C28+B29/500</f>
        <v/>
      </c>
    </row>
    <row r="30">
      <c r="A30" s="28">
        <f>(7)*B9/25</f>
        <v/>
      </c>
      <c r="B30" s="29">
        <f>COUNTIFS(Losses!B18:SG18,"&lt;="&amp;A30)-COUNTIFS(Losses!B18:SG18,"&lt;="&amp;A29)</f>
        <v/>
      </c>
      <c r="C30" s="30">
        <f>C29+B30/500</f>
        <v/>
      </c>
    </row>
    <row r="31">
      <c r="A31" s="28">
        <f>(8)*B9/25</f>
        <v/>
      </c>
      <c r="B31" s="29">
        <f>COUNTIFS(Losses!B18:SG18,"&lt;="&amp;A31)-COUNTIFS(Losses!B18:SG18,"&lt;="&amp;A30)</f>
        <v/>
      </c>
      <c r="C31" s="30">
        <f>C30+B31/500</f>
        <v/>
      </c>
    </row>
    <row r="32">
      <c r="A32" s="28">
        <f>(9)*B9/25</f>
        <v/>
      </c>
      <c r="B32" s="29">
        <f>COUNTIFS(Losses!B18:SG18,"&lt;="&amp;A32)-COUNTIFS(Losses!B18:SG18,"&lt;="&amp;A31)</f>
        <v/>
      </c>
      <c r="C32" s="30">
        <f>C31+B32/500</f>
        <v/>
      </c>
    </row>
    <row r="33">
      <c r="A33" s="28">
        <f>(10)*B9/25</f>
        <v/>
      </c>
      <c r="B33" s="29">
        <f>COUNTIFS(Losses!B18:SG18,"&lt;="&amp;A33)-COUNTIFS(Losses!B18:SG18,"&lt;="&amp;A32)</f>
        <v/>
      </c>
      <c r="C33" s="30">
        <f>C32+B33/500</f>
        <v/>
      </c>
    </row>
    <row r="34">
      <c r="A34" s="28">
        <f>(11)*B9/25</f>
        <v/>
      </c>
      <c r="B34" s="29">
        <f>COUNTIFS(Losses!B18:SG18,"&lt;="&amp;A34)-COUNTIFS(Losses!B18:SG18,"&lt;="&amp;A33)</f>
        <v/>
      </c>
      <c r="C34" s="30">
        <f>C33+B34/500</f>
        <v/>
      </c>
    </row>
    <row r="35">
      <c r="A35" s="28">
        <f>(12)*B9/25</f>
        <v/>
      </c>
      <c r="B35" s="29">
        <f>COUNTIFS(Losses!B18:SG18,"&lt;="&amp;A35)-COUNTIFS(Losses!B18:SG18,"&lt;="&amp;A34)</f>
        <v/>
      </c>
      <c r="C35" s="30">
        <f>C34+B35/500</f>
        <v/>
      </c>
    </row>
    <row r="36">
      <c r="A36" s="28">
        <f>(13)*B9/25</f>
        <v/>
      </c>
      <c r="B36" s="29">
        <f>COUNTIFS(Losses!B18:SG18,"&lt;="&amp;A36)-COUNTIFS(Losses!B18:SG18,"&lt;="&amp;A35)</f>
        <v/>
      </c>
      <c r="C36" s="30">
        <f>C35+B36/500</f>
        <v/>
      </c>
    </row>
    <row r="37">
      <c r="A37" s="28">
        <f>(14)*B9/25</f>
        <v/>
      </c>
      <c r="B37" s="29">
        <f>COUNTIFS(Losses!B18:SG18,"&lt;="&amp;A37)-COUNTIFS(Losses!B18:SG18,"&lt;="&amp;A36)</f>
        <v/>
      </c>
      <c r="C37" s="30">
        <f>C36+B37/500</f>
        <v/>
      </c>
    </row>
    <row r="38">
      <c r="A38" s="28">
        <f>(15)*B9/25</f>
        <v/>
      </c>
      <c r="B38" s="29">
        <f>COUNTIFS(Losses!B18:SG18,"&lt;="&amp;A38)-COUNTIFS(Losses!B18:SG18,"&lt;="&amp;A37)</f>
        <v/>
      </c>
      <c r="C38" s="30">
        <f>C37+B38/500</f>
        <v/>
      </c>
    </row>
    <row r="39">
      <c r="A39" s="28">
        <f>(16)*B9/25</f>
        <v/>
      </c>
      <c r="B39" s="29">
        <f>COUNTIFS(Losses!B18:SG18,"&lt;="&amp;A39)-COUNTIFS(Losses!B18:SG18,"&lt;="&amp;A38)</f>
        <v/>
      </c>
      <c r="C39" s="30">
        <f>C38+B39/500</f>
        <v/>
      </c>
    </row>
    <row r="40">
      <c r="A40" s="28">
        <f>(17)*B9/25</f>
        <v/>
      </c>
      <c r="B40" s="29">
        <f>COUNTIFS(Losses!B18:SG18,"&lt;="&amp;A40)-COUNTIFS(Losses!B18:SG18,"&lt;="&amp;A39)</f>
        <v/>
      </c>
      <c r="C40" s="30">
        <f>C39+B40/500</f>
        <v/>
      </c>
    </row>
    <row r="41">
      <c r="A41" s="28">
        <f>(18)*B9/25</f>
        <v/>
      </c>
      <c r="B41" s="29">
        <f>COUNTIFS(Losses!B18:SG18,"&lt;="&amp;A41)-COUNTIFS(Losses!B18:SG18,"&lt;="&amp;A40)</f>
        <v/>
      </c>
      <c r="C41" s="30">
        <f>C40+B41/500</f>
        <v/>
      </c>
    </row>
    <row r="42">
      <c r="A42" s="28">
        <f>(19)*B9/25</f>
        <v/>
      </c>
      <c r="B42" s="29">
        <f>COUNTIFS(Losses!B18:SG18,"&lt;="&amp;A42)-COUNTIFS(Losses!B18:SG18,"&lt;="&amp;A41)</f>
        <v/>
      </c>
      <c r="C42" s="30">
        <f>C41+B42/500</f>
        <v/>
      </c>
    </row>
    <row r="43">
      <c r="A43" s="28">
        <f>(20)*B9/25</f>
        <v/>
      </c>
      <c r="B43" s="29">
        <f>COUNTIFS(Losses!B18:SG18,"&lt;="&amp;A43)-COUNTIFS(Losses!B18:SG18,"&lt;="&amp;A42)</f>
        <v/>
      </c>
      <c r="C43" s="30">
        <f>C42+B43/500</f>
        <v/>
      </c>
    </row>
    <row r="44">
      <c r="A44" s="28">
        <f>(21)*B9/25</f>
        <v/>
      </c>
      <c r="B44" s="29">
        <f>COUNTIFS(Losses!B18:SG18,"&lt;="&amp;A44)-COUNTIFS(Losses!B18:SG18,"&lt;="&amp;A43)</f>
        <v/>
      </c>
      <c r="C44" s="30">
        <f>C43+B44/500</f>
        <v/>
      </c>
    </row>
    <row r="45">
      <c r="A45" s="28">
        <f>(22)*B9/25</f>
        <v/>
      </c>
      <c r="B45" s="29">
        <f>COUNTIFS(Losses!B18:SG18,"&lt;="&amp;A45)-COUNTIFS(Losses!B18:SG18,"&lt;="&amp;A44)</f>
        <v/>
      </c>
      <c r="C45" s="30">
        <f>C44+B45/500</f>
        <v/>
      </c>
    </row>
    <row r="46">
      <c r="A46" s="28">
        <f>(23)*B9/25</f>
        <v/>
      </c>
      <c r="B46" s="29">
        <f>COUNTIFS(Losses!B18:SG18,"&lt;="&amp;A46)-COUNTIFS(Losses!B18:SG18,"&lt;="&amp;A45)</f>
        <v/>
      </c>
      <c r="C46" s="30">
        <f>C45+B46/500</f>
        <v/>
      </c>
    </row>
    <row r="47">
      <c r="A47" s="28">
        <f>(24)*B9/25</f>
        <v/>
      </c>
      <c r="B47" s="29">
        <f>COUNTIFS(Losses!B18:SG18,"&lt;="&amp;A47)-COUNTIFS(Losses!B18:SG18,"&lt;="&amp;A46)</f>
        <v/>
      </c>
      <c r="C47" s="30">
        <f>C46+B47/500</f>
        <v/>
      </c>
    </row>
    <row r="48">
      <c r="A48" s="28">
        <f>(25)*B9/25</f>
        <v/>
      </c>
      <c r="B48" s="29">
        <f>COUNTIFS(Losses!B18:SG18,"&lt;="&amp;A48)-COUNTIFS(Losses!B18:SG18,"&lt;="&amp;A47)</f>
        <v/>
      </c>
      <c r="C48" s="30">
        <f>C47+B48/500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2026-03-23T09:04:01Z</dcterms:created>
  <dcterms:modified xsi:type="dcterms:W3CDTF">2026-03-23T09:04:01Z</dcterms:modified>
</cp:coreProperties>
</file>