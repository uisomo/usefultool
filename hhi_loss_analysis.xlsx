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SimulationResults" sheetId="2" state="visible" r:id="rId2"/>
    <sheet name="WeightDistribution" sheetId="3" state="visible" r:id="rId3"/>
    <sheet name="VaRの落とし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4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FFFFFF"/>
      <sz val="11"/>
    </font>
    <font>
      <name val="Calibri"/>
      <b val="1"/>
      <color rgb="002F5496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8F5E9"/>
        <bgColor rgb="00E8F5E9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pivotButton="0" quotePrefix="0" xfId="0"/>
    <xf numFmtId="3" fontId="0" fillId="0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164" fontId="0" fillId="0" borderId="1" pivotButton="0" quotePrefix="0" xfId="0"/>
    <xf numFmtId="10" fontId="0" fillId="4" borderId="1" applyAlignment="1" pivotButton="0" quotePrefix="0" xfId="0">
      <alignment horizontal="center"/>
    </xf>
    <xf numFmtId="10" fontId="0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HHI vs 標準偏差（シミュレーション vs 理論値）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'SimulationResults'!C3</f>
            </strRef>
          </tx>
          <spPr>
            <a:ln w="25000">
              <a:solidFill>
                <a:srgbClr val="FF98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'SimulationResults'!$A$4:$A$53</f>
            </numRef>
          </cat>
          <val>
            <numRef>
              <f>'SimulationResults'!$C$4:$C$53</f>
            </numRef>
          </val>
        </ser>
        <ser>
          <idx val="1"/>
          <order val="1"/>
          <tx>
            <strRef>
              <f>'SimulationResults'!G3</f>
            </strRef>
          </tx>
          <spPr>
            <a:ln w="25000">
              <a:solidFill>
                <a:srgbClr val="FF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'SimulationResults'!$A$4:$A$53</f>
            </numRef>
          </cat>
          <val>
            <numRef>
              <f>'SimulationResults'!$G$4:$G$53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HHI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損失率</a:t>
                </a:r>
              </a:p>
            </rich>
          </tx>
        </title>
        <numFmt formatCode="0.0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HHI vs VaR 99.9% vs 最大損失率（VaRの落とし穴）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'SimulationResults'!E3</f>
            </strRef>
          </tx>
          <spPr>
            <a:ln w="25000">
              <a:solidFill>
                <a:srgbClr val="E91E6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'SimulationResults'!$A$4:$A$53</f>
            </numRef>
          </cat>
          <val>
            <numRef>
              <f>'SimulationResults'!$E$4:$E$53</f>
            </numRef>
          </val>
        </ser>
        <ser>
          <idx val="1"/>
          <order val="1"/>
          <tx>
            <strRef>
              <f>'SimulationResults'!F3</f>
            </strRef>
          </tx>
          <spPr>
            <a:ln w="25000">
              <a:solidFill>
                <a:srgbClr val="9C27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'SimulationResults'!$A$4:$A$53</f>
            </numRef>
          </cat>
          <val>
            <numRef>
              <f>'SimulationResults'!$F$4:$F$53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HHI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損失率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HHI vs 全指標（集中度と損失率の関係）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'SimulationResults'!B3</f>
            </strRef>
          </tx>
          <spPr>
            <a:ln w="25000">
              <a:solidFill>
                <a:srgbClr val="2196F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'SimulationResults'!$A$4:$A$53</f>
            </numRef>
          </cat>
          <val>
            <numRef>
              <f>'SimulationResults'!$B$4:$B$53</f>
            </numRef>
          </val>
        </ser>
        <ser>
          <idx val="1"/>
          <order val="1"/>
          <tx>
            <strRef>
              <f>'SimulationResults'!C3</f>
            </strRef>
          </tx>
          <spPr>
            <a:ln w="25000">
              <a:solidFill>
                <a:srgbClr val="FF98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'SimulationResults'!$A$4:$A$53</f>
            </numRef>
          </cat>
          <val>
            <numRef>
              <f>'SimulationResults'!$C$4:$C$53</f>
            </numRef>
          </val>
        </ser>
        <ser>
          <idx val="2"/>
          <order val="2"/>
          <tx>
            <strRef>
              <f>'SimulationResults'!E3</f>
            </strRef>
          </tx>
          <spPr>
            <a:ln w="25000">
              <a:solidFill>
                <a:srgbClr val="E91E6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'SimulationResults'!$A$4:$A$53</f>
            </numRef>
          </cat>
          <val>
            <numRef>
              <f>'SimulationResults'!$E$4:$E$53</f>
            </numRef>
          </val>
        </ser>
        <ser>
          <idx val="3"/>
          <order val="3"/>
          <tx>
            <strRef>
              <f>'SimulationResults'!F3</f>
            </strRef>
          </tx>
          <spPr>
            <a:ln w="25000">
              <a:solidFill>
                <a:srgbClr val="9C27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'SimulationResults'!$A$4:$A$53</f>
            </numRef>
          </cat>
          <val>
            <numRef>
              <f>'SimulationResults'!$F$4:$F$53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HHI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損失率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55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71</row>
      <rowOff>0</rowOff>
    </from>
    <ext cx="792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87</row>
      <rowOff>0</rowOff>
    </from>
    <ext cx="792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</cols>
  <sheetData>
    <row r="1">
      <c r="A1" s="1" t="inlineStr">
        <is>
          <t>HHI vs 損失率 Monte Carlo分析</t>
        </is>
      </c>
    </row>
    <row r="3">
      <c r="A3" s="2" t="inlineStr">
        <is>
          <t>パラメータ</t>
        </is>
      </c>
      <c r="B3" s="2" t="inlineStr">
        <is>
          <t>値</t>
        </is>
      </c>
      <c r="C3" s="2" t="inlineStr">
        <is>
          <t>説明</t>
        </is>
      </c>
    </row>
    <row r="4">
      <c r="A4" s="3" t="inlineStr">
        <is>
          <t>債務者数</t>
        </is>
      </c>
      <c r="B4" s="4" t="n">
        <v>10</v>
      </c>
      <c r="C4" s="5" t="inlineStr">
        <is>
          <t>ポートフォリオ内の企業数</t>
        </is>
      </c>
    </row>
    <row r="5">
      <c r="A5" s="3" t="inlineStr">
        <is>
          <t>PD (デフォルト確率)</t>
        </is>
      </c>
      <c r="B5" s="6" t="n">
        <v>0.0003</v>
      </c>
      <c r="C5" s="5" t="inlineStr">
        <is>
          <t>AA格の年間デフォルト確率</t>
        </is>
      </c>
    </row>
    <row r="6">
      <c r="A6" s="3" t="inlineStr">
        <is>
          <t>LGD (デフォルト時損失率)</t>
        </is>
      </c>
      <c r="B6" s="6" t="n">
        <v>1</v>
      </c>
      <c r="C6" s="5" t="inlineStr">
        <is>
          <t>デフォルト時のエクスポージャー損失割合</t>
        </is>
      </c>
    </row>
    <row r="7">
      <c r="A7" s="3" t="inlineStr">
        <is>
          <t>相関 (ρ)</t>
        </is>
      </c>
      <c r="B7" s="6" t="n">
        <v>0</v>
      </c>
      <c r="C7" s="5" t="inlineStr">
        <is>
          <t>債務者間の相関（今回はゼロ）</t>
        </is>
      </c>
    </row>
    <row r="8">
      <c r="A8" s="3" t="inlineStr">
        <is>
          <t>シミュレーション回数</t>
        </is>
      </c>
      <c r="B8" s="4" t="n">
        <v>1000000</v>
      </c>
      <c r="C8" s="5" t="inlineStr">
        <is>
          <t>各HHIポイントでの試行回数</t>
        </is>
      </c>
    </row>
    <row r="9">
      <c r="A9" s="3" t="inlineStr">
        <is>
          <t>HHIポイント数</t>
        </is>
      </c>
      <c r="B9" s="4" t="n">
        <v>50</v>
      </c>
      <c r="C9" s="5" t="inlineStr">
        <is>
          <t>分析するHHI水準の数</t>
        </is>
      </c>
    </row>
    <row r="12">
      <c r="A12" s="7" t="inlineStr">
        <is>
          <t>重要な発見</t>
        </is>
      </c>
    </row>
    <row r="13">
      <c r="A13" t="inlineStr">
        <is>
          <t>1. 期待損失率はHHIに関係なく一定 (E[L] = PD × LGD = 0.03%)</t>
        </is>
      </c>
    </row>
    <row r="14">
      <c r="A14" t="inlineStr">
        <is>
          <t>2. 標準偏差はσ = √(HHI × PD × (1-PD)) に比例して増加</t>
        </is>
      </c>
    </row>
    <row r="15">
      <c r="A15" t="inlineStr">
        <is>
          <t>3. VaR 99.9%はHHI増加で逆に低下する（VaRの落とし穴）</t>
        </is>
      </c>
    </row>
    <row r="16">
      <c r="A16" t="inlineStr">
        <is>
          <t xml:space="preserve">   → 集中ポートフォリオはデフォルト確率が低いが、起きた時の損失が壊滅的</t>
        </is>
      </c>
    </row>
    <row r="17">
      <c r="A17" t="inlineStr">
        <is>
          <t>4. 最大損失率はHHI増加とともに上昇 → 集中リスクの本質</t>
        </is>
      </c>
    </row>
    <row r="18">
      <c r="A18" t="inlineStr">
        <is>
          <t>5. VaRだけでBB advance rateを設定すると集中リスクを見逃す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HHI vs 損失率 シミュレーション結果</t>
        </is>
      </c>
    </row>
    <row r="3">
      <c r="A3" s="2" t="inlineStr">
        <is>
          <t>HHI</t>
        </is>
      </c>
      <c r="B3" s="2" t="inlineStr">
        <is>
          <t>期待損失率
(E[L])</t>
        </is>
      </c>
      <c r="C3" s="2" t="inlineStr">
        <is>
          <t>標準偏差
(σ)</t>
        </is>
      </c>
      <c r="D3" s="2" t="inlineStr">
        <is>
          <t>VaR 99%</t>
        </is>
      </c>
      <c r="E3" s="2" t="inlineStr">
        <is>
          <t>VaR 99.9%</t>
        </is>
      </c>
      <c r="F3" s="2" t="inlineStr">
        <is>
          <t>最大損失率</t>
        </is>
      </c>
      <c r="G3" s="2" t="inlineStr">
        <is>
          <t>理論値 σ
√(HHI·PD·(1-PD))</t>
        </is>
      </c>
      <c r="H3" s="2" t="inlineStr">
        <is>
          <t>最大ウェイト
(w_max)</t>
        </is>
      </c>
    </row>
    <row r="4">
      <c r="A4" s="8" t="n">
        <v>0.1</v>
      </c>
      <c r="B4" s="9" t="n">
        <v>0.0003007</v>
      </c>
      <c r="C4" s="9" t="n">
        <v>0.005479012640065726</v>
      </c>
      <c r="D4" s="10" t="n">
        <v>0</v>
      </c>
      <c r="E4" s="10" t="n">
        <v>0.1</v>
      </c>
      <c r="F4" s="10" t="n">
        <v>0.2</v>
      </c>
      <c r="G4" s="9" t="n">
        <v>0.005476403929587372</v>
      </c>
      <c r="H4" s="10" t="n">
        <v>0.1</v>
      </c>
    </row>
    <row r="5">
      <c r="A5" s="8" t="n">
        <v>0.1003711047480217</v>
      </c>
      <c r="B5" s="9" t="n">
        <v>0.0003010263673469389</v>
      </c>
      <c r="C5" s="9" t="n">
        <v>0.00549155915471891</v>
      </c>
      <c r="D5" s="10" t="n">
        <v>0</v>
      </c>
      <c r="E5" s="10" t="n">
        <v>0.09796938775510206</v>
      </c>
      <c r="F5" s="10" t="n">
        <v>0.1959387755102041</v>
      </c>
      <c r="G5" s="9" t="n">
        <v>0.005486556116999003</v>
      </c>
      <c r="H5" s="10" t="n">
        <v>0.1182755102040816</v>
      </c>
    </row>
    <row r="6">
      <c r="A6" s="8" t="n">
        <v>0.1014844189920866</v>
      </c>
      <c r="B6" s="9" t="n">
        <v>0.0003080482653061224</v>
      </c>
      <c r="C6" s="9" t="n">
        <v>0.005592481398272474</v>
      </c>
      <c r="D6" s="10" t="n">
        <v>0</v>
      </c>
      <c r="E6" s="10" t="n">
        <v>0.09593877551020408</v>
      </c>
      <c r="F6" s="10" t="n">
        <v>0.1918775510204082</v>
      </c>
      <c r="G6" s="9" t="n">
        <v>0.005516900588185063</v>
      </c>
      <c r="H6" s="10" t="n">
        <v>0.1365510204081632</v>
      </c>
    </row>
    <row r="7">
      <c r="A7" s="8" t="n">
        <v>0.1033399427321949</v>
      </c>
      <c r="B7" s="9" t="n">
        <v>0.000304840112244898</v>
      </c>
      <c r="C7" s="9" t="n">
        <v>0.005611947768426754</v>
      </c>
      <c r="D7" s="10" t="n">
        <v>0</v>
      </c>
      <c r="E7" s="10" t="n">
        <v>0.09390816326530613</v>
      </c>
      <c r="F7" s="10" t="n">
        <v>0.248734693877551</v>
      </c>
      <c r="G7" s="9" t="n">
        <v>0.005567107168432504</v>
      </c>
      <c r="H7" s="10" t="n">
        <v>0.1548265306122449</v>
      </c>
    </row>
    <row r="8">
      <c r="A8" s="8" t="n">
        <v>0.1059376759683466</v>
      </c>
      <c r="B8" s="9" t="n">
        <v>0.0003049214285714286</v>
      </c>
      <c r="C8" s="9" t="n">
        <v>0.005706570618902425</v>
      </c>
      <c r="D8" s="10" t="n">
        <v>0</v>
      </c>
      <c r="E8" s="10" t="n">
        <v>0.09187755102040818</v>
      </c>
      <c r="F8" s="10" t="n">
        <v>0.2649795918367347</v>
      </c>
      <c r="G8" s="9" t="n">
        <v>0.005636645136929131</v>
      </c>
      <c r="H8" s="10" t="n">
        <v>0.1731020408163265</v>
      </c>
    </row>
    <row r="9">
      <c r="A9" s="8" t="n">
        <v>0.1092776187005414</v>
      </c>
      <c r="B9" s="9" t="n">
        <v>0.0003080144897959184</v>
      </c>
      <c r="C9" s="9" t="n">
        <v>0.005849615982684641</v>
      </c>
      <c r="D9" s="10" t="n">
        <v>0</v>
      </c>
      <c r="E9" s="10" t="n">
        <v>0.0898469387755102</v>
      </c>
      <c r="F9" s="10" t="n">
        <v>0.1913775510204082</v>
      </c>
      <c r="G9" s="9" t="n">
        <v>0.005724810095058121</v>
      </c>
      <c r="H9" s="10" t="n">
        <v>0.1913775510204082</v>
      </c>
    </row>
    <row r="10">
      <c r="A10" s="8" t="n">
        <v>0.1133597709287797</v>
      </c>
      <c r="B10" s="9" t="n">
        <v>0.0002960846326530612</v>
      </c>
      <c r="C10" s="9" t="n">
        <v>0.005774530257372062</v>
      </c>
      <c r="D10" s="10" t="n">
        <v>0</v>
      </c>
      <c r="E10" s="10" t="n">
        <v>0.08781632653061225</v>
      </c>
      <c r="F10" s="10" t="n">
        <v>0.297469387755102</v>
      </c>
      <c r="G10" s="9" t="n">
        <v>0.005830757146310444</v>
      </c>
      <c r="H10" s="10" t="n">
        <v>0.2096530612244898</v>
      </c>
    </row>
    <row r="11">
      <c r="A11" s="8" t="n">
        <v>0.1181841326530612</v>
      </c>
      <c r="B11" s="9" t="n">
        <v>0.0003083306428571429</v>
      </c>
      <c r="C11" s="9" t="n">
        <v>0.006071584711889878</v>
      </c>
      <c r="D11" s="10" t="n">
        <v>0</v>
      </c>
      <c r="E11" s="10" t="n">
        <v>0.0857857142857143</v>
      </c>
      <c r="F11" s="10" t="n">
        <v>0.2279285714285715</v>
      </c>
      <c r="G11" s="9" t="n">
        <v>0.005953537034736544</v>
      </c>
      <c r="H11" s="10" t="n">
        <v>0.2279285714285715</v>
      </c>
    </row>
    <row r="12">
      <c r="A12" s="8" t="n">
        <v>0.1237507038733861</v>
      </c>
      <c r="B12" s="9" t="n">
        <v>0.0003</v>
      </c>
      <c r="C12" s="9" t="n">
        <v>0.006092498860129812</v>
      </c>
      <c r="D12" s="10" t="n">
        <v>0</v>
      </c>
      <c r="E12" s="10" t="n">
        <v>0.08375510204081633</v>
      </c>
      <c r="F12" s="10" t="n">
        <v>0.3299591836734694</v>
      </c>
      <c r="G12" s="9" t="n">
        <v>0.006092132106140445</v>
      </c>
      <c r="H12" s="10" t="n">
        <v>0.2462040816326531</v>
      </c>
    </row>
    <row r="13">
      <c r="A13" s="8" t="n">
        <v>0.1300594845897543</v>
      </c>
      <c r="B13" s="9" t="n">
        <v>0.0002833745102040816</v>
      </c>
      <c r="C13" s="9" t="n">
        <v>0.006043485452644804</v>
      </c>
      <c r="D13" s="10" t="n">
        <v>0</v>
      </c>
      <c r="E13" s="10" t="n">
        <v>0.08172448979591837</v>
      </c>
      <c r="F13" s="10" t="n">
        <v>0.346204081632653</v>
      </c>
      <c r="G13" s="9" t="n">
        <v>0.006245489574349892</v>
      </c>
      <c r="H13" s="10" t="n">
        <v>0.2644795918367347</v>
      </c>
    </row>
    <row r="14">
      <c r="A14" s="8" t="n">
        <v>0.1371104748021658</v>
      </c>
      <c r="B14" s="9" t="n">
        <v>0.0003133439795918367</v>
      </c>
      <c r="C14" s="9" t="n">
        <v>0.006624530211680218</v>
      </c>
      <c r="D14" s="10" t="n">
        <v>0</v>
      </c>
      <c r="E14" s="10" t="n">
        <v>0.07969387755102042</v>
      </c>
      <c r="F14" s="10" t="n">
        <v>0.2827551020408163</v>
      </c>
      <c r="G14" s="9" t="n">
        <v>0.006412550389503192</v>
      </c>
      <c r="H14" s="10" t="n">
        <v>0.2827551020408163</v>
      </c>
    </row>
    <row r="15">
      <c r="A15" s="8" t="n">
        <v>0.1449036745106206</v>
      </c>
      <c r="B15" s="9" t="n">
        <v>0.0002964274897959183</v>
      </c>
      <c r="C15" s="9" t="n">
        <v>0.00657100900030027</v>
      </c>
      <c r="D15" s="10" t="n">
        <v>0</v>
      </c>
      <c r="E15" s="10" t="n">
        <v>0.07766326530612244</v>
      </c>
      <c r="F15" s="10" t="n">
        <v>0.301030612244898</v>
      </c>
      <c r="G15" s="9" t="n">
        <v>0.006592272826763181</v>
      </c>
      <c r="H15" s="10" t="n">
        <v>0.301030612244898</v>
      </c>
    </row>
    <row r="16">
      <c r="A16" s="8" t="n">
        <v>0.1534390837151187</v>
      </c>
      <c r="B16" s="9" t="n">
        <v>0.0003025712244897959</v>
      </c>
      <c r="C16" s="9" t="n">
        <v>0.006851492001560453</v>
      </c>
      <c r="D16" s="10" t="n">
        <v>0</v>
      </c>
      <c r="E16" s="10" t="n">
        <v>0.07563265306122449</v>
      </c>
      <c r="F16" s="10" t="n">
        <v>0.3949387755102041</v>
      </c>
      <c r="G16" s="9" t="n">
        <v>0.006783650609885597</v>
      </c>
      <c r="H16" s="10" t="n">
        <v>0.3193061224489796</v>
      </c>
    </row>
    <row r="17">
      <c r="A17" s="8" t="n">
        <v>0.1627167024156602</v>
      </c>
      <c r="B17" s="9" t="n">
        <v>0.0003100538469387755</v>
      </c>
      <c r="C17" s="9" t="n">
        <v>0.007230147004670479</v>
      </c>
      <c r="D17" s="10" t="n">
        <v>0</v>
      </c>
      <c r="E17" s="10" t="n">
        <v>0.07360204081632653</v>
      </c>
      <c r="F17" s="10" t="n">
        <v>0.4111836734693878</v>
      </c>
      <c r="G17" s="9" t="n">
        <v>0.00698572589080624</v>
      </c>
      <c r="H17" s="10" t="n">
        <v>0.3375816326530612</v>
      </c>
    </row>
    <row r="18">
      <c r="A18" s="8" t="n">
        <v>0.1727365306122449</v>
      </c>
      <c r="B18" s="9" t="n">
        <v>0.0002952742857142857</v>
      </c>
      <c r="C18" s="9" t="n">
        <v>0.007181095984957695</v>
      </c>
      <c r="D18" s="10" t="n">
        <v>0</v>
      </c>
      <c r="E18" s="10" t="n">
        <v>0.07157142857142858</v>
      </c>
      <c r="F18" s="10" t="n">
        <v>0.4274285714285714</v>
      </c>
      <c r="G18" s="9" t="n">
        <v>0.00719759771701075</v>
      </c>
      <c r="H18" s="10" t="n">
        <v>0.3558571428571429</v>
      </c>
    </row>
    <row r="19">
      <c r="A19" s="8" t="n">
        <v>0.183498568304873</v>
      </c>
      <c r="B19" s="9" t="n">
        <v>0.0003105355102040817</v>
      </c>
      <c r="C19" s="9" t="n">
        <v>0.007652695310715251</v>
      </c>
      <c r="D19" s="10" t="n">
        <v>0</v>
      </c>
      <c r="E19" s="10" t="n">
        <v>0.06954081632653063</v>
      </c>
      <c r="F19" s="10" t="n">
        <v>0.3741326530612245</v>
      </c>
      <c r="G19" s="9" t="n">
        <v>0.00741842676180836</v>
      </c>
      <c r="H19" s="10" t="n">
        <v>0.3741326530612245</v>
      </c>
    </row>
    <row r="20">
      <c r="A20" s="8" t="n">
        <v>0.1950028154935444</v>
      </c>
      <c r="B20" s="9" t="n">
        <v>0.0002966413877551021</v>
      </c>
      <c r="C20" s="9" t="n">
        <v>0.007664905081901489</v>
      </c>
      <c r="D20" s="10" t="n">
        <v>0</v>
      </c>
      <c r="E20" s="10" t="n">
        <v>0.06751020408163265</v>
      </c>
      <c r="F20" s="10" t="n">
        <v>0.3924081632653061</v>
      </c>
      <c r="G20" s="9" t="n">
        <v>0.007647437112828643</v>
      </c>
      <c r="H20" s="10" t="n">
        <v>0.3924081632653061</v>
      </c>
    </row>
    <row r="21">
      <c r="A21" s="8" t="n">
        <v>0.2072492721782591</v>
      </c>
      <c r="B21" s="9" t="n">
        <v>0.0002947851836734694</v>
      </c>
      <c r="C21" s="9" t="n">
        <v>0.007911835053825072</v>
      </c>
      <c r="D21" s="10" t="n">
        <v>0</v>
      </c>
      <c r="E21" s="10" t="n">
        <v>0.06547959183673469</v>
      </c>
      <c r="F21" s="10" t="n">
        <v>0.4761632653061225</v>
      </c>
      <c r="G21" s="9" t="n">
        <v>0.007883915855650776</v>
      </c>
      <c r="H21" s="10" t="n">
        <v>0.4106836734693878</v>
      </c>
    </row>
    <row r="22">
      <c r="A22" s="8" t="n">
        <v>0.2202379383590171</v>
      </c>
      <c r="B22" s="9" t="n">
        <v>0.0003050715918367347</v>
      </c>
      <c r="C22" s="9" t="n">
        <v>0.008305517175323492</v>
      </c>
      <c r="D22" s="10" t="n">
        <v>0</v>
      </c>
      <c r="E22" s="10" t="n">
        <v>0.06344897959183673</v>
      </c>
      <c r="F22" s="10" t="n">
        <v>0.4289591836734694</v>
      </c>
      <c r="G22" s="9" t="n">
        <v>0.008127211089497603</v>
      </c>
      <c r="H22" s="10" t="n">
        <v>0.4289591836734694</v>
      </c>
    </row>
    <row r="23">
      <c r="A23" s="8" t="n">
        <v>0.2339688140358184</v>
      </c>
      <c r="B23" s="9" t="n">
        <v>0.0002973322040816326</v>
      </c>
      <c r="C23" s="9" t="n">
        <v>0.008384874494582712</v>
      </c>
      <c r="D23" s="10" t="n">
        <v>0</v>
      </c>
      <c r="E23" s="10" t="n">
        <v>0.06141836734693878</v>
      </c>
      <c r="F23" s="10" t="n">
        <v>0.447234693877551</v>
      </c>
      <c r="G23" s="9" t="n">
        <v>0.008376728897217713</v>
      </c>
      <c r="H23" s="10" t="n">
        <v>0.447234693877551</v>
      </c>
    </row>
    <row r="24">
      <c r="A24" s="8" t="n">
        <v>0.248441899208663</v>
      </c>
      <c r="B24" s="9" t="n">
        <v>0.0002946148979591837</v>
      </c>
      <c r="C24" s="9" t="n">
        <v>0.008588889092765315</v>
      </c>
      <c r="D24" s="10" t="n">
        <v>0</v>
      </c>
      <c r="E24" s="10" t="n">
        <v>0.05938775510204082</v>
      </c>
      <c r="F24" s="10" t="n">
        <v>0.4655102040816326</v>
      </c>
      <c r="G24" s="9" t="n">
        <v>0.008631929679490566</v>
      </c>
      <c r="H24" s="10" t="n">
        <v>0.4655102040816326</v>
      </c>
    </row>
    <row r="25">
      <c r="A25" s="8" t="n">
        <v>0.263657193877551</v>
      </c>
      <c r="B25" s="9" t="n">
        <v>0.0003061720714285715</v>
      </c>
      <c r="C25" s="9" t="n">
        <v>0.008981673880652283</v>
      </c>
      <c r="D25" s="10" t="n">
        <v>0</v>
      </c>
      <c r="E25" s="10" t="n">
        <v>0.05735714285714286</v>
      </c>
      <c r="F25" s="10" t="n">
        <v>0.5411428571428571</v>
      </c>
      <c r="G25" s="9" t="n">
        <v>0.008892324162771864</v>
      </c>
      <c r="H25" s="10" t="n">
        <v>0.4837857142857143</v>
      </c>
    </row>
    <row r="26">
      <c r="A26" s="8" t="n">
        <v>0.2796146980424823</v>
      </c>
      <c r="B26" s="9" t="n">
        <v>0.0002863625510204082</v>
      </c>
      <c r="C26" s="9" t="n">
        <v>0.008865599929781729</v>
      </c>
      <c r="D26" s="10" t="n">
        <v>0</v>
      </c>
      <c r="E26" s="10" t="n">
        <v>0.0553265306122449</v>
      </c>
      <c r="F26" s="10" t="n">
        <v>0.502061224489796</v>
      </c>
      <c r="G26" s="9" t="n">
        <v>0.009157469305977545</v>
      </c>
      <c r="H26" s="10" t="n">
        <v>0.502061224489796</v>
      </c>
    </row>
    <row r="27">
      <c r="A27" s="8" t="n">
        <v>0.296314411703457</v>
      </c>
      <c r="B27" s="9" t="n">
        <v>0.0003020687244897959</v>
      </c>
      <c r="C27" s="9" t="n">
        <v>0.009501233487840089</v>
      </c>
      <c r="D27" s="10" t="n">
        <v>0</v>
      </c>
      <c r="E27" s="10" t="n">
        <v>0.05329591836734694</v>
      </c>
      <c r="F27" s="10" t="n">
        <v>0.5736326530612245</v>
      </c>
      <c r="G27" s="9" t="n">
        <v>0.009426964262899471</v>
      </c>
      <c r="H27" s="10" t="n">
        <v>0.5203367346938775</v>
      </c>
    </row>
    <row r="28">
      <c r="A28" s="8" t="n">
        <v>0.3137563348604748</v>
      </c>
      <c r="B28" s="9" t="n">
        <v>0.000321979918367347</v>
      </c>
      <c r="C28" s="9" t="n">
        <v>0.01027414793292669</v>
      </c>
      <c r="D28" s="10" t="n">
        <v>0</v>
      </c>
      <c r="E28" s="10" t="n">
        <v>0.05126530612244898</v>
      </c>
      <c r="F28" s="10" t="n">
        <v>0.5898775510204082</v>
      </c>
      <c r="G28" s="9" t="n">
        <v>0.009700446504569003</v>
      </c>
      <c r="H28" s="10" t="n">
        <v>0.5386122448979592</v>
      </c>
    </row>
    <row r="29">
      <c r="A29" s="8" t="n">
        <v>0.3319404675135361</v>
      </c>
      <c r="B29" s="9" t="n">
        <v>0.0002912461734693877</v>
      </c>
      <c r="C29" s="9" t="n">
        <v>0.00982784333436907</v>
      </c>
      <c r="D29" s="10" t="n">
        <v>0</v>
      </c>
      <c r="E29" s="10" t="n">
        <v>0.04923469387755102</v>
      </c>
      <c r="F29" s="10" t="n">
        <v>0.6061224489795918</v>
      </c>
      <c r="G29" s="9" t="n">
        <v>0.009977588166084258</v>
      </c>
      <c r="H29" s="10" t="n">
        <v>0.5568877551020408</v>
      </c>
    </row>
    <row r="30">
      <c r="A30" s="8" t="n">
        <v>0.3508668096626406</v>
      </c>
      <c r="B30" s="9" t="n">
        <v>0.0003035243265306122</v>
      </c>
      <c r="C30" s="9" t="n">
        <v>0.01039661124043528</v>
      </c>
      <c r="D30" s="10" t="n">
        <v>0</v>
      </c>
      <c r="E30" s="10" t="n">
        <v>0.04720408163265306</v>
      </c>
      <c r="F30" s="10" t="n">
        <v>0.5751632653061225</v>
      </c>
      <c r="G30" s="9" t="n">
        <v>0.01025809265340894</v>
      </c>
      <c r="H30" s="10" t="n">
        <v>0.5751632653061225</v>
      </c>
    </row>
    <row r="31">
      <c r="A31" s="8" t="n">
        <v>0.3705353613077884</v>
      </c>
      <c r="B31" s="9" t="n">
        <v>0.0003079015816326531</v>
      </c>
      <c r="C31" s="9" t="n">
        <v>0.01076967854304801</v>
      </c>
      <c r="D31" s="10" t="n">
        <v>0</v>
      </c>
      <c r="E31" s="10" t="n">
        <v>0.04517346938775511</v>
      </c>
      <c r="F31" s="10" t="n">
        <v>0.5934387755102041</v>
      </c>
      <c r="G31" s="9" t="n">
        <v>0.01054169152507409</v>
      </c>
      <c r="H31" s="10" t="n">
        <v>0.5934387755102041</v>
      </c>
    </row>
    <row r="32">
      <c r="A32" s="8" t="n">
        <v>0.3909461224489797</v>
      </c>
      <c r="B32" s="9" t="n">
        <v>0.000301342</v>
      </c>
      <c r="C32" s="9" t="n">
        <v>0.01074799313109079</v>
      </c>
      <c r="D32" s="10" t="n">
        <v>0</v>
      </c>
      <c r="E32" s="10" t="n">
        <v>0.04314285714285714</v>
      </c>
      <c r="F32" s="10" t="n">
        <v>0.6117142857142858</v>
      </c>
      <c r="G32" s="9" t="n">
        <v>0.01082814164959406</v>
      </c>
      <c r="H32" s="10" t="n">
        <v>0.6117142857142858</v>
      </c>
    </row>
    <row r="33">
      <c r="A33" s="8" t="n">
        <v>0.4120990930862141</v>
      </c>
      <c r="B33" s="9" t="n">
        <v>0.0003086409081632653</v>
      </c>
      <c r="C33" s="9" t="n">
        <v>0.0114015099404121</v>
      </c>
      <c r="D33" s="10" t="n">
        <v>0</v>
      </c>
      <c r="E33" s="10" t="n">
        <v>0.04111224489795919</v>
      </c>
      <c r="F33" s="10" t="n">
        <v>0.6711020408163265</v>
      </c>
      <c r="G33" s="9" t="n">
        <v>0.01111722263011254</v>
      </c>
      <c r="H33" s="10" t="n">
        <v>0.6299897959183673</v>
      </c>
    </row>
    <row r="34">
      <c r="A34" s="8" t="n">
        <v>0.4339942732194917</v>
      </c>
      <c r="B34" s="9" t="n">
        <v>0.0003111929591836735</v>
      </c>
      <c r="C34" s="9" t="n">
        <v>0.01170077573536444</v>
      </c>
      <c r="D34" s="10" t="n">
        <v>0</v>
      </c>
      <c r="E34" s="10" t="n">
        <v>0.03908163265306123</v>
      </c>
      <c r="F34" s="10" t="n">
        <v>0.6873469387755101</v>
      </c>
      <c r="G34" s="9" t="n">
        <v>0.01140873448202112</v>
      </c>
      <c r="H34" s="10" t="n">
        <v>0.6482653061224489</v>
      </c>
    </row>
    <row r="35">
      <c r="A35" s="8" t="n">
        <v>0.456631662848813</v>
      </c>
      <c r="B35" s="9" t="n">
        <v>0.0003218468877551021</v>
      </c>
      <c r="C35" s="9" t="n">
        <v>0.01234447959686561</v>
      </c>
      <c r="D35" s="10" t="n">
        <v>0</v>
      </c>
      <c r="E35" s="10" t="n">
        <v>0.03705102040816326</v>
      </c>
      <c r="F35" s="10" t="n">
        <v>0.6665408163265306</v>
      </c>
      <c r="G35" s="9" t="n">
        <v>0.01170249554603579</v>
      </c>
      <c r="H35" s="10" t="n">
        <v>0.6665408163265306</v>
      </c>
    </row>
    <row r="36">
      <c r="A36" s="8" t="n">
        <v>0.4800112619741775</v>
      </c>
      <c r="B36" s="9" t="n">
        <v>0.0002924593469387755</v>
      </c>
      <c r="C36" s="9" t="n">
        <v>0.0117062668299464</v>
      </c>
      <c r="D36" s="10" t="n">
        <v>0</v>
      </c>
      <c r="E36" s="10" t="n">
        <v>0.03502040816326531</v>
      </c>
      <c r="F36" s="10" t="n">
        <v>0.7198367346938777</v>
      </c>
      <c r="G36" s="9" t="n">
        <v>0.01199834061771358</v>
      </c>
      <c r="H36" s="10" t="n">
        <v>0.6848163265306123</v>
      </c>
    </row>
    <row r="37">
      <c r="A37" s="8" t="n">
        <v>0.5041330705955852</v>
      </c>
      <c r="B37" s="9" t="n">
        <v>0.0002924536224489796</v>
      </c>
      <c r="C37" s="9" t="n">
        <v>0.01205222272497788</v>
      </c>
      <c r="D37" s="10" t="n">
        <v>0</v>
      </c>
      <c r="E37" s="10" t="n">
        <v>0.03298979591836735</v>
      </c>
      <c r="F37" s="10" t="n">
        <v>0.7030918367346939</v>
      </c>
      <c r="G37" s="9" t="n">
        <v>0.01229611927407676</v>
      </c>
      <c r="H37" s="10" t="n">
        <v>0.7030918367346939</v>
      </c>
    </row>
    <row r="38">
      <c r="A38" s="8" t="n">
        <v>0.5289970887130363</v>
      </c>
      <c r="B38" s="9" t="n">
        <v>0.0003117276326530612</v>
      </c>
      <c r="C38" s="9" t="n">
        <v>0.01292042842924183</v>
      </c>
      <c r="D38" s="10" t="n">
        <v>0</v>
      </c>
      <c r="E38" s="10" t="n">
        <v>0.03095918367346938</v>
      </c>
      <c r="F38" s="10" t="n">
        <v>0.7213673469387756</v>
      </c>
      <c r="G38" s="9" t="n">
        <v>0.0125956943784742</v>
      </c>
      <c r="H38" s="10" t="n">
        <v>0.7213673469387756</v>
      </c>
    </row>
    <row r="39">
      <c r="A39" s="8" t="n">
        <v>0.5546033163265307</v>
      </c>
      <c r="B39" s="9" t="n">
        <v>0.0002989007142857143</v>
      </c>
      <c r="C39" s="9" t="n">
        <v>0.01289603300598951</v>
      </c>
      <c r="D39" s="10" t="n">
        <v>0</v>
      </c>
      <c r="E39" s="10" t="n">
        <v>0.02892857142857143</v>
      </c>
      <c r="F39" s="10" t="n">
        <v>0.7685714285714286</v>
      </c>
      <c r="G39" s="9" t="n">
        <v>0.012896940745754</v>
      </c>
      <c r="H39" s="10" t="n">
        <v>0.7396428571428572</v>
      </c>
    </row>
    <row r="40">
      <c r="A40" s="8" t="n">
        <v>0.5809517534360682</v>
      </c>
      <c r="B40" s="9" t="n">
        <v>0.0003001344897959184</v>
      </c>
      <c r="C40" s="9" t="n">
        <v>0.01319861370830839</v>
      </c>
      <c r="D40" s="10" t="n">
        <v>0</v>
      </c>
      <c r="E40" s="10" t="n">
        <v>0.02689795918367347</v>
      </c>
      <c r="F40" s="10" t="n">
        <v>0.7579183673469387</v>
      </c>
      <c r="G40" s="9" t="n">
        <v>0.01319974395103978</v>
      </c>
      <c r="H40" s="10" t="n">
        <v>0.7579183673469387</v>
      </c>
    </row>
    <row r="41">
      <c r="A41" s="8" t="n">
        <v>0.6080424000416492</v>
      </c>
      <c r="B41" s="9" t="n">
        <v>0.0003054333571428571</v>
      </c>
      <c r="C41" s="9" t="n">
        <v>0.01365798225710283</v>
      </c>
      <c r="D41" s="10" t="n">
        <v>0</v>
      </c>
      <c r="E41" s="10" t="n">
        <v>0.0248673469387755</v>
      </c>
      <c r="F41" s="10" t="n">
        <v>0.7761938775510204</v>
      </c>
      <c r="G41" s="9" t="n">
        <v>0.01350399926675394</v>
      </c>
      <c r="H41" s="10" t="n">
        <v>0.7761938775510204</v>
      </c>
    </row>
    <row r="42">
      <c r="A42" s="8" t="n">
        <v>0.6358752561432739</v>
      </c>
      <c r="B42" s="9" t="n">
        <v>0.000302008387755102</v>
      </c>
      <c r="C42" s="9" t="n">
        <v>0.01392057561318067</v>
      </c>
      <c r="D42" s="10" t="n">
        <v>0</v>
      </c>
      <c r="E42" s="10" t="n">
        <v>0.02283673469387755</v>
      </c>
      <c r="F42" s="10" t="n">
        <v>0.7944693877551021</v>
      </c>
      <c r="G42" s="9" t="n">
        <v>0.01380961071391693</v>
      </c>
      <c r="H42" s="10" t="n">
        <v>0.7944693877551021</v>
      </c>
    </row>
    <row r="43">
      <c r="A43" s="8" t="n">
        <v>0.6644503217409414</v>
      </c>
      <c r="B43" s="9" t="n">
        <v>0.0003051456428571429</v>
      </c>
      <c r="C43" s="9" t="n">
        <v>0.01423504957452359</v>
      </c>
      <c r="D43" s="10" t="n">
        <v>0</v>
      </c>
      <c r="E43" s="10" t="n">
        <v>0.02080612244897959</v>
      </c>
      <c r="F43" s="10" t="n">
        <v>0.8335510204081633</v>
      </c>
      <c r="G43" s="9" t="n">
        <v>0.01411649021511104</v>
      </c>
      <c r="H43" s="10" t="n">
        <v>0.8127448979591837</v>
      </c>
    </row>
    <row r="44">
      <c r="A44" s="8" t="n">
        <v>0.6937675968346522</v>
      </c>
      <c r="B44" s="9" t="n">
        <v>0.0002965444897959184</v>
      </c>
      <c r="C44" s="9" t="n">
        <v>0.0143275574743737</v>
      </c>
      <c r="D44" s="10" t="n">
        <v>0</v>
      </c>
      <c r="E44" s="10" t="n">
        <v>0.01877551020408164</v>
      </c>
      <c r="F44" s="10" t="n">
        <v>0.8310204081632653</v>
      </c>
      <c r="G44" s="9" t="n">
        <v>0.01442455683779161</v>
      </c>
      <c r="H44" s="10" t="n">
        <v>0.8310204081632653</v>
      </c>
    </row>
    <row r="45">
      <c r="A45" s="8" t="n">
        <v>0.7238270814244064</v>
      </c>
      <c r="B45" s="9" t="n">
        <v>0.0002919209693877551</v>
      </c>
      <c r="C45" s="9" t="n">
        <v>0.01451185754743967</v>
      </c>
      <c r="D45" s="10" t="n">
        <v>0</v>
      </c>
      <c r="E45" s="10" t="n">
        <v>0.01674489795918367</v>
      </c>
      <c r="F45" s="10" t="n">
        <v>0.8660408163265306</v>
      </c>
      <c r="G45" s="9" t="n">
        <v>0.01473373611783494</v>
      </c>
      <c r="H45" s="10" t="n">
        <v>0.849295918367347</v>
      </c>
    </row>
    <row r="46">
      <c r="A46" s="8" t="n">
        <v>0.7546287755102041</v>
      </c>
      <c r="B46" s="9" t="n">
        <v>0.0003077634285714286</v>
      </c>
      <c r="C46" s="9" t="n">
        <v>0.01529162156076811</v>
      </c>
      <c r="D46" s="10" t="n">
        <v>0</v>
      </c>
      <c r="E46" s="10" t="n">
        <v>0.01471428571428571</v>
      </c>
      <c r="F46" s="10" t="n">
        <v>0.8822857142857142</v>
      </c>
      <c r="G46" s="9" t="n">
        <v>0.01504395945432137</v>
      </c>
      <c r="H46" s="10" t="n">
        <v>0.8675714285714285</v>
      </c>
    </row>
    <row r="47">
      <c r="A47" s="8" t="n">
        <v>0.7861726790920449</v>
      </c>
      <c r="B47" s="9" t="n">
        <v>0.0002715514285714286</v>
      </c>
      <c r="C47" s="9" t="n">
        <v>0.01451514180329875</v>
      </c>
      <c r="D47" s="10" t="n">
        <v>0</v>
      </c>
      <c r="E47" s="10" t="n">
        <v>0.01268367346938776</v>
      </c>
      <c r="F47" s="10" t="n">
        <v>0.8985306122448979</v>
      </c>
      <c r="G47" s="9" t="n">
        <v>0.01535516356755913</v>
      </c>
      <c r="H47" s="10" t="n">
        <v>0.8858469387755101</v>
      </c>
    </row>
    <row r="48">
      <c r="A48" s="8" t="n">
        <v>0.8184587921699294</v>
      </c>
      <c r="B48" s="9" t="n">
        <v>0.0002954807755102041</v>
      </c>
      <c r="C48" s="9" t="n">
        <v>0.01551174637845101</v>
      </c>
      <c r="D48" s="10" t="n">
        <v>0</v>
      </c>
      <c r="E48" s="10" t="n">
        <v>0.01065306122448979</v>
      </c>
      <c r="F48" s="10" t="n">
        <v>0.9147755102040818</v>
      </c>
      <c r="G48" s="9" t="n">
        <v>0.01566729001326278</v>
      </c>
      <c r="H48" s="10" t="n">
        <v>0.9041224489795919</v>
      </c>
    </row>
    <row r="49">
      <c r="A49" s="8" t="n">
        <v>0.8514871147438569</v>
      </c>
      <c r="B49" s="9" t="n">
        <v>0.0003107066326530613</v>
      </c>
      <c r="C49" s="9" t="n">
        <v>0.01629640422382321</v>
      </c>
      <c r="D49" s="10" t="n">
        <v>0</v>
      </c>
      <c r="E49" s="10" t="n">
        <v>0.008622448979591834</v>
      </c>
      <c r="F49" s="10" t="n">
        <v>0.9310204081632654</v>
      </c>
      <c r="G49" s="9" t="n">
        <v>0.01598028474661294</v>
      </c>
      <c r="H49" s="10" t="n">
        <v>0.9223979591836735</v>
      </c>
    </row>
    <row r="50">
      <c r="A50" s="8" t="n">
        <v>0.8852576468138277</v>
      </c>
      <c r="B50" s="9" t="n">
        <v>0.0002816347755102041</v>
      </c>
      <c r="C50" s="9" t="n">
        <v>0.01574178429986901</v>
      </c>
      <c r="D50" s="10" t="n">
        <v>0</v>
      </c>
      <c r="E50" s="10" t="n">
        <v>0.006591836734693879</v>
      </c>
      <c r="F50" s="10" t="n">
        <v>0.9406734693877551</v>
      </c>
      <c r="G50" s="9" t="n">
        <v>0.01629409773064882</v>
      </c>
      <c r="H50" s="10" t="n">
        <v>0.9406734693877551</v>
      </c>
    </row>
    <row r="51">
      <c r="A51" s="8" t="n">
        <v>0.9197703883798419</v>
      </c>
      <c r="B51" s="9" t="n">
        <v>0.0002872417448979592</v>
      </c>
      <c r="C51" s="9" t="n">
        <v>0.0162447769919081</v>
      </c>
      <c r="D51" s="10" t="n">
        <v>0</v>
      </c>
      <c r="E51" s="10" t="n">
        <v>0.004561224489795912</v>
      </c>
      <c r="F51" s="10" t="n">
        <v>0.9589489795918368</v>
      </c>
      <c r="G51" s="9" t="n">
        <v>0.01660868258408831</v>
      </c>
      <c r="H51" s="10" t="n">
        <v>0.9589489795918368</v>
      </c>
    </row>
    <row r="52">
      <c r="A52" s="8" t="n">
        <v>0.9550253394418993</v>
      </c>
      <c r="B52" s="9" t="n">
        <v>0.0003067570612244898</v>
      </c>
      <c r="C52" s="9" t="n">
        <v>0.01712010814668535</v>
      </c>
      <c r="D52" s="10" t="n">
        <v>0</v>
      </c>
      <c r="E52" s="10" t="n">
        <v>0.002530612244897956</v>
      </c>
      <c r="F52" s="10" t="n">
        <v>0.9772244897959184</v>
      </c>
      <c r="G52" s="9" t="n">
        <v>0.01692399626424031</v>
      </c>
      <c r="H52" s="10" t="n">
        <v>0.9772244897959184</v>
      </c>
    </row>
    <row r="53">
      <c r="A53" s="8" t="n">
        <v>0.9910225000000003</v>
      </c>
      <c r="B53" s="9" t="n">
        <v>0.0002980335</v>
      </c>
      <c r="C53" s="9" t="n">
        <v>0.01718245894169044</v>
      </c>
      <c r="D53" s="10" t="n">
        <v>0</v>
      </c>
      <c r="E53" s="10" t="n">
        <v>0.0005000000000000004</v>
      </c>
      <c r="F53" s="10" t="n">
        <v>0.996</v>
      </c>
      <c r="G53" s="9" t="n">
        <v>0.01723999878117745</v>
      </c>
      <c r="H53" s="10" t="n">
        <v>0.9955000000000001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各HHIポイントでの債務者ウェイト配分</t>
        </is>
      </c>
    </row>
    <row r="3">
      <c r="A3" s="2" t="inlineStr">
        <is>
          <t>HHI</t>
        </is>
      </c>
      <c r="B3" s="2" t="inlineStr">
        <is>
          <t>債務者1</t>
        </is>
      </c>
      <c r="C3" s="2" t="inlineStr">
        <is>
          <t>債務者2</t>
        </is>
      </c>
      <c r="D3" s="2" t="inlineStr">
        <is>
          <t>債務者3</t>
        </is>
      </c>
      <c r="E3" s="2" t="inlineStr">
        <is>
          <t>債務者4</t>
        </is>
      </c>
      <c r="F3" s="2" t="inlineStr">
        <is>
          <t>債務者5</t>
        </is>
      </c>
      <c r="G3" s="2" t="inlineStr">
        <is>
          <t>債務者6</t>
        </is>
      </c>
      <c r="H3" s="2" t="inlineStr">
        <is>
          <t>債務者7</t>
        </is>
      </c>
      <c r="I3" s="2" t="inlineStr">
        <is>
          <t>債務者8</t>
        </is>
      </c>
      <c r="J3" s="2" t="inlineStr">
        <is>
          <t>債務者9</t>
        </is>
      </c>
      <c r="K3" s="2" t="inlineStr">
        <is>
          <t>債務者10</t>
        </is>
      </c>
    </row>
    <row r="4">
      <c r="A4" s="11" t="n">
        <v>0.1</v>
      </c>
      <c r="B4" s="12" t="n">
        <v>0.1</v>
      </c>
      <c r="C4" s="12" t="n">
        <v>0.1</v>
      </c>
      <c r="D4" s="12" t="n">
        <v>0.1</v>
      </c>
      <c r="E4" s="12" t="n">
        <v>0.1</v>
      </c>
      <c r="F4" s="12" t="n">
        <v>0.1</v>
      </c>
      <c r="G4" s="12" t="n">
        <v>0.1</v>
      </c>
      <c r="H4" s="12" t="n">
        <v>0.1</v>
      </c>
      <c r="I4" s="12" t="n">
        <v>0.1</v>
      </c>
      <c r="J4" s="12" t="n">
        <v>0.1</v>
      </c>
      <c r="K4" s="12" t="n">
        <v>0.1</v>
      </c>
    </row>
    <row r="5">
      <c r="A5" s="11" t="n">
        <v>0.1092776187005414</v>
      </c>
      <c r="B5" s="10" t="n">
        <v>0.1913775510204082</v>
      </c>
      <c r="C5" s="10" t="n">
        <v>0.0898469387755102</v>
      </c>
      <c r="D5" s="10" t="n">
        <v>0.0898469387755102</v>
      </c>
      <c r="E5" s="10" t="n">
        <v>0.0898469387755102</v>
      </c>
      <c r="F5" s="10" t="n">
        <v>0.0898469387755102</v>
      </c>
      <c r="G5" s="10" t="n">
        <v>0.0898469387755102</v>
      </c>
      <c r="H5" s="10" t="n">
        <v>0.0898469387755102</v>
      </c>
      <c r="I5" s="10" t="n">
        <v>0.0898469387755102</v>
      </c>
      <c r="J5" s="10" t="n">
        <v>0.0898469387755102</v>
      </c>
      <c r="K5" s="10" t="n">
        <v>0.0898469387755102</v>
      </c>
    </row>
    <row r="6">
      <c r="A6" s="11" t="n">
        <v>0.1371104748021658</v>
      </c>
      <c r="B6" s="10" t="n">
        <v>0.2827551020408163</v>
      </c>
      <c r="C6" s="10" t="n">
        <v>0.07969387755102042</v>
      </c>
      <c r="D6" s="10" t="n">
        <v>0.07969387755102042</v>
      </c>
      <c r="E6" s="10" t="n">
        <v>0.07969387755102042</v>
      </c>
      <c r="F6" s="10" t="n">
        <v>0.07969387755102042</v>
      </c>
      <c r="G6" s="10" t="n">
        <v>0.07969387755102042</v>
      </c>
      <c r="H6" s="10" t="n">
        <v>0.07969387755102042</v>
      </c>
      <c r="I6" s="10" t="n">
        <v>0.07969387755102042</v>
      </c>
      <c r="J6" s="10" t="n">
        <v>0.07969387755102042</v>
      </c>
      <c r="K6" s="10" t="n">
        <v>0.07969387755102042</v>
      </c>
    </row>
    <row r="7">
      <c r="A7" s="11" t="n">
        <v>0.183498568304873</v>
      </c>
      <c r="B7" s="10" t="n">
        <v>0.3741326530612245</v>
      </c>
      <c r="C7" s="10" t="n">
        <v>0.06954081632653063</v>
      </c>
      <c r="D7" s="10" t="n">
        <v>0.06954081632653063</v>
      </c>
      <c r="E7" s="10" t="n">
        <v>0.06954081632653063</v>
      </c>
      <c r="F7" s="10" t="n">
        <v>0.06954081632653063</v>
      </c>
      <c r="G7" s="10" t="n">
        <v>0.06954081632653063</v>
      </c>
      <c r="H7" s="10" t="n">
        <v>0.06954081632653063</v>
      </c>
      <c r="I7" s="10" t="n">
        <v>0.06954081632653063</v>
      </c>
      <c r="J7" s="10" t="n">
        <v>0.06954081632653063</v>
      </c>
      <c r="K7" s="10" t="n">
        <v>0.06954081632653063</v>
      </c>
    </row>
    <row r="8">
      <c r="A8" s="11" t="n">
        <v>0.248441899208663</v>
      </c>
      <c r="B8" s="10" t="n">
        <v>0.4655102040816326</v>
      </c>
      <c r="C8" s="10" t="n">
        <v>0.05938775510204082</v>
      </c>
      <c r="D8" s="10" t="n">
        <v>0.05938775510204082</v>
      </c>
      <c r="E8" s="10" t="n">
        <v>0.05938775510204082</v>
      </c>
      <c r="F8" s="10" t="n">
        <v>0.05938775510204082</v>
      </c>
      <c r="G8" s="10" t="n">
        <v>0.05938775510204082</v>
      </c>
      <c r="H8" s="10" t="n">
        <v>0.05938775510204082</v>
      </c>
      <c r="I8" s="10" t="n">
        <v>0.05938775510204082</v>
      </c>
      <c r="J8" s="10" t="n">
        <v>0.05938775510204082</v>
      </c>
      <c r="K8" s="10" t="n">
        <v>0.05938775510204082</v>
      </c>
    </row>
    <row r="9">
      <c r="A9" s="11" t="n">
        <v>0.3319404675135361</v>
      </c>
      <c r="B9" s="13" t="n">
        <v>0.5568877551020408</v>
      </c>
      <c r="C9" s="10" t="n">
        <v>0.04923469387755102</v>
      </c>
      <c r="D9" s="10" t="n">
        <v>0.04923469387755102</v>
      </c>
      <c r="E9" s="10" t="n">
        <v>0.04923469387755102</v>
      </c>
      <c r="F9" s="10" t="n">
        <v>0.04923469387755102</v>
      </c>
      <c r="G9" s="10" t="n">
        <v>0.04923469387755102</v>
      </c>
      <c r="H9" s="10" t="n">
        <v>0.04923469387755102</v>
      </c>
      <c r="I9" s="10" t="n">
        <v>0.04923469387755102</v>
      </c>
      <c r="J9" s="10" t="n">
        <v>0.04923469387755102</v>
      </c>
      <c r="K9" s="10" t="n">
        <v>0.04923469387755102</v>
      </c>
    </row>
    <row r="10">
      <c r="A10" s="11" t="n">
        <v>0.4339942732194917</v>
      </c>
      <c r="B10" s="13" t="n">
        <v>0.6482653061224489</v>
      </c>
      <c r="C10" s="10" t="n">
        <v>0.03908163265306123</v>
      </c>
      <c r="D10" s="10" t="n">
        <v>0.03908163265306123</v>
      </c>
      <c r="E10" s="10" t="n">
        <v>0.03908163265306123</v>
      </c>
      <c r="F10" s="10" t="n">
        <v>0.03908163265306123</v>
      </c>
      <c r="G10" s="10" t="n">
        <v>0.03908163265306123</v>
      </c>
      <c r="H10" s="10" t="n">
        <v>0.03908163265306123</v>
      </c>
      <c r="I10" s="10" t="n">
        <v>0.03908163265306123</v>
      </c>
      <c r="J10" s="10" t="n">
        <v>0.03908163265306123</v>
      </c>
      <c r="K10" s="10" t="n">
        <v>0.03908163265306123</v>
      </c>
    </row>
    <row r="11">
      <c r="A11" s="11" t="n">
        <v>0.5546033163265307</v>
      </c>
      <c r="B11" s="13" t="n">
        <v>0.7396428571428572</v>
      </c>
      <c r="C11" s="10" t="n">
        <v>0.02892857142857143</v>
      </c>
      <c r="D11" s="10" t="n">
        <v>0.02892857142857143</v>
      </c>
      <c r="E11" s="10" t="n">
        <v>0.02892857142857143</v>
      </c>
      <c r="F11" s="10" t="n">
        <v>0.02892857142857143</v>
      </c>
      <c r="G11" s="10" t="n">
        <v>0.02892857142857143</v>
      </c>
      <c r="H11" s="10" t="n">
        <v>0.02892857142857143</v>
      </c>
      <c r="I11" s="10" t="n">
        <v>0.02892857142857143</v>
      </c>
      <c r="J11" s="10" t="n">
        <v>0.02892857142857143</v>
      </c>
      <c r="K11" s="10" t="n">
        <v>0.02892857142857143</v>
      </c>
    </row>
    <row r="12">
      <c r="A12" s="11" t="n">
        <v>0.6937675968346522</v>
      </c>
      <c r="B12" s="13" t="n">
        <v>0.8310204081632653</v>
      </c>
      <c r="C12" s="10" t="n">
        <v>0.01877551020408164</v>
      </c>
      <c r="D12" s="10" t="n">
        <v>0.01877551020408164</v>
      </c>
      <c r="E12" s="10" t="n">
        <v>0.01877551020408164</v>
      </c>
      <c r="F12" s="10" t="n">
        <v>0.01877551020408164</v>
      </c>
      <c r="G12" s="10" t="n">
        <v>0.01877551020408164</v>
      </c>
      <c r="H12" s="10" t="n">
        <v>0.01877551020408164</v>
      </c>
      <c r="I12" s="10" t="n">
        <v>0.01877551020408164</v>
      </c>
      <c r="J12" s="10" t="n">
        <v>0.01877551020408164</v>
      </c>
      <c r="K12" s="10" t="n">
        <v>0.01877551020408164</v>
      </c>
    </row>
    <row r="13">
      <c r="A13" s="11" t="n">
        <v>0.8514871147438569</v>
      </c>
      <c r="B13" s="13" t="n">
        <v>0.9223979591836735</v>
      </c>
      <c r="C13" s="10" t="n">
        <v>0.008622448979591834</v>
      </c>
      <c r="D13" s="10" t="n">
        <v>0.008622448979591834</v>
      </c>
      <c r="E13" s="10" t="n">
        <v>0.008622448979591834</v>
      </c>
      <c r="F13" s="10" t="n">
        <v>0.008622448979591834</v>
      </c>
      <c r="G13" s="10" t="n">
        <v>0.008622448979591834</v>
      </c>
      <c r="H13" s="10" t="n">
        <v>0.008622448979591834</v>
      </c>
      <c r="I13" s="10" t="n">
        <v>0.008622448979591834</v>
      </c>
      <c r="J13" s="10" t="n">
        <v>0.008622448979591834</v>
      </c>
      <c r="K13" s="10" t="n">
        <v>0.008622448979591834</v>
      </c>
    </row>
    <row r="14">
      <c r="A14" s="11" t="n">
        <v>0.9910225000000003</v>
      </c>
      <c r="B14" s="13" t="n">
        <v>0.9955000000000001</v>
      </c>
      <c r="C14" s="10" t="n">
        <v>0.0005000000000000004</v>
      </c>
      <c r="D14" s="10" t="n">
        <v>0.0005000000000000004</v>
      </c>
      <c r="E14" s="10" t="n">
        <v>0.0005000000000000004</v>
      </c>
      <c r="F14" s="10" t="n">
        <v>0.0005000000000000004</v>
      </c>
      <c r="G14" s="10" t="n">
        <v>0.0005000000000000004</v>
      </c>
      <c r="H14" s="10" t="n">
        <v>0.0005000000000000004</v>
      </c>
      <c r="I14" s="10" t="n">
        <v>0.0005000000000000004</v>
      </c>
      <c r="J14" s="10" t="n">
        <v>0.0005000000000000004</v>
      </c>
      <c r="K14" s="10" t="n">
        <v>0.0005000000000000004</v>
      </c>
    </row>
    <row r="17">
      <c r="A17" s="7" t="inlineStr">
        <is>
          <t>読み方</t>
        </is>
      </c>
    </row>
    <row r="18">
      <c r="A18" t="inlineStr">
        <is>
          <t>緑: 均等配分 (1/N = 10%)</t>
        </is>
      </c>
    </row>
    <row r="19">
      <c r="A19" t="inlineStr">
        <is>
          <t>赤: 集中配分 (50%超のウェイト)</t>
        </is>
      </c>
    </row>
    <row r="20">
      <c r="A20" t="inlineStr">
        <is>
          <t>HHI = Σ(w_i²)  均等=0.10, 完全集中=1.00</t>
        </is>
      </c>
    </row>
    <row r="21">
      <c r="A21" t="inlineStr">
        <is>
          <t>HHIが高い → 1社に集中 → 名前集中リスクが高い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8" customWidth="1" min="4" max="4"/>
  </cols>
  <sheetData>
    <row r="1">
      <c r="A1" s="1" t="inlineStr">
        <is>
          <t>VaRが集中リスクを見逃す理由</t>
        </is>
      </c>
    </row>
    <row r="3">
      <c r="A3" s="7" t="inlineStr">
        <is>
          <t>シナリオ比較</t>
        </is>
      </c>
    </row>
    <row r="4">
      <c r="A4" s="2" t="inlineStr">
        <is>
          <t>指標</t>
        </is>
      </c>
      <c r="B4" s="2" t="inlineStr">
        <is>
          <t>均等配分
(HHI=0.10)</t>
        </is>
      </c>
      <c r="C4" s="2" t="inlineStr">
        <is>
          <t>集中配分
(HHI≈1.0)</t>
        </is>
      </c>
      <c r="D4" s="2" t="inlineStr">
        <is>
          <t>判定</t>
        </is>
      </c>
    </row>
    <row r="5">
      <c r="A5" s="14" t="inlineStr">
        <is>
          <t>期待損失率 E[L]</t>
        </is>
      </c>
      <c r="B5" s="10" t="n">
        <v>0.0003007</v>
      </c>
      <c r="C5" s="10" t="n">
        <v>0.0002980335</v>
      </c>
      <c r="D5" s="15" t="inlineStr">
        <is>
          <t>同じ</t>
        </is>
      </c>
    </row>
    <row r="6">
      <c r="A6" s="14" t="inlineStr">
        <is>
          <t>標準偏差 σ</t>
        </is>
      </c>
      <c r="B6" s="10" t="n">
        <v>0.005479012640065726</v>
      </c>
      <c r="C6" s="10" t="n">
        <v>0.01718245894169044</v>
      </c>
      <c r="D6" s="15" t="inlineStr">
        <is>
          <t>集中が高い ⚠</t>
        </is>
      </c>
    </row>
    <row r="7">
      <c r="A7" s="14" t="inlineStr">
        <is>
          <t>VaR 99%</t>
        </is>
      </c>
      <c r="B7" s="10" t="n">
        <v>0</v>
      </c>
      <c r="C7" s="10" t="n">
        <v>0</v>
      </c>
      <c r="D7" s="16" t="inlineStr">
        <is>
          <t>集中が低い（罠！）</t>
        </is>
      </c>
    </row>
    <row r="8">
      <c r="A8" s="14" t="inlineStr">
        <is>
          <t>VaR 99.9%</t>
        </is>
      </c>
      <c r="B8" s="10" t="n">
        <v>0.1</v>
      </c>
      <c r="C8" s="10" t="n">
        <v>0.0005000000000000004</v>
      </c>
      <c r="D8" s="16" t="inlineStr">
        <is>
          <t>集中が低い（罠！）</t>
        </is>
      </c>
    </row>
    <row r="9">
      <c r="A9" s="14" t="inlineStr">
        <is>
          <t>最大損失率</t>
        </is>
      </c>
      <c r="B9" s="10" t="n">
        <v>0.2</v>
      </c>
      <c r="C9" s="10" t="n">
        <v>0.996</v>
      </c>
      <c r="D9" s="15" t="inlineStr">
        <is>
          <t>集中が圧倒的に高い ⚠⚠</t>
        </is>
      </c>
    </row>
    <row r="12">
      <c r="A12" s="7" t="inlineStr">
        <is>
          <t>なぜVaRが低くなるか</t>
        </is>
      </c>
    </row>
    <row r="13">
      <c r="A13" t="inlineStr">
        <is>
          <t>均等配分: 10社のうち1社でもデフォルトする確率 ≈ 1-(1-0.03%)^10 ≈ 0.30%</t>
        </is>
      </c>
    </row>
    <row r="14">
      <c r="A14" t="inlineStr">
        <is>
          <t xml:space="preserve">  → 0.30% &gt; 0.10%（VaR 99.9%の閾値）なのでVaRに引っかかる</t>
        </is>
      </c>
    </row>
    <row r="15">
      <c r="A15" t="inlineStr">
        <is>
          <t xml:space="preserve">  → 1社デフォルト時の損失 = 10%（ウェイト均等なので）</t>
        </is>
      </c>
    </row>
    <row r="16">
      <c r="A16" t="inlineStr"/>
    </row>
    <row r="17">
      <c r="A17" t="inlineStr">
        <is>
          <t>集中配分: 主要1社がデフォルトする確率 = 0.03%</t>
        </is>
      </c>
    </row>
    <row r="18">
      <c r="A18" t="inlineStr">
        <is>
          <t xml:space="preserve">  → 0.03% &lt; 0.10%（VaR 99.9%の閾値）なのでVaRに引っかからない</t>
        </is>
      </c>
    </row>
    <row r="19">
      <c r="A19" t="inlineStr">
        <is>
          <t xml:space="preserve">  → しかし1社デフォルト時の損失 = 99.5%（壊滅的）</t>
        </is>
      </c>
    </row>
    <row r="20">
      <c r="A20" t="inlineStr"/>
    </row>
    <row r="21">
      <c r="A21" t="inlineStr">
        <is>
          <t>結論: VaRは「確率の境界」しか見ないため、</t>
        </is>
      </c>
    </row>
    <row r="22">
      <c r="A22" t="inlineStr">
        <is>
          <t xml:space="preserve">  「低確率・高影響」の集中リスクを過小評価する。</t>
        </is>
      </c>
    </row>
    <row r="23">
      <c r="A23" t="inlineStr">
        <is>
          <t xml:space="preserve">  BB advance rateの設定にはExpected Shortfall(CVaR)や</t>
        </is>
      </c>
    </row>
    <row r="24">
      <c r="A24" t="inlineStr">
        <is>
          <t xml:space="preserve">  ストレステストの併用が不可欠。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2026-03-29T22:49:50Z</dcterms:created>
  <dcterms:modified xsi:type="dcterms:W3CDTF">2026-03-29T22:49:50Z</dcterms:modified>
</cp:coreProperties>
</file>